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ustomProperty3.bin" ContentType="application/vnd.openxmlformats-officedocument.spreadsheetml.customProperty"/>
  <Override PartName="/xl/drawings/drawing2.xml" ContentType="application/vnd.openxmlformats-officedocument.drawing+xml"/>
  <Override PartName="/xl/customProperty4.bin" ContentType="application/vnd.openxmlformats-officedocument.spreadsheetml.customProperty"/>
  <Override PartName="/xl/drawings/drawing3.xml" ContentType="application/vnd.openxmlformats-officedocument.drawing+xml"/>
  <Override PartName="/xl/customProperty5.bin" ContentType="application/vnd.openxmlformats-officedocument.spreadsheetml.customProperty"/>
  <Override PartName="/xl/drawings/drawing4.xml" ContentType="application/vnd.openxmlformats-officedocument.drawing+xml"/>
  <Override PartName="/xl/tables/table4.xml" ContentType="application/vnd.openxmlformats-officedocument.spreadsheetml.table+xml"/>
  <Override PartName="/xl/customProperty6.bin" ContentType="application/vnd.openxmlformats-officedocument.spreadsheetml.customProperty"/>
  <Override PartName="/xl/drawings/drawing5.xml" ContentType="application/vnd.openxmlformats-officedocument.drawing+xml"/>
  <Override PartName="/xl/tables/table5.xml" ContentType="application/vnd.openxmlformats-officedocument.spreadsheetml.table+xml"/>
  <Override PartName="/xl/customProperty7.bin" ContentType="application/vnd.openxmlformats-officedocument.spreadsheetml.customProperty"/>
  <Override PartName="/xl/drawings/drawing6.xml" ContentType="application/vnd.openxmlformats-officedocument.drawing+xml"/>
  <Override PartName="/xl/customProperty8.bin" ContentType="application/vnd.openxmlformats-officedocument.spreadsheetml.customProperty"/>
  <Override PartName="/xl/drawings/drawing7.xml" ContentType="application/vnd.openxmlformats-officedocument.drawing+xml"/>
  <Override PartName="/xl/customProperty9.bin" ContentType="application/vnd.openxmlformats-officedocument.spreadsheetml.customProperty"/>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ustomProperty10.bin" ContentType="application/vnd.openxmlformats-officedocument.spreadsheetml.customProperty"/>
  <Override PartName="/xl/drawings/drawing9.xml" ContentType="application/vnd.openxmlformats-officedocument.drawing+xml"/>
  <Override PartName="/xl/tables/table8.xml" ContentType="application/vnd.openxmlformats-officedocument.spreadsheetml.table+xml"/>
  <Override PartName="/xl/customProperty11.bin" ContentType="application/vnd.openxmlformats-officedocument.spreadsheetml.customProperty"/>
  <Override PartName="/xl/drawings/drawing10.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ustomProperty12.bin" ContentType="application/vnd.openxmlformats-officedocument.spreadsheetml.customProperty"/>
  <Override PartName="/xl/drawings/drawing11.xml" ContentType="application/vnd.openxmlformats-officedocument.drawing+xml"/>
  <Override PartName="/xl/customProperty13.bin" ContentType="application/vnd.openxmlformats-officedocument.spreadsheetml.customProperty"/>
  <Override PartName="/xl/drawings/drawing12.xml" ContentType="application/vnd.openxmlformats-officedocument.drawing+xml"/>
  <Override PartName="/xl/customProperty14.bin" ContentType="application/vnd.openxmlformats-officedocument.spreadsheetml.customProperty"/>
  <Override PartName="/xl/drawings/drawing13.xml" ContentType="application/vnd.openxmlformats-officedocument.drawing+xml"/>
  <Override PartName="/xl/tables/table11.xml" ContentType="application/vnd.openxmlformats-officedocument.spreadsheetml.table+xml"/>
  <Override PartName="/xl/customProperty15.bin" ContentType="application/vnd.openxmlformats-officedocument.spreadsheetml.customProperty"/>
  <Override PartName="/xl/drawings/drawing14.xml" ContentType="application/vnd.openxmlformats-officedocument.drawing+xml"/>
  <Override PartName="/xl/customProperty16.bin" ContentType="application/vnd.openxmlformats-officedocument.spreadsheetml.customProperty"/>
  <Override PartName="/xl/drawings/drawing15.xml" ContentType="application/vnd.openxmlformats-officedocument.drawing+xml"/>
  <Override PartName="/xl/customProperty17.bin" ContentType="application/vnd.openxmlformats-officedocument.spreadsheetml.customProperty"/>
  <Override PartName="/xl/drawings/drawing16.xml" ContentType="application/vnd.openxmlformats-officedocument.drawing+xml"/>
  <Override PartName="/xl/customProperty18.bin" ContentType="application/vnd.openxmlformats-officedocument.spreadsheetml.customProperty"/>
  <Override PartName="/xl/drawings/drawing17.xml" ContentType="application/vnd.openxmlformats-officedocument.drawing+xml"/>
  <Override PartName="/xl/customProperty19.bin" ContentType="application/vnd.openxmlformats-officedocument.spreadsheetml.customProperty"/>
  <Override PartName="/xl/drawings/drawing18.xml" ContentType="application/vnd.openxmlformats-officedocument.drawing+xml"/>
  <Override PartName="/xl/tables/table12.xml" ContentType="application/vnd.openxmlformats-officedocument.spreadsheetml.table+xml"/>
  <Override PartName="/xl/customProperty20.bin" ContentType="application/vnd.openxmlformats-officedocument.spreadsheetml.customProperty"/>
  <Override PartName="/xl/drawings/drawing19.xml" ContentType="application/vnd.openxmlformats-officedocument.drawing+xml"/>
  <Override PartName="/xl/tables/table13.xml" ContentType="application/vnd.openxmlformats-officedocument.spreadsheetml.table+xml"/>
  <Override PartName="/xl/customProperty21.bin" ContentType="application/vnd.openxmlformats-officedocument.spreadsheetml.customProperty"/>
  <Override PartName="/xl/drawings/drawing20.xml" ContentType="application/vnd.openxmlformats-officedocument.drawing+xml"/>
  <Override PartName="/xl/tables/table14.xml" ContentType="application/vnd.openxmlformats-officedocument.spreadsheetml.table+xml"/>
  <Override PartName="/xl/customProperty22.bin" ContentType="application/vnd.openxmlformats-officedocument.spreadsheetml.customProperty"/>
  <Override PartName="/xl/drawings/drawing21.xml" ContentType="application/vnd.openxmlformats-officedocument.drawing+xml"/>
  <Override PartName="/xl/tables/table15.xml" ContentType="application/vnd.openxmlformats-officedocument.spreadsheetml.table+xml"/>
  <Override PartName="/xl/customProperty23.bin" ContentType="application/vnd.openxmlformats-officedocument.spreadsheetml.customProperty"/>
  <Override PartName="/xl/drawings/drawing22.xml" ContentType="application/vnd.openxmlformats-officedocument.drawing+xml"/>
  <Override PartName="/xl/tables/table16.xml" ContentType="application/vnd.openxmlformats-officedocument.spreadsheetml.table+xml"/>
  <Override PartName="/xl/customProperty24.bin" ContentType="application/vnd.openxmlformats-officedocument.spreadsheetml.customProperty"/>
  <Override PartName="/xl/drawings/drawing23.xml" ContentType="application/vnd.openxmlformats-officedocument.drawing+xml"/>
  <Override PartName="/xl/drawings/drawing24.xml" ContentType="application/vnd.openxmlformats-officedocument.drawing+xml"/>
  <Override PartName="/xl/customProperty25.bin" ContentType="application/vnd.openxmlformats-officedocument.spreadsheetml.customProperty"/>
  <Override PartName="/xl/drawings/drawing25.xml" ContentType="application/vnd.openxmlformats-officedocument.drawing+xml"/>
  <Override PartName="/xl/customProperty26.bin" ContentType="application/vnd.openxmlformats-officedocument.spreadsheetml.customProperty"/>
  <Override PartName="/xl/drawings/drawing26.xml" ContentType="application/vnd.openxmlformats-officedocument.drawing+xml"/>
  <Override PartName="/xl/customProperty27.bin" ContentType="application/vnd.openxmlformats-officedocument.spreadsheetml.customProperty"/>
  <Override PartName="/xl/drawings/drawing27.xml" ContentType="application/vnd.openxmlformats-officedocument.drawing+xml"/>
  <Override PartName="/xl/customProperty28.bin" ContentType="application/vnd.openxmlformats-officedocument.spreadsheetml.customProperty"/>
  <Override PartName="/xl/drawings/drawing28.xml" ContentType="application/vnd.openxmlformats-officedocument.drawing+xml"/>
  <Override PartName="/xl/customProperty29.bin" ContentType="application/vnd.openxmlformats-officedocument.spreadsheetml.customProperty"/>
  <Override PartName="/xl/drawings/drawing29.xml" ContentType="application/vnd.openxmlformats-officedocument.drawing+xml"/>
  <Override PartName="/xl/customProperty30.bin" ContentType="application/vnd.openxmlformats-officedocument.spreadsheetml.customProperty"/>
  <Override PartName="/xl/drawings/drawing30.xml" ContentType="application/vnd.openxmlformats-officedocument.drawing+xml"/>
  <Override PartName="/xl/customProperty31.bin" ContentType="application/vnd.openxmlformats-officedocument.spreadsheetml.customProperty"/>
  <Override PartName="/xl/drawings/drawing31.xml" ContentType="application/vnd.openxmlformats-officedocument.drawing+xml"/>
  <Override PartName="/xl/customProperty32.bin" ContentType="application/vnd.openxmlformats-officedocument.spreadsheetml.customProperty"/>
  <Override PartName="/xl/drawings/drawing32.xml" ContentType="application/vnd.openxmlformats-officedocument.drawing+xml"/>
  <Override PartName="/xl/customProperty33.bin" ContentType="application/vnd.openxmlformats-officedocument.spreadsheetml.customProperty"/>
  <Override PartName="/xl/drawings/drawing33.xml" ContentType="application/vnd.openxmlformats-officedocument.drawing+xml"/>
  <Override PartName="/xl/customProperty34.bin" ContentType="application/vnd.openxmlformats-officedocument.spreadsheetml.customProperty"/>
  <Override PartName="/xl/drawings/drawing34.xml" ContentType="application/vnd.openxmlformats-officedocument.drawing+xml"/>
  <Override PartName="/xl/customProperty35.bin" ContentType="application/vnd.openxmlformats-officedocument.spreadsheetml.customProperty"/>
  <Override PartName="/xl/drawings/drawing35.xml" ContentType="application/vnd.openxmlformats-officedocument.drawing+xml"/>
  <Override PartName="/xl/customProperty36.bin" ContentType="application/vnd.openxmlformats-officedocument.spreadsheetml.customProperty"/>
  <Override PartName="/xl/drawings/drawing36.xml" ContentType="application/vnd.openxmlformats-officedocument.drawing+xml"/>
  <Override PartName="/xl/customProperty37.bin" ContentType="application/vnd.openxmlformats-officedocument.spreadsheetml.customProperty"/>
  <Override PartName="/xl/drawings/drawing37.xml" ContentType="application/vnd.openxmlformats-officedocument.drawing+xml"/>
  <Override PartName="/xl/customProperty38.bin" ContentType="application/vnd.openxmlformats-officedocument.spreadsheetml.customProperty"/>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tables/table17.xml" ContentType="application/vnd.openxmlformats-officedocument.spreadsheetml.table+xml"/>
  <Override PartName="/xl/drawings/drawing42.xml" ContentType="application/vnd.openxmlformats-officedocument.drawing+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ownloads\"/>
    </mc:Choice>
  </mc:AlternateContent>
  <xr:revisionPtr revIDLastSave="0" documentId="13_ncr:1_{6ED00BE9-1CDB-4026-B64B-4A5BBD6766FE}" xr6:coauthVersionLast="47" xr6:coauthVersionMax="47" xr10:uidLastSave="{00000000-0000-0000-0000-000000000000}"/>
  <bookViews>
    <workbookView xWindow="-120" yWindow="-120" windowWidth="51840" windowHeight="21840" xr2:uid="{9D40AE0A-C643-4032-94D1-3D65DF585AF3}"/>
  </bookViews>
  <sheets>
    <sheet name="Cover" sheetId="103" r:id="rId1"/>
    <sheet name="TOC" sheetId="19" r:id="rId2"/>
    <sheet name="Data Validation" sheetId="129" r:id="rId3"/>
    <sheet name="FMTs" sheetId="2" state="hidden" r:id="rId4"/>
    <sheet name="nabla.d.CountDOWλ" sheetId="41" r:id="rId5"/>
    <sheet name="nabla.d.IsBetweenλ" sheetId="43" r:id="rId6"/>
    <sheet name="nabla.d.IsOccurrenceDateλ" sheetId="44" r:id="rId7"/>
    <sheet name="nabla.d.OverLapDaysλ" sheetId="45" r:id="rId8"/>
    <sheet name="nabla.d.Periodsλ" sheetId="46" r:id="rId9"/>
    <sheet name="nabla.d.PeriodLabelλ" sheetId="47" r:id="rId10"/>
    <sheet name="nabla.d.ScheduleRatesλ" sheetId="48" r:id="rId11"/>
    <sheet name="nabla.d.ScheduleRatesByItemsλ" sheetId="49" r:id="rId12"/>
    <sheet name="nabla.d.ScheduleValuesλ" sheetId="50" r:id="rId13"/>
    <sheet name="nabla.d.ScheduleValuesByItemsλ" sheetId="51" r:id="rId14"/>
    <sheet name="nabla.d.Timelineλ" sheetId="52" r:id="rId15"/>
    <sheet name="nabla.f.Amortiseλ" sheetId="76" r:id="rId16"/>
    <sheet name="nabla.f.LabelAmortiseλ" sheetId="90" r:id="rId17"/>
    <sheet name="nabla.f.SumAmortiseλ" sheetId="83" r:id="rId18"/>
    <sheet name="nabla.f.Corkscrewλ" sheetId="77" r:id="rId19"/>
    <sheet name="nabla.f.Cumulativeλ" sheetId="99" r:id="rId20"/>
    <sheet name="nabla.f.Depreciateλ" sheetId="78" r:id="rId21"/>
    <sheet name="nabla.f.LabelDepreciateλ" sheetId="106" r:id="rId22"/>
    <sheet name="nabla.f.SumDepreciateλ" sheetId="107" r:id="rId23"/>
    <sheet name="nabla.f.SumContains" sheetId="108" r:id="rId24"/>
    <sheet name="nabla.f.IntOnIntλ" sheetId="80" r:id="rId25"/>
    <sheet name="nabla.f.IRRλ" sheetId="81" r:id="rId26"/>
    <sheet name="nabla.f.Reversalλ" sheetId="128" r:id="rId27"/>
    <sheet name="nabla.f.Movementλ" sheetId="82" r:id="rId28"/>
    <sheet name="nabla.f.RollingSumλ" sheetId="105" r:id="rId29"/>
    <sheet name="nabla.f.SumPeriodsλ" sheetId="89" r:id="rId30"/>
    <sheet name="nabla.f.TimelineOffsetλ" sheetId="96" r:id="rId31"/>
    <sheet name="nabla.f.TimelinePositionλ" sheetId="97" r:id="rId32"/>
    <sheet name="nabla.e.Aboutλ" sheetId="110" r:id="rId33"/>
    <sheet name="nabla.e.CountCλ" sheetId="118" r:id="rId34"/>
    <sheet name="nabla.e.SumRowsλ" sheetId="87" r:id="rId35"/>
    <sheet name="nabla.e.SumColsλ" sheetId="88" r:id="rId36"/>
    <sheet name="nabla.e.AvgRowsλ" sheetId="111" r:id="rId37"/>
    <sheet name="nabla.e.AvgColsλ" sheetId="112" r:id="rId38"/>
    <sheet name="nabla.e.MinRowsλ" sheetId="113" r:id="rId39"/>
    <sheet name="nabla.e.MinColsλ" sheetId="114" r:id="rId40"/>
    <sheet name="nabla.e.MaxRowsλ" sheetId="115" r:id="rId41"/>
    <sheet name="nabla.e.MaxColsλ" sheetId="116" r:id="rId42"/>
    <sheet name="nabla.e.CountRowsλ" sheetId="119" r:id="rId43"/>
    <sheet name="nabla.e.CountColsλ" sheetId="120" r:id="rId44"/>
    <sheet name="nabla.e.CountARowsλ" sheetId="122" r:id="rId45"/>
    <sheet name="nabla.e.CountAColsλ" sheetId="123" r:id="rId46"/>
    <sheet name="nabla.e.IsBetweenλ" sheetId="125" r:id="rId47"/>
    <sheet name="nabla.e.RangeToDAλ" sheetId="126" r:id="rId48"/>
    <sheet name="nabla.r.FinancialRatios" sheetId="131" r:id="rId49"/>
  </sheets>
  <definedNames>
    <definedName name="nabla.d.CountDOWλ" comment="Count instances of a specific day of the week between two dates.">_xlfn.LAMBDA(_xlop.Starts,_xlop.Ends,_xlop.DayOfWeek, _xlfn.LET(_xlpm.Help, TRIM(_xlfn.TEXTSPLIT("FUNCTION:      →CountDOWλ(Starts, Ends, DayOfWeek)¶" &amp; "DESCRIPTION:   →Count instances of a specific day of the week between two dates.¶" &amp; "WEBSITE:       →https://github.com/ryanduguid/Nabla¶" &amp; "PARAMETERS:    →¶" &amp; "Starts         →(Required) One of more start dates (text or numeric) in a row or column¶" &amp; "Ends           →(Required) End dates (text or numeric) for each start date¶" &amp; "DayOfWeek      →(Required) 1=Sunday, 7=Saturday.¶" &amp; "EXAMPLES:      →¶" &amp; "Result         →Formula (nabla.d is assumed to be the module's name)¶" &amp; "2              →=nabla.d.CountDOWλ(""22/3/2012"", ""10/4/2012"",  1)", "→", "¶")), _xlpm.Help?, OR(_xlfn.ISOMITTED(_xlpm.Starts), _xlfn.ISOMITTED(_xlpm.Ends), _xlfn.ISOMITTED(_xlpm.DayOfWeek)), _xlpm.CvtStarts, IF(_xlfn.ISOMITTED(_xlpm.Starts), FALSE, IF(ISNUMBER(_xlpm.Starts), _xlpm.Starts, DATEVALUE(_xlpm.Starts))), _xlpm.CvtEnds, IF(_xlfn.ISOMITTED(_xlpm.Ends), FALSE, IF(ISNUMBER(_xlpm.Ends), _xlpm.Ends, DATEVALUE(_xlpm.Ends))), _xlpm.Result, INT(((_xlpm.CvtEnds - _xlpm.CvtStarts) + WEEKDAY(_xlpm.CvtStarts - _xlpm.DayOfWeek)) / 7), CHOOSE(_xlpm.Help? + 1, _xlpm.Result, _xlpm.Help)))</definedName>
    <definedName name="nabla.d.IsBetweenλ" comment="Determine if a value is between a lower and upper limit">_xlfn.LAMBDA(_xlop.Values,_xlop.Low,_xlop.High,_xlop.Inclusive, _xlfn.LET(_xlpm.Help, TRIM(_xlfn.TEXTSPLIT("FUNCTION:      →IsBetweenλ(Values, Low, High, [Inclusive])¶" &amp; "DESCRIPTION:   →Determine if a value is between a lower and upper limit.¶" &amp; "WEBSITE:       →https://github.com/ryanduguid/Nabla ¶" &amp; "PARAMETERS:    →¶" &amp; "Values         →(Required) one or more values to compare.¶" &amp; "Low            →(Required) The lower limit that the value(s) must be greater than¶" &amp; "High           →(Required) The higher limit that the value(s) must be less than¶" &amp; "Inclusive      →(Optional) TRUE: Value(s) can be equal to Low and/or High (default)¶" &amp; "EXAMPLES:      →¶" &amp; "Result         →Formula (nabla.d is assumed to be the module's name)¶" &amp; "FALSE          →=nabla.d.IsBetweenλ(1, 2, 4)¶" &amp; "TRUE           →=nabla.d.IsBetweenλ(Today(), Today(), Today()+1)¶" &amp; "FALSE          →=nabla.d.IsBetweenλ(""B"", ""B"", ""D"", FALSE)", "→", "¶")), _xlpm.Inclusive, IF(ISLOGICAL(_xlpm.Inclusive), _xlpm.Inclusive, TRUE), _xlpm.Help?, OR(_xlfn.ISOMITTED(_xlpm.Values), _xlfn.ISOMITTED(_xlpm.Low), _xlfn.ISOMITTED(_xlpm.High)), _xlpm.Result, IF(_xlpm.Inclusive, (_xlpm.Values &gt;= _xlpm.Low) * (_xlpm.Values &lt;= _xlpm.High) = 1, (_xlpm.Values &gt; _xlpm.Low) * (_xlpm.Values &lt; _xlpm.High) = 1), CHOOSE(_xlpm.Help? + 1, _xlpm.Result, _xlpm.Help)))</definedName>
    <definedName name="nabla.d.IsOccurrenceDateλ" comment="Returns TRUE if Date passed is when something happens. This was developed for budgeting where we have expenses that start, and sometimes repeat at regular intervals.">_xlfn.LAMBDA(_xlop.Dates,_xlop.FirstOccurrence,_xlop.LastOccurrence,_xlop.Repeats, _xlfn.LET(_xlpm.Help, TRIM(_xlfn.TEXTSPLIT("FUNCTION:      →IsOccurrenceDateλ(Dates, FirstOccurrence, [LastOccurrence], [Repeats])¶" &amp; "DESCRIPTION:   →Returns TRUE if a Date is when something happens.¶" &amp; "               →This was developed for budgeting where we have expenses that start,¶" &amp; "               →and sometimes repeat at regular intervals.¶" &amp; "WEBSITE:       →https://github.com/ryanduguid/Nabla¶" &amp; "PARAMETERS:    →¶" &amp; "Dates          →(Required) Date to test. Normally this is horizontal timeline by day¶" &amp; "FirstOccurrence →(Required) When something that may repeat, happens for the first time.¶" &amp; "LastOccurrence  →(Optional) When something that may repeat, happens for the last time.¶" &amp; "→If omitted, it is assumed repeating items repeat forever.¶" &amp; "Repeats        →(Optional) A code that conveys how often this thing repeats. Repeat codes are¶" &amp; "→O=One time/never repeats (default)¶" &amp; "→A=Annually¶" &amp; "→S=Semi-Annually¶" &amp; "→Q=Quarterly¶" &amp; "→M=Monthly¶" &amp; "→B=BiWeekly¶" &amp; "→W=Weekly¶" &amp; "→X=Every Workday (Monday to Friday)¶" &amp; "→D=Daily¶" &amp; "EXAMPLES:      →¶" &amp; "Result         →Formula (nabla.d is assumed to be the module's name)¶" &amp; "72             →=SUM(N(nabla.d.IsOccurrenceDateλ(SEQUENCE(,90,""1/1/2025""), ""1/1/2025"", ""13/3/2025"", ""D"")))¶" &amp; "01             →=SUM(N(nabla.d.IsOccurrenceDateλ(SEQUENCE(,90,""1/1/2025""), ""1/1/2025"", ""13/3/2025"", ""O"")))¶" &amp; "11             →=SUM(N(nabla.d.IsOccurrenceDateλ(SEQUENCE(,90,""1/1/2025""), ""1/1/2025"", ""13/3/2025"", ""W"")))", "→", "¶")), _xlpm.SemiAnnually, 6, _xlpm.Quarterly, 3, _xlpm.Biweekly, 14, _xlpm.Weekly, 7, _xlpm.Mon2Sun, 2, _xlpm.Friday, 5, _xlpm.Help?, OR(_xlfn.ISOMITTED(_xlpm.Dates), _xlfn.ISOMITTED(_xlpm.FirstOccurrence)), _xlpm.CvtDates, IF(_xlfn.ISOMITTED(_xlpm.Dates), FALSE, IF(ISNUMBER(_xlpm.Dates), _xlpm.Dates, DATEVALUE(_xlpm.Dates))), _xlpm.CvtFirsts, IF(_xlfn.ISOMITTED(_xlpm.FirstOccurrence), FALSE, IF(ISNUMBER(_xlpm.FirstOccurrence), _xlpm.FirstOccurrence, DATEVALUE(_xlpm.FirstOccurrence))), _xlpm.CvtLasts, IF(_xlfn.ISOMITTED(_xlpm.LastOccurrence), FALSE, IF(OR(ISNUMBER(_xlpm.LastOccurrence), TRIM(_xlpm.LastOccurrence) = ""), _xlpm.LastOccurrence, DATEVALUE(_xlpm.LastOccurrence))), _xlpm.Repeats, IF(OR(_xlfn.ISOMITTED(_xlpm.Repeats), TRIM(_xlpm.Repeats) = ""), "O", LEFT(_xlpm.Repeats, 1)), _xlpm.SameDay, DAY(_xlpm.CvtDates) = DAY(_xlpm.CvtFirsts), _xlpm.Test, (_xlpm.CvtFirsts &lt;= _xlpm.CvtDates) * IF(TRIM(_xlpm.CvtLasts) = "", 1, _xlpm.CvtDates &lt;= _xlpm.CvtLasts) * _xlfn.SWITCH(_xlpm.Repeats, "O", _xlpm.CvtDates = _xlpm.CvtFirsts, "A", TEXT(_xlpm.CvtDates, "MMDD") = TEXT(_xlpm.CvtFirsts, "MMDD"), "S", _xlpm.SameDay * (MOD(MONTH(_xlpm.CvtDates), _xlpm.SemiAnnually) = MOD(MONTH(_xlpm.CvtFirsts), _xlpm.SemiAnnually)), "Q", _xlpm.SameDay * (MOD(MONTH(_xlpm.CvtDates), _xlpm.Quarterly) = MOD(MONTH(_xlpm.CvtFirsts), _xlpm.Quarterly)), "M", _xlpm.SameDay, "B", MOD(_xlpm.CvtDates, _xlpm.Biweekly) = MOD(_xlpm.CvtFirsts, _xlpm.Biweekly), "W", MOD(_xlpm.CvtDates, _xlpm.Weekly) = MOD(_xlpm.CvtFirsts, _xlpm.Weekly), "X", WEEKDAY(_xlpm.CvtDates, _xlpm.Mon2Sun) &lt;= _xlpm.Friday, "D", TRUE, 0), _xlpm.Result, _xlpm.Test = 1, CHOOSE(_xlpm.Help? + 1, _xlpm.Result, _xlpm.Help)))</definedName>
    <definedName name="nabla.d.OverLapDaysλ" comment="Return how many days overlap two period ranges.">_xlfn.LAMBDA(_xlop.Period1Start,_xlop.Period1End,_xlop.Period2Start,_xlop.Period2End, _xlfn.LET(_xlpm.Help, TRIM(_xlfn.TEXTSPLIT("FUNCTION:      →OverLapDaysλ(Period1Start, Period1End, Period2Start, Period2End)¶" &amp; "DESCRIPTION:   →Count days shared between two sets of periods.¶" &amp; "WEBSITE:       →https://github.com/ryanduguid/Nabla¶" &amp; "PARAMETERS:    →¶" &amp; "Period1Start   →(Required) First period's start date.¶" &amp; "Period1End     →(Required) First period's end date.¶" &amp; "Period2Start   →(Required) Second period's start date.¶" &amp; "Period2End     →(Required) Decond period's end date.¶" &amp; "EXAMPLES:      →¶" &amp; "Result         →Formula (nabla.d is assumed to be the module's name)¶" &amp; "5              →=nabla.d.OverLapDaysλ(08, 14, 10, 17)¶" &amp; "8              →=nabla.d.OverLapDaysλ(10, 20, 11, 18)¶" &amp; "12             →=nabla.d.OverLapDaysλ(""17/1/2025"", ""25/1/2025"", ""7/1/2025"", ""18/1/2025"")", "→", "¶")), _xlpm.Help?, OR(_xlfn.ISOMITTED(_xlpm.Period1Start), _xlfn.ISOMITTED(_xlpm.Period1End), _xlfn.ISOMITTED(_xlpm.Period2Start), _xlfn.ISOMITTED(_xlpm.Period2End)), _xlpm.CvtP1Start, IF(_xlfn.ISOMITTED(_xlpm.Period1Start), FALSE, IF(ISNUMBER(_xlpm.Period1Start), _xlpm.Period1Start, DATEVALUE(_xlpm.Period1Start))), _xlpm.CvtP1End, IF(_xlfn.ISOMITTED(_xlpm.Period1End), FALSE, IF(ISNUMBER(_xlpm.Period1End), _xlpm.Period1End, DATEVALUE(_xlpm.Period1End))), _xlpm.CvtP2Start, IF(_xlfn.ISOMITTED(_xlpm.Period2Start), FALSE, IF(ISNUMBER(_xlpm.Period2Start), _xlpm.Period2Start, DATEVALUE(_xlpm.Period2Start))), _xlpm.CvtP2End, IF(_xlfn.ISOMITTED(_xlpm.Period2End), FALSE, IF(ISNUMBER(_xlpm.Period2End), _xlpm.Period2End, DATEVALUE(_xlpm.Period2End))), _xlpm.MinOfEnd, IF(_xlpm.Period2End &lt;= _xlpm.Period1End, _xlpm.Period2End, _xlpm.Period1End), _xlpm.MaxOfStart, IF(_xlpm.Period2Start &gt;= _xlpm.Period1Start, _xlpm.Period2Start, _xlpm.Period1Start), _xlpm.Days, _xlpm.MinOfEnd - _xlpm.MaxOfStart + 1, _xlpm.Result, IF(_xlpm.Days &gt; 0, _xlpm.Days, 0), CHOOSE(_xlpm.Help? + 1, _xlpm.Result, _xlpm.Help)))</definedName>
    <definedName name="nabla.d.PeriodLabelλ" comment="Creates a label for a date based on period interval">_xlfn.LAMBDA(_xlop.Date,_xlop.Interval, _xlfn.LET(_xlpm.Help, TRIM(_xlfn.TEXTSPLIT("FUNCTION:      →PeriodLabelλ(Date, [Interval])¶" &amp; "DESCRIPTION:   →Creates a label for a date based on period interval¶" &amp; "WEBPAGE:       →https://github.com/ryanduguid/Nabla¶" &amp; "PARAMETERS:    →¶" &amp; "Date           →(Required) A single date or array of date(s) where the first date is the first date of a calendar year.¶" &amp; "Interval       →(Optional) Must be one of: ¶" &amp; "→D=Daily¶" &amp; "→W=Weekly¶" &amp; "→I=Weekly (using ISO week number)¶" &amp; "→M=Monthly¶" &amp; "→Q=Quarterly¶" &amp; "→S=Semi-Annually¶" &amp; "→A or Y=Annually¶" &amp; "EXAMPLES:      →¶" &amp; "Result         →Formula (nabla.d is assumed to be the module's name)¶" &amp; "2023-Feb-26    →=nabla.d.PeriodLabelλ(DATEVALUE(""26/2/2025""), ""D"")¶" &amp; "2023-Feb       →=nabla.d.PeriodLabelλ(DATEVALUE(""26/2/2025""), ""M"")¶" &amp; "2023:Q01       →=nabla.d.PeriodLabelλ(DATEVALUE(""26/2/2025""), ""Q"")¶" &amp; "2023           →=nabla.d.PeriodLabelλ(DATEVALUE(""26/2/2025""), ""Y"")", "→", "¶")), _xlpm.Help?, _xlfn.ISOMITTED(_xlpm.Date), _xlpm.CvtDate, IF(_xlfn.ISOMITTED(_xlpm.Date), FALSE, IF(ISNUMBER(_xlpm.Date), _xlpm.Date, DATEVALUE(_xlpm.Date))), _xlpm.Interval, IF(_xlfn.ISOMITTED(_xlpm.Interval), "M", _xlpm.Interval), _xlpm.Result, _xlfn.SWITCH(_xlpm.Interval, "D", TEXT(_xlpm.Date, "yyyy-mmm-dd"), "W", YEAR(_xlpm.Date) &amp; ":W" &amp; TEXT(QUOTIENT(_xlpm.Date - DATE(YEAR(_xlpm.Date), 1, 0) - 1, 7) + 1, "00"), "I", YEAR(_xlpm.Date) &amp; ":W" &amp; TEXT(_xlfn.ISOWEEKNUM(_xlpm.Date), "00"), "M", TEXT(_xlpm.Date, "YYYY-MMM"), "Q", YEAR(_xlpm.Date) &amp; ":Q" &amp; QUOTIENT(MONTH(_xlpm.Date) - 1, 3) + 1, "S", YEAR(_xlpm.Date) &amp; ":S" &amp; QUOTIENT(MONTH(_xlpm.Date) - 1, 6) + 1, "A", TEXT(_xlpm.Date, "YYYY"), "Y", TEXT(_xlpm.Date, "YYYY"), #VALUE!), CHOOSE(_xlpm.Help? + 1, _xlpm.Result, _xlpm.Help)))</definedName>
    <definedName name="nabla.d.Periodsλ" comment="Determine the number of periods from Starts to Date2 in Days, Weeks, Months, Quarters, or Years.">_xlfn.LAMBDA(_xlop.Starts,_xlop.Ends,_xlop.Intervals, _xlfn.LET(_xlpm.Help, TRIM(_xlfn.TEXTSPLIT("FUNCTION:      →Periodsλ(Starts, Ends, [Intervals])¶" &amp; "DESCRIPTION:   →Determine the number of periods from date1 to date 2 inclusive.¶" &amp; "→Differences to Excel4.0's DateDif are:¶" &amp; "→* Interval includes Weeks &amp; Quarters¶" &amp; "→* End Date is inclusive¶" &amp; "→* Returns negative values if Date1 is after Date2¶" &amp; "WEBPAGE:       →https://github.com/ryanduguid/Nabla¶" &amp; "PARAMETERS:    →¶" &amp; "Starts         →(Required) First date (normally older). This can be a single number or array.¶" &amp; "Ends           →(Required) Second date (normally newer). This must be the same shape (# of rows &amp; columns) as Date1.¶" &amp; "Intervals      →(Optional) Days, Weeks, Months (default), Quarters, or Years (D, W, M, Q, Y)¶" &amp; "EXAMPLES:      →¶" &amp; "Result         →Formula (nabla.d is assumed to be the module's name)¶" &amp; "2              →=nabla.d.Periodsλ(""31/3/2025"", ""15/5/2025"")¶" &amp; "-2             →=nabla.d.Periodsλ(""15/5/2025"", ""31/3/2025"")¶" &amp; "-12            →=nabla.d.Periodsλ(""15/1/2026"", ""16/1/2025"", , FALSE)¶" &amp; "-53            →=nabla.d.Periodsλ(""15/1/2026"", ""16/1/2025"", ""W"")", "→", "¶")), _xlpm.Help?, OR(_xlfn.ISOMITTED(_xlpm.Starts), _xlfn.ISOMITTED(_xlpm.Ends)), _xlpm.CvtStarts, IF(_xlfn.ISOMITTED(_xlpm.Starts), FALSE, IF(ISNUMBER(_xlpm.Starts), _xlpm.Starts, DATEVALUE(_xlpm.Starts))), _xlpm.CvtEnds, IF(_xlfn.ISOMITTED(_xlpm.Ends), FALSE, IF(ISNUMBER(_xlpm.Ends), _xlpm.Ends, DATEVALUE(_xlpm.Ends))), _xlpm.Intervals, IF(_xlfn.ISOMITTED(_xlpm.Intervals), "M", _xlpm.Intervals), _xlpm.MPY, 12, _xlpm.MPQ, 3, _xlpm.DPW, 7, _xlpm.Rows, MAX(ROWS(_xlpm.CvtStarts), ROWS(_xlpm.CvtEnds)), _xlpm.Cols, MAX(COLUMNS(_xlpm.CvtStarts), COLUMNS(_xlpm.CvtEnds)), _xlpm.Result, _xlfn.MAKEARRAY(_xlpm.Rows, _xlpm.Cols, _xlfn.LAMBDA(_xlpm.R,_xlpm.C, _xlfn.LET(_xlpm.DateOne, IF(COUNTA(_xlpm.CvtStarts) = 1, _xlpm.CvtStarts, INDEX(_xlpm.CvtStarts, _xlpm.R, _xlpm.C)), _xlpm.DateTwo, IF(COUNTA(_xlpm.CvtEnds) = 1, _xlpm.CvtEnds, INDEX(_xlpm.CvtEnds, _xlpm.R, _xlpm.C)), _xlpm.Interval, IF(COUNTA(_xlpm.Intervals) = 1, _xlpm.Intervals, INDEX(_xlpm.Intervals, _xlpm.R, _xlpm.C)), _xlpm.Earliest, MIN(_xlpm.DateOne, _xlpm.DateTwo), _xlpm.Latest, MAX(_xlpm.DateOne, _xlpm.DateTwo), _xlpm.Sign, SIGN(MAX(_xlpm.DateTwo - _xlpm.DateOne, 1)), _xlpm.Periods, _xlfn.SWITCH(_xlpm.Interval, "D", DATEDIF(_xlpm.Earliest, _xlpm.Latest, "D"), "W", INT(DATEDIF(_xlpm.Earliest, _xlpm.Latest, "D") / _xlpm.DPW), "M", DATEDIF(_xlpm.Earliest, _xlpm.Latest, "M"), "Q", INT(DATEDIF(_xlpm.Earliest, _xlpm.Latest, "M") / _xlpm.MPQ), "Y", DATEDIF(_xlpm.Earliest, _xlpm.Latest, "Y")), _xlpm.Sign * _xlpm.Periods))), CHOOSE(_xlpm.Help? + 1, _xlpm.Result, _xlpm.Help)))</definedName>
    <definedName name="nabla.d.ScheduleRatesByItemsλ" comment="Schedule rates that persist until replaced in a timeline for each item in a list.">_xlfn.LAMBDA(_xlop.PeriodEnds,_xlop.ItemFilter,_xlop.ItemList,_xlop.EffectiveList,_xlop.RateList,_xlop.DoNotUse, _xlfn.LET(_xlpm.Help, TRIM(_xlfn.TEXTSPLIT("FUNCTION:      →ScheduleRatesByItemsλ(PeriodEnds, ItemFilter, ItemList, EffectiveList, RateList)¶" &amp; "DESCRIPTION:   →Schedules each item's rates by period until another rate takes effect.¶" &amp; "NOTE!          →If 2 rates are scheduled within the same period for the same item, .¶" &amp; "→only the last rate will be selected.¶" &amp; "WEBPAGE:       →https://github.com/ryanduguid/Nabla¶" &amp; "PARAMETERS:    →¶" &amp; "PeriodEnds     →(Required) A row or column of period end dates (timeline).¶" &amp; "ItemFilter     →(Required) 1 or more items to filter a rate schedule by. ¶" &amp; "               →A 'rate schedule' is a table/list where each row contains a unique item/effective date pair with a rate.¶" &amp; "ItemList       →(Required) Items in a rate schedule.¶" &amp; "EffectiveList  →(Required) Effective dates in the rate schedule.¶" &amp; "RateList       →(Required) Rates in a rate schedule for each item/effective date pair.¶" &amp; "DoNotUse       →This is a counter used internally. Do not make any entry.¶" &amp; "EXAMPLES:      →¶" &amp; "Result         →Formula (nabla.d is assumed to be the module's name)¶" &amp; "→nabla.d.ScheduleRatesByItemsλ( Timelineλ( ""1/1/2025""), UNIQUE( tblRates(Unit)),¶" &amp; "→tblRates[Unit], tblRates[Rent], tblRates[Effective])", "→", "¶")), _xlpm.Help?, OR(_xlfn.ISOMITTED(_xlpm.PeriodEnds), _xlfn.ISOMITTED(_xlpm.ItemFilter), _xlfn.ISOMITTED(_xlpm.ItemList), _xlfn.ISOMITTED(_xlpm.EffectiveList), _xlfn.ISOMITTED(_xlpm.RateList)), _xlpm.DoNotUse, IF(_xlfn.ISOMITTED(_xlpm.DoNotUse), 1, _xlpm.DoNotUse), _xlpm.CvtPrdEnds, IF(_xlfn.ISOMITTED(_xlpm.PeriodEnds), FALSE, IF(ISNUMBER(_xlpm.PeriodEnds), _xlpm.PeriodEnds, DATEVALUE(_xlpm.PeriodEnds))), _xlpm.CvtEffDates, IF(_xlfn.ISOMITTED(_xlpm.EffectiveList), FALSE, IF(ISNUMBER(_xlpm.EffectiveList), _xlpm.EffectiveList, DATEVALUE(_xlpm.EffectiveList))), _xlpm.Counts, COUNTA(_xlpm.ItemFilter), _xlpm.Item, INDEX(_xlpm.ItemFilter, _xlpm.DoNotUse), _xlpm.ItemDates, _xlfn._xlws.FILTER(_xlpm.CvtEffDates, _xlpm.ItemList = _xlpm.Item), _xlpm.ItemRates, _xlfn._xlws.FILTER(_xlpm.RateList, _xlpm.ItemList = _xlpm.Item), _xlpm.NewRow, _xlfn.XLOOKUP(_xlpm.PeriodEnds, _xlpm.ItemDates, _xlpm.ItemRates, 0, -1), _xlpm.Result, IF(_xlpm.DoNotUse &gt;= _xlpm.Counts, _xlpm.NewRow, _xlfn.VSTACK(_xlpm.NewRow, nabla.d.ScheduleRatesByItemsλ(_xlpm.CvtPrdEnds, _xlpm.ItemFilter, _xlpm.ItemList, _xlpm.CvtEffDates, _xlpm.RateList, _xlpm.DoNotUse + 1))), CHOOSE(_xlpm.Help? + 1, _xlpm.Result, _xlpm.Help)))</definedName>
    <definedName name="nabla.d.ScheduleRatesλ" comment="Schedule rates that persist until replaced in a timeline.">_xlfn.LAMBDA(_xlop.PeriodEnds,_xlop.RateStarts,_xlop.Rates, _xlfn.LET(_xlpm.Help, TRIM(_xlfn.TEXTSPLIT("FUNCTION:      →ScheduleRatesλ(PeriodEnds, RateStarts, Rates)¶" &amp; "DESCRIPTION:   →Schedules rates that persist until replaced in a timeline from a schedule in a table.¶" &amp; "NOTE!          →If 2 rates are scheduled within the same period, only the last rate will be selected.¶" &amp; "WEBPAGE:       →https://github.com/ryanduguid/Nabla¶" &amp; "PARAMETERS:    →¶" &amp; "PeriodEnds     →(Required) A row of period end dates (timeline).¶" &amp; "RateStarts     →(Required) A column or row of rate effective dates in any order.¶" &amp; "Rates          →(Required) A column or row of rates associated with RateStarts.¶" &amp; "EXAMPLES:      →¶" &amp; "Result         →Formula (nabla.d is assumed to be the module's name)¶" &amp; "_,10,20,30,30  →=nabla.d.ScheduleRatesλ(Timelineλ(""1/1/2025"",5,""W""),{45662; 45670; 45676}, {10; 20; 30})", "→", "¶")), _xlpm.s, 1, _xlpm.Help?, OR(_xlfn.ISOMITTED(_xlpm.PeriodEnds), _xlfn.ISOMITTED(_xlpm.RateStarts), _xlfn.ISOMITTED(_xlpm.Rates)), _xlpm.CvtEnds, IF(_xlfn.ISOMITTED(_xlpm.PeriodEnds), FALSE, IF(ISNUMBER(_xlpm.PeriodEnds), _xlpm.PeriodEnds, DATEVALUE(_xlpm.PeriodEnds))), _xlpm.CvtStarts, IF(_xlfn.ISOMITTED(_xlpm.RateStarts), FALSE, IF(ISNUMBER(_xlpm.RateStarts), _xlpm.RateStarts, DATEVALUE(_xlpm.RateStarts))), _xlpm.Result, _xlfn.XLOOKUP(_xlpm.PeriodEnds, _xlpm.RateStarts, _xlpm.Rates, "", -1), CHOOSE(_xlpm.Help? + 1, _xlpm.Result, _xlpm.Help)))</definedName>
    <definedName name="nabla.d.ScheduleValuesByItemsλ" comment="Schedule and sum values in a timeline for each item.">_xlfn.LAMBDA(_xlop.PeriodStarts,_xlop.PeriodEnds,_xlop.ItemFilter,_xlop.ItemList,_xlop.EffectiveList,_xlop.ValueList,_xlop.DoNotUse, _xlfn.LET(_xlpm.Help, TRIM(_xlfn.TEXTSPLIT("FUNCTION:      →ScheduleValuesByItemsλ(PeriodStarts, PeriodEnds, ItemFilter, ItemList, EffectiveList, ValueList)¶" &amp; "DESCRIPTION:   →Schedule and sum values in a timeline for each item.¶" &amp; "WEBPAGE:       →https://github.com/ryanduguid/Nabla¶" &amp; "PARAMETERS:    →¶" &amp; "PeriodStarts   →(Required) A row of period start dates (timeline).¶" &amp; "PeriodEnds     →(Required) A row of period end dates (timeline).¶" &amp; "ItemFilter     →(Required) A column of 1 or more items to filter a value schedule by. ¶" &amp; "               →A 'value schedule' is a table/list where each row contains a unique item/effective date pair with a value.¶" &amp; "ItemList       →(Required) Items in a value schedule.¶" &amp; "EffectiveList  →(Required) Effective dates in the value schedule.¶" &amp; "ValueList      →(Required) Values in a value schedule for each item/effective date pair.¶" &amp; "DoNotUse       →This is a counter used internally. Do not make any entry.¶" &amp; "EXAMPLES:      →¶" &amp; "Result         →Formula (nabla.d is assumed to be the module's name)¶" &amp; "→nabla.d.ScheduleRatesByItemsλ( Timelineλ( ""1/1/2025""),  Timelineλ( ""1/1/2025"",,,FALSE), ¶" &amp; "→UNIQUE( tblExp(Items)), tblExp[Items], tblExp[Dates], tblExp[Amount])", "→", "¶")), _xlpm.Help?, OR(_xlfn.ISOMITTED(_xlpm.PeriodStarts), _xlfn.ISOMITTED(_xlpm.PeriodEnds), _xlfn.ISOMITTED(_xlpm.ItemFilter), _xlfn.ISOMITTED(_xlpm.ItemList), _xlfn.ISOMITTED(_xlpm.EffectiveList), _xlfn.ISOMITTED(_xlpm.ValueList)), _xlpm.Counter, IF(_xlfn.ISOMITTED(_xlpm.DoNotUse), 1, _xlpm.DoNotUse), _xlpm.CvtPrdStarts, IF(_xlfn.ISOMITTED(_xlpm.PeriodStarts), FALSE, IF(ISNUMBER(_xlpm.PeriodStarts), _xlpm.PeriodStarts, DATEVALUE(_xlpm.PeriodStarts))), _xlpm.CvtPrdEnds, IF(_xlfn.ISOMITTED(_xlpm.PeriodEnds), FALSE, IF(ISNUMBER(_xlpm.PeriodEnds), _xlpm.PeriodEnds, DATEVALUE(_xlpm.PeriodEnds))), _xlpm.CvtEffDates, IF(_xlfn.ISOMITTED(_xlpm.EffectiveList), FALSE, IF(ISNUMBER(_xlpm.EffectiveList), _xlpm.EffectiveList, DATEVALUE(_xlpm.EffectiveList))), _xlpm.Counts, COUNTA(_xlpm.ItemFilter), _xlpm.Item, INDEX(_xlpm.ItemFilter, _xlpm.Counter), _xlpm.ItemDates, _xlfn._xlws.FILTER(_xlpm.CvtEffDates, _xlpm.ItemList = _xlpm.Item), _xlpm.ItemValues, _xlfn._xlws.FILTER(_xlpm.ValueList, _xlpm.ItemList = _xlpm.Item), _xlpm.Array, (_xlpm.ItemDates &gt;= _xlpm.PeriodStarts) * (_xlpm.ItemDates &lt;= _xlpm.PeriodEnds) * _xlpm.ItemValues, _xlpm.NewRow, _xlfn.BYCOL(_xlpm.Array, _xlfn.LAMBDA(_xlpm.Column, SUM(_xlpm.Column))), _xlpm.Result, IF(_xlpm.Counter &gt;= _xlpm.Counts, _xlpm.NewRow, _xlfn.VSTACK(_xlpm.NewRow, nabla.d.ScheduleValuesByItemsλ(_xlpm.CvtPrdStarts, _xlpm.CvtPrdEnds, _xlpm.ItemFilter, _xlpm.ItemList, _xlpm.CvtEffDates, _xlpm.ValueList, _xlpm.Counter + 1))), CHOOSE(_xlpm.Help? + 1, _xlpm.Result, _xlpm.Help)))</definedName>
    <definedName name="nabla.d.ScheduleValuesλ" comment="Schedules values in a timeline from a schedule in a table.">_xlfn.LAMBDA(_xlop.PeriodStarts,_xlop.PeriodEnds,_xlop.Values,_xlop.EffectiveDates, _xlfn.LET(_xlpm.Help, TRIM(_xlfn.TEXTSPLIT("FUNCTION:      →ScheduleValuesλ(PeriodStarts, PeriodEnds, Values, EffectiveDates)¶" &amp; "DESCRIPTION:   →Place values from a table into a timeline's appropriate period.¶" &amp; "WEBSITE:       →https://github.com/ryanduguid/Nabla ¶" &amp; "PARAMETERS:    →¶" &amp; "PeriodStarts   →(Required) A column or row of period start dates (timeline).¶" &amp; "PeriodEnds     →(Required) A column or row of period ends dates (timeline).¶" &amp; "Values         →(Required) A column or row of values to be scheduled.¶" &amp; "EffectiveDates →(Required) A column or row of when a value is scheduled.¶" &amp; "EXAMPLES:→¶" &amp; "Result         →Formula (nabla.d is assumed to be the module's name)¶" &amp; "→=nabla.d.ScheduleValuesλ(Timelineλ(""1/1/2025""), Timelineλ(""1/1/2025"",,,FALSE), {1;3}, {""1/1/2025""; ""15/2/2025""})", "→", "¶")), _xlpm.Help?, OR(_xlfn.ISOMITTED(_xlpm.PeriodStarts), _xlfn.ISOMITTED(_xlpm.PeriodEnds), _xlfn.ISOMITTED(_xlpm.Values), _xlfn.ISOMITTED(_xlpm.EffectiveDates)), _xlpm.CvtPrdStarts, IF(_xlfn.ISOMITTED(_xlpm.PeriodStarts), FALSE, IF(ISNUMBER(_xlpm.PeriodStarts), _xlpm.PeriodStarts, DATEVALUE(_xlpm.PeriodStarts))), _xlpm.CvtPrdEnds, IF(_xlfn.ISOMITTED(_xlpm.PeriodEnds), FALSE, IF(ISNUMBER(_xlpm.PeriodEnds), _xlpm.PeriodEnds, DATEVALUE(_xlpm.PeriodEnds))), _xlpm.CvtEffDates, IF(_xlfn.ISOMITTED(_xlpm.EffectiveDates), FALSE, IF(ISNUMBER(_xlpm.EffectiveDates), _xlpm.EffectiveDates, DATEVALUE(_xlpm.EffectiveDates))), _xlpm.Result, _xlfn.BYCOL(_xlfn.SEQUENCE(, COLUMNS(_xlpm.PeriodStarts)), _xlfn.LAMBDA(_xlpm.Period, _xlfn.LET(_xlpm.StartDate, INDEX(_xlpm.PeriodStarts, _xlpm.Period), _xlpm.EndDate, INDEX(_xlpm.PeriodEnds, _xlpm.Period), SUM(_xlpm.Values * (_xlpm.CvtEffDates &gt;= _xlpm.StartDate) * (_xlpm.CvtEffDates &lt;= _xlpm.EndDate))))), CHOOSE(_xlpm.Help? + 1, _xlpm.Result, _xlpm.Help)))</definedName>
    <definedName name="nabla.d.Timelineλ" comment="Create a horizontal list of period dates">_xlfn.LAMBDA(_xlop.StartDate,_xlop.Periods,_xlop.Interval,_xlop.PeriodStarts?, _xlfn.LET(_xlpm.Help, TRIM(_xlfn.TEXTSPLIT("FUNCTION:      →Timelineλ(StartDate, Periods, Interval, PeriodStarts?)¶" &amp; "DESCRIPTION:   →Creates a horizontal list of period dates.¶" &amp; "WEBSITE:       →https://github.com/ryanduguid/Nabla¶" &amp; "PARAMETERS:        →¶" &amp; "StartDate      →(Required) First period's start date. May be entered as text.¶" &amp; "Periods        →(Optional) The number of period in the timeline. Defaults to 12.¶" &amp; "Interval       →(Optional) Period interval: D, W, M, Q or Y (Day, Week, Month &lt;default&gt;, Quarter, or Year)¶" &amp; "PeriodStarts?  →(Optional) TRUE=Display period start dates &lt;default&gt;. FALSE=Period end dates¶" &amp; "EXAMPLES:      →¶" &amp; "Result         →Formula (nabla.d is assumed to be the module's name)¶" &amp; "12 mo, starts  →=nabla.d.Timelineλ(TODAY())¶" &amp; "12 qtr, ends   →=nabla.d.Timelineλ(TODAY(), , ""Q"", FALSE)", "→", "¶")), _xlpm.MPY, 12, _xlpm.MPQ, 3, _xlpm.DPW, 7, _xlpm.Help?, _xlfn.ISOMITTED(_xlpm.StartDate), _xlpm.CvtStart, IF(_xlfn.ISOMITTED(_xlpm.StartDate), FALSE, IF(ISNUMBER(_xlpm.StartDate), _xlpm.StartDate, DATEVALUE(_xlpm.StartDate))), _xlpm.Periods, IF(_xlfn.ISOMITTED(_xlpm.Periods), 12, _xlpm.Periods), _xlpm.Interval, IF(_xlfn.ISOMITTED(_xlpm.Interval), "M", _xlpm.Interval), _xlpm.PeriodStarts?, IF(ISLOGICAL(_xlpm.PeriodStarts?), _xlpm.PeriodStarts?, TRUE), _xlpm.EndDates, N(NOT(_xlpm.PeriodStarts?)), _xlpm.Result, _xlfn.SWITCH(_xlpm.Interval, "Y", EDATE(_xlpm.StartDate, _xlfn.SEQUENCE(1, _xlpm.Periods, _xlpm.EndDates * _xlpm.MPY, _xlpm.MPY)) - _xlpm.EndDates, "Q", EDATE(_xlpm.StartDate, _xlfn.SEQUENCE(1, _xlpm.Periods, _xlpm.EndDates * _xlpm.MPQ, _xlpm.MPQ)) - _xlpm.EndDates, "M", EDATE(_xlpm.StartDate, _xlfn.SEQUENCE(1, _xlpm.Periods, _xlpm.EndDates, 1)) - _xlpm.EndDates, "W", _xlfn.SEQUENCE(1, _xlpm.Periods, _xlpm.StartDate + IF(_xlpm.PeriodStarts?, 0, _xlpm.DPW - 1), _xlpm.DPW), "D", _xlfn.SEQUENCE(1, _xlpm.Periods, _xlpm.StartDate, 1), #VALUE!), CHOOSE(_xlpm.Help? + 1, _xlpm.Result, _xlpm.Help)))</definedName>
    <definedName name="nabla.e.AvgColsλ" comment="Get the average for each Column">_xlfn.LAMBDA(_xlop.Array, _xlfn.LET(_xlpm.Help, TRIM(_xlfn.TEXTSPLIT("FUNCTION:      →SumColsλ( Array)¶" &amp; "DESCRIPTION:   →Get the average for each Column¶" &amp; "WEBPAGE:       →https://github.com/ryanduguid/Nabla¶" &amp; "VERSION:       →18 Aug 2026¶" &amp; "PARAMETERS:    →¶" &amp; "Array          →(Required) A two dimensional array/range containing values to be averaged by column.¶" &amp; "EXAMPLES:      →Formula (nabla.e is assumed to be the module's name)¶" &amp; "→=nabla.e.AvgColsλ( SEQUENCE(5,5))", "→", "¶")), _xlpm.Help?, _xlfn.ISOMITTED(_xlpm.Array), _xlpm.Result, _xlfn.BYCOL(_xlpm.Array, _xlfn.LAMBDA(_xlpm.Col, AVERAGE(_xlpm.Col))), CHOOSE(_xlpm.Help? + 1, _xlpm.Result, _xlpm.Help)))</definedName>
    <definedName name="nabla.e.AvgRowsλ" comment="Get the average for each row">_xlfn.LAMBDA(_xlop.Array, _xlfn.LET(_xlpm.Help, TRIM(_xlfn.TEXTSPLIT("FUNCTION:      →AvgRowsλ( Array)¶" &amp; "DESCRIPTION:   →Get the average of each row¶" &amp; "WEBPAGE:       →https://github.com/ryanduguid/Nabla¶" &amp; "VERSION:       →18 Aug 2026¶" &amp; "PARAMETERS:    →¶" &amp; "Array          →(Required) A two dimensional array/range containing values to be averaged by row.¶" &amp; "EXAMPLES:      →Formula (nabla.e is assumed to be the module's name)¶" &amp; "→=nabla.e.AvgRowsλ( SEQUENCE(5,5))", "→", "¶")), _xlpm.Help?, _xlfn.ISOMITTED(_xlpm.Array), _xlpm.Result, _xlfn.BYROW(_xlpm.Array, _xlfn.LAMBDA(_xlpm.Row, AVERAGE(_xlpm.Row))), CHOOSE(_xlpm.Help? + 1, _xlpm.Result, _xlpm.Help)))</definedName>
    <definedName name="nabla.e.CountAColsλ" comment="Count everything in each row">_xlfn.LAMBDA(_xlop.Array, _xlfn.LET(_xlpm.Help, TRIM(_xlfn.TEXTSPLIT("FUNCTION:      →CountAColsλ( Array )¶" &amp; "DESCRIPTION:   →Count everything in each column¶" &amp; "WEBPAGE:       →https://github.com/ryanduguid/Nabla¶" &amp; "VERSION:       →18 Aug 2026¶" &amp; "PARAMETERS:    →¶" &amp; "Array          →(Required) A two dimensional array/range containing values to be counted.¶" &amp; "EXAMPLES:      →Formula (nabla.e is assumed to be the module's name)¶" &amp; "→=nabla.e.CountAColsλ( CHOOSE( RANDARRAY( 5, 5, 1, 5),""A"", ""B"", """", 1, 2))", "→", "¶")), _xlpm.Help?, _xlfn.ISOMITTED(_xlpm.Array), _xlpm.Result, _xlfn.BYCOL(_xlpm.Array, _xlfn.LAMBDA(_xlpm.Col, COUNTA(_xlpm.Col))), CHOOSE(_xlpm.Help? + 1, _xlpm.Result, _xlpm.Help)))</definedName>
    <definedName name="nabla.e.CountARowsλ" comment="Count everything in each row">_xlfn.LAMBDA(_xlop.Array, _xlfn.LET(_xlpm.Help, TRIM(_xlfn.TEXTSPLIT("FUNCTION:      →CountARowsλ( Array)¶" &amp; "DESCRIPTION:   →Count everything in each row¶" &amp; "WEBPAGE:       →https://github.com/ryanduguid/Nabla¶" &amp; "VERSION:       →18 Aug 2026¶" &amp; "PARAMETERS:    →¶" &amp; "Array          →(Required) A two dimensional array/range containing values to be counted.¶" &amp; "EXAMPLES:      →Formula (nabla.e is assumed to be the module's name)¶" &amp; "→=nabla.e.CountARowsλ( CHOOSE( RANDARRAY( 5, 5, 1, 5),""A"", ""B"", """", 1, 2))", "→", "¶")), _xlpm.Help?, _xlfn.ISOMITTED(_xlpm.Array), _xlpm.Result, _xlfn.BYROW(_xlpm.Array, _xlfn.LAMBDA(_xlpm.Row, COUNTA(_xlpm.Row))), CHOOSE(_xlpm.Help? + 1, _xlpm.Result, _xlpm.Help)))</definedName>
    <definedName name="nabla.e.CountColsλ" comment="Count numbers in each row">_xlfn.LAMBDA(_xlop.Array, _xlfn.LET(_xlpm.Help, TRIM(_xlfn.TEXTSPLIT("FUNCTION:      →CountColsλ( Array,)¶" &amp; "DESCRIPTION:   →Count numbers in each column¶" &amp; "WEBPAGE:       →https://github.com/ryanduguid/Nabla¶" &amp; "VERSION:       →18 Aug 2026¶" &amp; "PARAMETERS:    →¶" &amp; "Array          →(Required) A two dimensional array/range containing numbers to be counted.¶" &amp; "EXAMPLES:      →Formula (nabla.e is assumed to be the module's name)¶" &amp; "→=nabla.e.CountColsλ( CHOOSE( RANDARRAY( 5, 5, 1, 5),""A"", ""B"", """", 1, 2))", "→", "¶")), _xlpm.Help?, _xlfn.ISOMITTED(_xlpm.Array), _xlpm.Result, _xlfn.BYCOL(_xlpm.Array, _xlfn.LAMBDA(_xlpm.Col, COUNT(_xlpm.Col))), CHOOSE(_xlpm.Help? + 1, _xlpm.Result, _xlpm.Help)))</definedName>
    <definedName name="nabla.e.CountCλ" comment="Count occurrences of character(s) in a string">_xlfn.LAMBDA(_xlop.Text,_xlop.Characters, _xlfn.LET(_xlpm.Help, TRIM(_xlfn.TEXTSPLIT("FUNCTION:      →CountCλ( Text, Characters)¶" &amp; "DESCRIPTION:   →Count how many of one or more characters are in a string.¶" &amp; "WEBPAGE:       →https://github.com/ryanduguid/Nabla¶" &amp; "VERSION:       →18 Aug 2026¶" &amp; "PARAMETERS:    →¶" &amp; "Text           →(Required) The string to interrogate¶" &amp; "Characters     →(Required) A single character, or CSV of characters to find in Text¶" &amp; "→NOTE! Case sensitive¶" &amp; "EXAMPLES:      →Formula (nabla.e is assumed to be the module's name)¶" &amp; "→=nabla.e.CountCλ( ""Mary had a little lamb"", ""a,b"")", "→", "¶")), _xlpm.Help?, OR(_xlfn.ISOMITTED(_xlpm.Text), _xlfn.ISOMITTED(_xlpm.Characters)), _xlpm.Characters, _xlfn.TEXTSPLIT(_xlpm.Characters, ","), _xlpm.Result, LEN(_xlpm.Text) - SUM(LEN(_xlfn.TEXTSPLIT(_xlpm.Text, _xlpm.Characters))), CHOOSE(_xlpm.Help? + 1, _xlpm.Result, _xlpm.Help)))</definedName>
    <definedName name="nabla.e.CountRowsλ" comment="Count numbers in each row">_xlfn.LAMBDA(_xlop.Array, _xlfn.LET(_xlpm.Help, TRIM(_xlfn.TEXTSPLIT("FUNCTION:      →CountRowsλ( Array)¶" &amp; "DESCRIPTION:   →Count numbers in each row¶" &amp; "WEBPAGE:       →https://github.com/ryanduguid/Nabla¶" &amp; "VERSION:       →18 Aug 2026¶" &amp; "PARAMETERS:    →¶" &amp; "Array          →(Required) A two dimensional array/range containing numbers to be counted.¶" &amp; "EXAMPLES:      →Formula (nabla.e is assumed to be the module's name)¶" &amp; "→=nabla.e.CountRowsλ( CHOOSE( RANDARRAY( 5, 5, 1, 5),""A"", ""B"", """", 1, 2))", "→", "¶")), _xlpm.Help?, _xlfn.ISOMITTED(_xlpm.Array), _xlpm.Result, _xlfn.BYROW(_xlpm.Array, _xlfn.LAMBDA(_xlpm.Row, COUNT(_xlpm.Row))), CHOOSE(_xlpm.Help? + 1, _xlpm.Result, _xlpm.Help)))</definedName>
    <definedName name="nabla.e.IsBetweenλ" comment="Determine if a value is between a lower and upper limit">_xlfn.LAMBDA(_xlop.Value,_xlop.Low,_xlop.Hi,_xlop.Inclusive, _xlfn.LET(_xlpm.Help, TRIM(_xlfn.TEXTSPLIT("FUNCTION:      →IsBetweenλ( Value, Low, Hi, [Inclusive])¶" &amp; "DESCRIPTION:   →Determine if a value is between a lower and upper limit.¶" &amp; "PARAMETERS:    →¶" &amp; "Value          →(Required) A value or array of values to compare.¶" &amp; "Lo             →(Required) The lower limit that the value must be greater than¶" &amp; "Hi             →(Required) The lower limit that the value must be less than¶" &amp; "Inclusive      →(Optional) If set to TRUE (default) the value can be equal to Lo and/or Hi¶" &amp; "→¶" &amp; "EXAMPLES       :→¶" &amp; "Result         →Formula¶" &amp; "FALSE          →=IsBetweenλ(1, 2, 4)¶" &amp; "TRUE           →=IsBetweenλ(2, 2, 4)¶" &amp; "FALSE          →=IsBetweenλ(2, 2, 4, FALSE)", "→", "¶")), _xlpm.Help?, OR(_xlfn.ISOMITTED(_xlpm.Value), _xlfn.ISOMITTED(_xlpm.Low), _xlfn.ISOMITTED(_xlpm.Hi)), _xlpm.Result, IF(_xlpm.Inclusive, (_xlpm.Value &gt;= _xlpm.Low) * (_xlpm.Value &lt;= _xlpm.Hi) = 1, (_xlpm.Value &gt; _xlpm.Low) * (_xlpm.Value &lt; _xlpm.Hi) = 1), CHOOSE(_xlpm.Help? + 1, _xlpm.Result, _xlpm.Help)))</definedName>
    <definedName name="nabla.e.IsInListλ" comment="Determine if a value is between a lower and upper limit">_xlfn.LAMBDA(_xlop.Value,_xlop.LIST, _xlfn.LET(_xlpm.Help, TRIM(_xlfn.TEXTSPLIT("FUNCTION:      →IsInListλ( Value, List)¶" &amp; "DESCRIPTION:   →Determine if a value is one of a list of items.¶" &amp; "PARAMETERS:    →¶" &amp; "Value          →(Required) A value or array of values to compare.¶" &amp; "List           →(Required) A list of values to check¶" &amp; "→¶" &amp; "EXAMPLES       :→¶" &amp; "Result         →Formula¶" &amp; "FALSE          →=IsInListλ(1, {2,3,4})¶" &amp; "TRUE           →=IsInListλ(1, {1,3,5})¶" &amp; "→", "¶")), _xlpm.Help?, OR(_xlfn.ISOMITTED(_xlpm.Value), _xlfn.ISOMITTED(_xlpm.LIST)), _xlpm.Result, NOT(ISNA(MATCH(_xlpm.Value, _xlpm.LIST, 0))), CHOOSE(_xlpm.Help? + 1, _xlpm.Result, _xlpm.Help)))</definedName>
    <definedName name="nabla.e.MaxColsλ" comment="Get the maximum for each Column">_xlfn.LAMBDA(_xlop.Array, _xlfn.LET(_xlpm.Help, TRIM(_xlfn.TEXTSPLIT("FUNCTION:      →MaxColsλ( Array)¶" &amp; "DESCRIPTION:   →Get the minimum for each Column¶" &amp; "WEBPAGE:       →https://github.com/ryanduguid/Nabla¶" &amp; "VERSION:       →18 Aug 2026¶" &amp; "PARAMETERS:    →¶" &amp; "Array          →(Required) A two dimensional array/range containing values to find the maximum by column.¶" &amp; "EXAMPLES:      →Formula (nabla.e is assumed to be the module's name)¶" &amp; "→=nabla.e.MaxColsλ( SEQUENCE(5,5))", "→", "¶")), _xlpm.Help?, _xlfn.ISOMITTED(_xlpm.Array), _xlpm.Result, _xlfn.BYCOL(_xlpm.Array, _xlfn.LAMBDA(_xlpm.Col, MAX(_xlpm.Col))), CHOOSE(_xlpm.Help? + 1, _xlpm.Result, _xlpm.Help)))</definedName>
    <definedName name="nabla.e.MaxRowsλ" comment="Get the maximum for each row">_xlfn.LAMBDA(_xlop.Array, _xlfn.LET(_xlpm.Help, TRIM(_xlfn.TEXTSPLIT("FUNCTION:      →MaxRowsλ( Array)¶" &amp; "DESCRIPTION:   →Get the maximum of each row¶" &amp; "WEBPAGE:       →https://github.com/ryanduguid/Nabla¶" &amp; "VERSION:       →18 Aug 2026¶" &amp; "PARAMETERS:    →¶" &amp; "Array          →(Required) A two dimensional array/range containing values to find the maximum by row.¶" &amp; "EXAMPLES:      →Formula (nabla.e is assumed to be the module's name)¶" &amp; "→=nabla.e.MaxRowsλ( SEQUENCE(5,5))", "→", "¶")), _xlpm.Help?, _xlfn.ISOMITTED(_xlpm.Array), _xlpm.Result, _xlfn.BYROW(_xlpm.Array, _xlfn.LAMBDA(_xlpm.Row, MAX(_xlpm.Row))), CHOOSE(_xlpm.Help? + 1, _xlpm.Result, _xlpm.Help)))</definedName>
    <definedName name="nabla.e.MinColsλ" comment="Get the minimum for each Column">_xlfn.LAMBDA(_xlop.Array, _xlfn.LET(_xlpm.Help, TRIM(_xlfn.TEXTSPLIT("FUNCTION:      →MinColsλ( Array)¶" &amp; "DESCRIPTION:   →Get the minimum for each Column¶" &amp; "WEBPAGE:       →https://github.com/ryanduguid/Nabla¶" &amp; "VERSION:       →18 Aug 2026¶" &amp; "PARAMETERS:    →¶" &amp; "Array          →(Required) A two dimensional array/range containing values to find the minumum by column.¶" &amp; "EXAMPLES:      →Formula (nabla.e is assumed to be the module's name)¶" &amp; "→=nabla.e.MinColsλ( SEQUENCE(5,5))", "→", "¶")), _xlpm.Help?, _xlfn.ISOMITTED(_xlpm.Array), _xlpm.Result, _xlfn.BYCOL(_xlpm.Array, _xlfn.LAMBDA(_xlpm.Col, MIN(_xlpm.Col))), CHOOSE(_xlpm.Help? + 1, _xlpm.Result, _xlpm.Help)))</definedName>
    <definedName name="nabla.e.MinRowsλ" comment="Get the minimum for each row">_xlfn.LAMBDA(_xlop.Array, _xlfn.LET(_xlpm.Help, TRIM(_xlfn.TEXTSPLIT("FUNCTION:      →MinRowsλ( Array)¶" &amp; "DESCRIPTION:   →Get the minimum of each row¶" &amp; "WEBPAGE:       →https://github.com/ryanduguid/Nabla¶" &amp; "VERSION:       →18 Aug 2026¶" &amp; "PARAMETERS:    →¶" &amp; "Array          →(Required) A two dimensional array/range containing values to find the minimum by row.¶" &amp; "EXAMPLES:      →Formula (nabla.e is assumed to be the module's name)¶" &amp; "→=nabla.e.MinRowsλ( SEQUENCE(5,5))", "→", "¶")), _xlpm.Help?, _xlfn.ISOMITTED(_xlpm.Array), _xlpm.Result, _xlfn.BYROW(_xlpm.Array, _xlfn.LAMBDA(_xlpm.Row, MIN(_xlpm.Row))), CHOOSE(_xlpm.Help? + 1, _xlpm.Result, _xlpm.Help)))</definedName>
    <definedName name="nabla.e.RangeToDAλ" comment="Convert a range reference to a dynamic array reference">_xlfn.LAMBDA(_xlop.Range,_xlop.Rows,_xlop.Columns, _xlfn.LET(_xlpm.Help, TRIM(_xlfn.TEXTSPLIT("FUNCTION:          →RangeToDAλ(Range, [Rows], [Columns])¶" &amp; "DESCRIPTION:       →Convert a range reference to a dynamic array reference.¶" &amp; "SEE ALSO:      →Excel 365 now has TRIMRANGE and trim references (.:.) for this.¶" &amp; "WEBSITE:           →https://github.com/ryanduguid/Nabla¶" &amp; "PARAMETERS:        →¶" &amp; "Range              →(Required) A reference to the range to be converted.¶" &amp; "Rows               →(Optional) Number of rows for the dynamic array. Defaults to 1.¶" &amp; "Columns            →(Optional) Number of columns for the dynamic array. Defaults to 1.¶" &amp; "→¶" &amp; "EXAMPLES:          →=RangeToDAλ(A1, , ModelPeriodCount)", "→", "¶")), _xlpm.Help?, _xlfn.ISOMITTED(_xlpm.Range), _xlpm.Rows, IF(ISNUMBER(_xlpm.Rows), _xlpm.Rows, 1), _xlpm.Columns, IF(ISNUMBER(_xlpm.Columns), _xlpm.Columns, 1), _xlpm.Result, OFFSET(_xlpm.Range, 0, 0, _xlpm.Rows, _xlpm.Columns), CHOOSE(_xlpm.Help? + 1, _xlpm.Result, _xlpm.Help)))</definedName>
    <definedName name="nabla.e.SumColsλ" comment="Get the total for each Column">_xlfn.LAMBDA(_xlop.Array, _xlfn.LET(_xlpm.Help, TRIM(_xlfn.TEXTSPLIT("FUNCTION:      →SumColsλ( Array)¶" &amp; "DESCRIPTION:   →Get the total of each column¶" &amp; "WEBPAGE:       →https://github.com/ryanduguid/Nabla¶" &amp; "VERSION:       →18 Aug 2026¶" &amp; "PARAMETERS:    →¶" &amp; "Array          →(Required) A two dimensional array/range containing values to be totalled by column.¶" &amp; "EXAMPLES:      →Formula (nabla.e is assumed to be the module's name)¶" &amp; "→=nabla.e.SumColsλ( SEQUENCE(5,5))", "→", "¶")), _xlpm.Help?, _xlfn.ISOMITTED(_xlpm.Array), _xlpm.Result, _xlfn.BYCOL(_xlpm.Array, _xlfn.LAMBDA(_xlpm.Col, SUM(_xlpm.Col))), CHOOSE(_xlpm.Help? + 1, _xlpm.Result, _xlpm.Help)))</definedName>
    <definedName name="nabla.e.SumRowsλ" comment="Get the total for each row">_xlfn.LAMBDA(_xlop.Array, _xlfn.LET(_xlpm.Help, TRIM(_xlfn.TEXTSPLIT("FUNCTION:      →SumRowsλ( Array)¶" &amp; "DESCRIPTION:   →Get the total of each row¶" &amp; "WEBPAGE:       →https://github.com/ryanduguid/Nabla¶" &amp; "VERSION:       →18 Aug 2026¶" &amp; "PARAMETERS:    →¶" &amp; "Array          →(Required) A two dimensional array/range containing values to be totalled by row.¶" &amp; "EXAMPLES:      →Formula (nabla.e is assumed to be the module's name)¶" &amp; "→=nabla.e.SumRowsλ( SEQUENCE(5,5))", "→", "¶")), _xlpm.Help?, _xlfn.ISOMITTED(_xlpm.Array), _xlpm.Result, _xlfn.BYROW(_xlpm.Array, _xlfn.LAMBDA(_xlpm.Row, SUM(_xlpm.Row))), CHOOSE(_xlpm.Help? + 1, _xlpm.Result, _xlpm.Help)))</definedName>
    <definedName name="nabla.f.Aboutλ" comment="Displays this module's repository URL and function list">TRIM(_xlfn.TEXTSPLIT("ABOUT:             →nabla's Financial Models module. Suggested module name: nabla.f¶" &amp; "VERSION:           →18 Aug 2026¶" &amp; "REPOSITORY:          →https://github.com/ryanduguid/Nabla ¶" &amp; "WEBSITE:           →https://github.com/ryanduguid/Nabla ¶" &amp; "→¶" &amp; "FUNCTION           →DESCRIPTION¶" &amp; "Aboutλ             →Produces this table¶" &amp; "Corkscrewλ         →Creates a simple corkscrew where the closing balance is the sum of independent flows plus opening balance¶" &amp; "CorkScrewReversalλ →Create a corkscrew where the opening balance is reversed in the next period based on a timing row¶" &amp; "Cumulativeλ        →Creates a row or column of cumulative totals from a total row or column¶" &amp; "IntOnIntλ          →Calculate Interest on Interest. Use to determine amount needed to cover debt plus interest on debt¶" &amp; "IRRλ               →Calculates IRR, correcting for when the first investment is not in the first period¶" &amp; "Movementλ          →Create a row of differences from column to column¶" &amp; "Reversalλ          →Create a row that reverses input values in the next period.¶" &amp; "RollingAvgλ        →Finds the maximum value the n preceding values in a set moving from beginning to end over a row of values.¶" &amp; "RollingMaxλ        →Finds the maximum value the n preceding values in a set moving from beginning to end over a row of values.¶" &amp; "RollingMinλ        →Finds the minimum value the n preceding values in a set moving from beginning to end over a row of values.¶" &amp; "RollingSumλ        →Creates totals for preceding values of a set size moving from beginning to end over a row of values.¶" &amp; "SumContainsλ       →Creates a row of totals for each row in an array where its labels contain a unique letter, word, or phrase.¶" &amp; "SumPeriodsλ        →Groups and totals all columns in a Values array by period resulting in one column for each period.¶" &amp; "→¶" &amp; "AMORTISATION SUITE→¶" &amp; "Amortiseλ          →Creates a corkscrew amortisation schedule.¶" &amp; "LabelAmortiseλ     →Create row labels for Amortiseλ result¶" &amp; "SumAmortiseλ       →Create row totals for payments, interest, and principal portion in Amortiseλ results¶" &amp; "→¶" &amp; "DEPRECIATION SUITE→¶" &amp; "Depreciateλ        →Create a block of CAPEX, Opening Balance, Depreciation Values, and Book Value for each asset¶" &amp; "LabelDepreciateλ   →Create row labels for Depreciateλ result¶" &amp; "SumDepreciateλ     →Create row totals for CAPEX, Depreciation, Book Value, Salvage Value, and Disposal costs in Depreciateλ results¶" &amp; "Allocateλ          →Divide one or more amounts equally across smaller periods¶" &amp; "SLNλ               →Straight Line depreciation method for one asset or asset class.¶" &amp; "SYDλ               →Sum-of-years' digits depreciation method for one asset or asset class.¶" &amp; "DBλ                →Fixed declining balance depreciation method for one asset or asset class.¶" &amp; "DDBλ               →Double-declining balance depreciation method for one asset or asset class.¶" &amp; "VDBλ               →Variable declining balance depreciation method for one asset or asset class.¶" &amp; "DiminishingValueλ  →Diminishing value depreciation (ATO 200% method) for one asset or asset class.¶" &amp; "PrimeCostλ         →Prime cost (straight line) depreciation, ATO method, for one asset or asset class.¶" &amp; "GSTAddλ            →Adds GST to one or more GST-exclusive amounts.¶" &amp; "GSTExtractλ        →Returns the GST contained in one or more GST-inclusive amounts.¶" &amp; "→¶" &amp; "SUBROUTINES        →Functions used by other functions or general purpose functions.¶" &amp; "FilterContainsλ    →Filter an array by another array that contains specific text¶" &amp; "RangeToDAλ         →Create a dynamic array from a static range¶" &amp; "TimelineOffsetλ    →Determines how many columns a date is offset from a timeline's first date¶" &amp; "TimelinePositionλ  →Places an array or value appropriately within a model's timeline.¶" &amp; "PeriodStartλ       →Determine when a period containing a date of interest starts.¶" &amp; "PeriodDiffλ        →Determine the number of periods between two dates.", "→", "¶"))</definedName>
    <definedName name="nabla.f.Allocateλ" comment="→Divide one or more amounts equally across smaller periods">_xlfn.LAMBDA(_xlop.Amounts,_xlop.FromInterval,_xlop.ToInterval, _xlfn.LET(_xlpm.Help, TRIM(_xlfn.TEXTSPLIT("FUNCTION:      →Allocateλ(Amounts, [FromInterval], [ToInterval])¶" &amp; "DESCRIPTION:   →Divide one or more amounts equally across smaller periods¶" &amp; "WEBPAGE:       →https://github.com/ryanduguid/Nabla¶" &amp; "VERSION:       →18 Aug 2026¶" &amp; "PARAMETERS:    →¶" &amp; "Amounts        →(Required) One amount or a row of amounts to allocate.¶" &amp; "FromInterval   →(Optional Default=Y) The larger interval in Q=Quarters or Y=Years¶" &amp; "ToInterval     →(Optional Default=M) The smaller interval in W=Weeks, M=Months, or Q=Quarters¶" &amp; "NOTE!          →¶" &amp; "→When a From Period's amount does not divide evenly to the 1/100 for all To Periods',¶" &amp; "→the last To Period contains the necessary adjustment.¶" &amp; "EXAMPLES:      →¶" &amp; "→Formula (nabla.f is assumed to be the module's name)¶" &amp; "→=nabla.f.Allocateλ({999.99, 2000}, ""Y"", ""Q"")¶" &amp; "→Result¶" &amp; "→250,250,250,249.99,500,500,500,500", "→", "¶")), _xlpm.Help?, _xlfn.ISOMITTED(_xlpm.Amounts), _xlpm.FromInterval, IF(_xlfn.ISOMITTED(_xlpm.FromInterval), "Y", _xlpm.FromInterval), _xlpm.ToInterval, IF(_xlfn.ISOMITTED(_xlpm.ToInterval), "M", _xlpm.ToInterval), _xlpm.From, _xlfn.SWITCH(_xlpm.FromInterval, "Y", 1, "Q", 4), _xlpm.To, _xlfn.SWITCH(_xlpm.ToInterval, "Q", 4, "M", 12, "W", 52), _xlpm.FromCount, COUNT(_xlpm.Amounts), _xlpm.ToCount, _xlpm.To / _xlpm.From, _xlpm.Result, _xlfn.REDUCE(0, _xlfn.SEQUENCE(, _xlpm.FromCount), _xlfn.LAMBDA(_xlpm.Acc,_xlpm.n, _xlfn.LET(_xlpm.FromAmount, INDEX(_xlpm.Amounts, _xlpm.n), _xlpm.ToAmount, ROUND(_xlpm.FromAmount * _xlpm.From / _xlpm.To, 2), _xlpm.BaseArray, _xlfn.EXPAND(_xlpm.ToAmount, 1, _xlpm.ToCount, _xlpm.ToAmount), _xlpm.ToArray, IF(_xlpm.ToCount = 1, _xlpm.BaseArray, _xlfn.HSTACK(_xlfn.TAKE(_xlpm.BaseArray, 1, _xlpm.ToCount - 1), _xlpm.FromAmount - SUM(_xlfn.TAKE(_xlpm.BaseArray, 1, _xlpm.ToCount - 1)))), _xlpm.Result, IF(_xlpm.n = 1, _xlpm.ToArray, _xlfn.HSTACK(_xlpm.Acc, _xlpm.ToArray)), _xlpm.Result))), CHOOSE(_xlpm.Help? + 1, _xlpm.Result, _xlpm.Help)))</definedName>
    <definedName name="nabla.f.Amortiseλ" comment="Creates a corkscrew amortisation schedule">_xlfn.LAMBDA(_xlop.Principals,_xlop.APRs,_xlop.Terms,_xlop.StartDates,_xlop.Timeline, _xlfn.LET(_xlpm.Help, TRIM(_xlfn.TEXTSPLIT("FUNCTION:      →Amortiseλ( Principals, APRs, Terms, StartDates, [Timeline])¶" &amp; "DESCRIPTION:   →Creates an amortisation schedule array for one or more loans.¶" &amp; "→It assumes all payments are made monthly.¶" &amp; "→Use LableAmortiseλ() to apply labels to this function's results:¶" &amp; "→Use SumAmortiseλ() to apply totals to this function's results:¶" &amp; "WEBPAGE:       →https://github.com/ryanduguid/Nabla¶" &amp; "VERSION:       →18 Aug 2026¶" &amp; "PARAMETERS:→¶" &amp; "Principals     →(Required) Loan/debt amounts.¶" &amp; "APRs           →(Required) Annual Percentage Rates for interest.¶" &amp; "Terms          →(Required) Number of months for loans/debts.¶" &amp; "StartDates     →(Required) Dates debts are issued.¶" &amp; "Timeline       →(Optional) An array of dates. If omitted, a row of months starting on start date will be added¶" &amp; "EXAMPLES:→¶" &amp; "Result         →Formula (nabla.f is assumed to be the module's name)¶" &amp; "→=nabla.f.Amortiseλ(10000, 5%, 4 * 12, ""2025-01-01"")", "→", "¶")), _xlpm.MpY, 12, _xlpm.ADpM, 30.42, _xlpm.Help?, OR(_xlfn.ISOMITTED(_xlpm.Principals), _xlfn.ISOMITTED(_xlpm.APRs), _xlfn.ISOMITTED(_xlpm.Terms), _xlfn.ISOMITTED(_xlpm.StartDates)), _xlpm.Timeline, IF(_xlfn.ISOMITTED(_xlpm.Timeline), _xlfn.LET(_xlpm.Counter, ROWS(_xlpm.Principals), _xlpm.MaxDate, MAX(_xlfn.MAP(_xlpm.Counter, _xlfn.LAMBDA(_xlpm.n, EDATE(INDEX(_xlpm.StartDates, _xlpm.n), INDEX(_xlpm.Terms, _xlpm.n) - 1)))), _xlpm.MinDate, MIN(_xlpm.StartDates), _xlpm.MaxTerm, DATEDIF(_xlpm.MinDate, _xlpm.MaxDate, "M") + 1, _xlpm.Result, EDATE(_xlpm.MinDate, _xlfn.SEQUENCE(1, _xlpm.MaxTerm, 0)), _xlpm.Result), _xlpm.Timeline), _xlpm.FirstPeriod, INDEX(_xlpm.Timeline, 1), _xlpm.SecondPeriod, INDEX(_xlpm.Timeline, 2), _xlpm.MpP, _xlfn.SINGLE(ROUND((_xlpm.SecondPeriod - _xlpm.FirstPeriod) / _xlpm.ADpM, 0)), _xlpm.PpY, _xlpm.MpY / _xlpm.MpP, _xlpm.Recursion, _xlfn.LAMBDA(_xlpm.fn,_xlpm.Principals,_xlpm.APRs,_xlpm.Terms,_xlpm.StartDates,_xlpm.Timeline,_xlpm.Asset, _xlfn.LET(_xlpm.Principal, INDEX(_xlpm.Principals, _xlpm.Asset), _xlpm.APR, INDEX(_xlpm.APRs, _xlpm.Asset), _xlpm.Term, INDEX(_xlpm.Terms, _xlpm.Asset), _xlpm.StartDate, INDEX(_xlpm.StartDates, _xlpm.Asset), _xlpm.Periods, ROUNDUP(_xlpm.Term / _xlpm.MpP, 0), _xlpm.Rows, 1, _xlpm.Cols, _xlpm.Periods, _xlpm.Rate, _xlpm.APR / _xlpm.MpY, _xlpm.MonthlyPayment, PMT(_xlpm.Rate, _xlpm.Term, _xlpm.Principal), _xlpm.MonthlyPrincipal, -FV(_xlpm.Rate, _xlfn.SEQUENCE(1, _xlpm.Term, 0), _xlpm.MonthlyPayment, _xlpm.Principal), _xlpm.MonthlyInterest, _xlpm.MonthlyPrincipal * _xlpm.Rate, _xlpm.DebtIssueArray, _xlfn.EXPAND(_xlpm.Principal, 1, _xlpm.Periods, 0), _xlpm.PrincipalArray, IF(_xlpm.MpP = 1, _xlpm.MonthlyPrincipal, _xlfn.MAKEARRAY(1, _xlpm.Periods, _xlfn.LAMBDA(_xlpm.R,_xlpm.C, _xlfn.LET(_xlpm.Idx, (_xlpm.C - 1) * _xlpm.MpP + 1, INDEX(_xlpm.MonthlyPrincipal, _xlpm.Idx))))), _xlpm.InterestArray, IF(_xlpm.MpP = 1, _xlpm.MonthlyInterest, _xlfn.LET(_xlpm.MoInt, _xlfn.EXPAND(_xlpm.MonthlyInterest, 1, ROUNDUP(_xlpm.Term / _xlpm.MpP, 0) * _xlpm.MpP, 0), _xlfn.MAKEARRAY(1, _xlpm.Periods, _xlfn.LAMBDA(_xlpm.R,_xlpm.C, _xlfn.LET(_xlpm.Idx, (_xlpm.C - 1) * _xlpm.MpP + 1, SUM(_xlfn.CHOOSECOLS(_xlpm.MoInt, _xlfn.SEQUENCE(1, _xlpm.MpP, _xlpm.Idx)))))))), _xlpm.PaymentArray, _xlfn.LET(_xlpm.MoPmt, _xlfn.EXPAND(_xlfn.SEQUENCE(1, _xlpm.Term, _xlpm.MonthlyPayment, 0), 1, ROUNDUP(_xlpm.Term / _xlpm.MpP, 0) * _xlpm.MpP, 0), _xlfn.MAKEARRAY(1, _xlpm.Periods, _xlfn.LAMBDA(_xlpm.R,_xlpm.C, _xlfn.LET(_xlpm.Idx, (_xlpm.C - 1) * _xlpm.MpP + 1, SUM(_xlfn.CHOOSECOLS(_xlpm.MoPmt, _xlfn.SEQUENCE(1, _xlpm.MpP, _xlpm.Idx))))))), _xlpm.ClosingArray, _xlpm.PrincipalArray + _xlpm.InterestArray + _xlpm.PaymentArray, _xlpm.PortionArray, -_xlpm.PaymentArray - _xlpm.InterestArray, _xlpm.AmortisationSched, _xlfn.VSTACK(_xlpm.DebtIssueArray, _xlpm.PrincipalArray, _xlpm.InterestArray, _xlpm.PaymentArray, _xlpm.ClosingArray, _xlpm.PortionArray), _xlpm.Offset, nabla.f.TimelineOffsetλ(_xlpm.StartDate, _xlpm.Timeline), _xlpm.NewBlock, nabla.f.TimelinePositionλ(_xlpm.AmortisationSched, _xlpm.Timeline, _xlpm.Offset), _xlpm.Result, IF(_xlpm.Asset = ROWS(_xlpm.Principals), _xlpm.NewBlock, _xlfn.VSTACK(_xlpm.NewBlock, _xlfn.EXPAND({" "}, 1, COUNTA(_xlpm.Timeline), " "), _xlpm.fn(_xlpm.fn, _xlpm.Principals, _xlpm.APRs, _xlpm.Terms, _xlpm.StartDates, _xlpm.Timeline, _xlpm.Asset + 1))), _xlpm.Result)), _xlpm.Result, _xlpm.Recursion(_xlpm.Recursion, _xlpm.Principals, _xlpm.APRs, _xlpm.Terms, _xlpm.StartDates, _xlpm.Timeline, 1), CHOOSE(_xlpm.Help? + 1, _xlpm.Result, _xlpm.Help)))</definedName>
    <definedName name="nabla.f.AmortiseλDV" comment="Provides extended data validation of arguments for Amortiseλ()">_xlfn.LAMBDA(_xlop.Principal,_xlop.APR,_xlop.Term,_xlop.StartDate,_xlop.Timeline, _xlfn.LET(_xlpm.ErrorsInArgs, _xlfn.VSTACK(OR(ISERROR(_xlpm.Principal)), OR(ISERROR(_xlpm.APR)), OR(ISERROR(_xlpm.Term)), OR(ISERROR(_xlpm.StartDate)), OR(ISERROR(_xlpm.Timeline))), _xlpm.DVArg1, IF(OR(_xlfn.ISOMITTED(_xlpm.Principal), ISERROR(_xlpm.Principal)), FALSE, OR(IFERROR(VALUE(_xlpm.Principal) &lt; 1, TRUE))), _xlpm.DVArg2, IF(OR(_xlfn.ISOMITTED(_xlpm.APR), ISERROR(_xlpm.APR)), FALSE, OR(IFERROR(VALUE(_xlpm.APR) &lt;= 0, TRUE))), _xlpm.DVArg3, IF(OR(_xlfn.ISOMITTED(_xlpm.Term), ISERROR(_xlpm.Term)), FALSE, OR(IFERROR(VALUE(_xlpm.Term) &lt; 1, TRUE))), _xlpm.DVArg4, IF(OR(_xlfn.ISOMITTED(_xlpm.StartDate), ISERROR(_xlpm.StartDate)), FALSE, OR(IFERROR(VALUE(_xlpm.StartDate) &lt; MIN(_xlpm.Timeline), TRUE))), _xlpm.DVArg5, IF(OR(_xlfn.ISOMITTED(_xlpm.Timeline), ISERROR(_xlpm.Timeline)), FALSE, OR(IFERROR(VALUE(_xlpm.Timeline) &lt; 1, TRUE))), _xlpm.DVArg6, IF(OR(_xlfn.ISOMITTED(_xlpm.Timeline), ISERROR(_xlpm.Timeline), _xlpm.DVArg5), FALSE, COUNTA(_xlpm.Timeline) &lt; 2), _xlpm.DVArg7, IF(OR(_xlfn.ISOMITTED(_xlpm.Timeline), ISERROR(_xlpm.Timeline), _xlpm.DVArg5, _xlpm.DVArg6), FALSE, (INDEX(_xlpm.Timeline, 2) - INDEX(_xlpm.Timeline, 1)) &lt; 30), _xlpm.DVErrors, _xlfn.VSTACK(_xlpm.DVArg1, _xlpm.DVArg2, _xlpm.DVArg3, _xlpm.DVArg4, _xlpm.DVArg5, _xlpm.DVArg6, _xlpm.DVArg7), _xlpm.AnyErrors?, OR(_xlpm.ErrorsInArgs, _xlpm.DVErrors), _xlpm.Errors2Show, _xlfn.VSTACK(_xlpm.ErrorsInArgs, _xlpm.DVErrors), _xlpm.ErrMsgs, {"Amount contains errors in cells. Resolve errors first.";"APR contains errors in cells. Resolve errors first.";"Term contains errors in cells. Resolve errors first.";"StartDate contains errors in cells. Resolve errors first.";"Timeline contains errors in cells. Resolve errors first.";"Amount must be greater than 0";"APR must be a percentage greater than 0";"Term must be the number of timeline periods until the debt is satisfied.";"StartDate must be a valid date.";"Timeline must a row of period start dates with every period spanning a month, quarter or year.";"Timeline must a row of period start dates with more than 1 entry.";"Timeline must a row of period start dates spanning no less than a month."}, _xlpm.Messages, _xlfn._xlws.FILTER(_xlpm.ErrMsgs, _xlpm.Errors2Show, ""), _xlpm.Return, IF(OR(_xlpm.Errors2Show), 2, IF(_xlpm.AnyErrors?, 3, 1)), CHOOSE(_xlpm.Return, TRUE, _xlpm.Messages, #VALUE!)))</definedName>
    <definedName name="nabla.f.CorkScrewReversalλ" comment="Create a corkscrew where the opening balance is reversed in the next period based on a timing parameter.">_xlfn.LAMBDA(_xlop.Opening,_xlop.ReversalFlags,_xlop.Flow1,_xlop.Flow2,_xlop.Flow3,_xlop.Flow4, _xlfn.LET(_xlpm.Help, TRIM(_xlfn.TEXTSPLIT("FUNCTION:      →Corkscrewλ( Opening, FLow1, [Flow2], [Flow3], [Flow4])¶" &amp; "DESCRIPTION:   →Create a corkscrew where the opening balance is reversed in the next period based on a timing parameter¶" &amp; "WEBPAGE:       →&lt;Coming Soon&gt;¶" &amp; "VERSION:       →18 Aug 2026¶" &amp; "PARAMETERS:→¶" &amp; "Opening        →(Required) First periods opening balance.¶" &amp; "ReversalFlags  →(Required) A row of ones and blanks (or zeros) indicating when to reverse period totals.¶" &amp; "Flow1          →(Required) First row (or array of rows) of numbers to include in period totals.¶" &amp; "Flow2          →(Optional) Second row (or array of rows) of numbers to include in period totals.¶" &amp; "Flow3          →(Optional) Third row (or array of rows) of numbers to include in period totals.¶" &amp; "Flow4          →(Optional) Fourth row (or array of rows) of numbers to include in period totals.¶" &amp; "NOTE!          →All flows are added. To subtract a flow make it negative.", "→", "¶")), _xlpm.Help?, OR(_xlfn.ISOMITTED(_xlpm.Opening), _xlfn.ISOMITTED(_xlpm.ReversalFlags), _xlfn.ISOMITTED(_xlpm.Flow1)), _xlpm.Cols, COLUMNS(_xlpm.Flow1), _xlpm.Rows, IF(_xlfn.ISOMITTED(_xlpm.Flow2), 1, IF(_xlfn.ISOMITTED(_xlpm.Flow3), 2, IF(_xlfn.ISOMITTED(_xlpm.Flow4), 3, 4))), _xlpm.PeriodArray, _xlfn.SWITCH(_xlpm.Rows, 1, _xlpm.Flow1, 2, _xlfn.VSTACK(_xlpm.Flow1, _xlpm.Flow2), 3, _xlfn.VSTACK(_xlpm.Flow1, _xlpm.Flow2, _xlpm.Flow3), 4, _xlfn.VSTACK(_xlpm.Flow1, _xlpm.Flow2, _xlpm.Flow3, _xlpm.Flow4)), _xlpm.PeriodTotal, _xlfn.BYCOL(_xlpm.PeriodArray, _xlfn.LAMBDA(_xlpm.Col, SUM(_xlpm.Col))), _xlpm.Result, _xlfn.REDUCE(0, _xlfn.SEQUENCE(COLUMNS(_xlpm.Flow1)), _xlfn.LAMBDA(_xlpm.Acc,_xlpm.Col, _xlfn.LET(_xlpm.Opening, IF(_xlpm.Col = 1, _xlpm.Opening, _xlfn.TAKE(_xlpm.Acc, -1, -1)), _xlpm.Reversal, -INDEX(_xlpm.ReversalFlags, 1, _xlpm.Col) * _xlpm.Opening, _xlpm.ArrayColumn, _xlfn.CHOOSECOLS(_xlpm.PeriodArray, _xlpm.Col), _xlpm.Stack, _xlfn.VSTACK(_xlpm.Opening, _xlpm.Reversal, _xlpm.ArrayColumn, SUM(_xlpm.Opening, _xlpm.Reversal, _xlpm.ArrayColumn)), _xlpm.Result, IF(_xlpm.Col = 1, _xlpm.Stack, _xlfn.HSTACK(_xlpm.Acc, _xlpm.Stack)), _xlpm.Result))), CHOOSE(_xlpm.Help? + 1, _xlpm.Result, _xlpm.Help)))</definedName>
    <definedName name="nabla.f.Corkscrewλ" comment="Create a corkscrew section that sums the opening balance and up to 4 independent flows.">_xlfn.LAMBDA(_xlop.Opening,_xlop.Flow1,_xlop.Flow2,_xlop.Flow3,_xlop.Flow4, _xlfn.LET(_xlpm.Help, TRIM(_xlfn.TEXTSPLIT("FUNCTION:      →Corkscrewλ( Opening, FLow1, [Flow2], [Flow3], [Flow4])¶" &amp; "DESCRIPTION:   →Create a corkscrew section that sums the opening balance and up to 4 independent flows¶" &amp; "WEBPAGE:       →&lt;Coming Soon&gt;¶" &amp; "VERSION:       →18 Aug 2026¶" &amp; "PARAMETERS:→¶" &amp; "Opening        →(Required) First periods opening balance.¶" &amp; "Flow1          →(Required) First row (or array of rows) of numbers to include in period totals.¶" &amp; "Flow2          →(Optional) Second row (or array of rows) of numbers to include in period totals.¶" &amp; "Flow3          →(Optional) Third row (or array of rows) of numbers to include in period totals.¶" &amp; "Flow4          →(Optional) Fourth row (or array of rows) of numbers to include in period totals.¶" &amp; "NOTE!          →All flows are added. To subtract a flow make it negative.¶" &amp; "→¶" &amp; "EXAMPLES:      →NOTE! nabla.f is assumed to be the module's name¶" &amp; "Formula:       →=nabla.f.Corkscrewλ(0, Sequence(1,5))¶" &amp; "Result:        →00, 01, 03, 06, 10¶" &amp; "→01, 02, 03, 04, 05¶" &amp; "→01, 03, 06, 10, 15", "→", "¶")), _xlpm.Help?, OR(_xlfn.ISOMITTED(_xlpm.Opening), _xlfn.ISOMITTED(_xlpm.Flow1)), _xlpm.Cols, COLUMNS(_xlpm.Flow1), _xlpm.Rows, IF(_xlfn.ISOMITTED(_xlpm.Flow2), 1, IF(_xlfn.ISOMITTED(_xlpm.Flow3), 2, IF(_xlfn.ISOMITTED(_xlpm.Flow4), 3, 4))), _xlpm.PeriodArray, _xlfn.SWITCH(_xlpm.Rows, 1, _xlpm.Flow1, 2, _xlfn.VSTACK(_xlpm.Flow1, _xlpm.Flow2), 3, _xlfn.VSTACK(_xlpm.Flow1, _xlpm.Flow2, _xlpm.Flow3), 4, _xlfn.VSTACK(_xlpm.Flow1, _xlpm.Flow2, _xlpm.Flow3, _xlpm.Flow4)), _xlpm.PeriodTotal, _xlfn.BYCOL(_xlpm.PeriodArray, _xlfn.LAMBDA(_xlpm.Col, SUM(_xlpm.Col))), _xlpm.ClosingTotal, _xlfn.SCAN(_xlpm.Opening, _xlpm.PeriodTotal, _xlfn.LAMBDA(_xlpm.Opn,_xlpm.PrdTot, _xlpm.Opn + _xlpm.PrdTot)), _xlpm.OpeningTotal, _xlfn.MAP(_xlfn.SEQUENCE(, _xlpm.Cols), _xlfn.LAMBDA(_xlpm.Col, IF(_xlpm.Col = 1, _xlpm.Opening, INDEX(_xlpm.ClosingTotal, _xlpm.Col - 1)))), _xlpm.Result, _xlfn.VSTACK(_xlpm.OpeningTotal, _xlpm.PeriodArray, _xlpm.ClosingTotal), CHOOSE(_xlpm.Help? + 1, _xlpm.Result, _xlpm.Help)))</definedName>
    <definedName name="nabla.f.CorkscrewλDV" comment="Provides extended data validation of arguments for Depreciateλ.">_xlfn.LAMBDA(_xlop.Opening,_xlop.Flow1,_xlop.Flow2,_xlop.Flow3,_xlop.Flow4,_xlop.Diagnostics, _xlfn.LET(_xlpm.ErrorsInArgs, _xlfn.VSTACK(OR(ISERROR(_xlpm.Opening)), OR(ISERROR(_xlpm.Flow1)), OR(ISERROR(_xlpm.Flow2)), OR(ISERROR(_xlpm.Flow3)), OR(ISERROR(_xlpm.Flow4))), _xlpm.DVArg1, IF(OR(_xlfn.ISOMITTED(_xlpm.Opening), ISERROR(_xlpm.Opening)), FALSE, NOT(ISNUMBER(_xlpm.Opening))), _xlpm.DVArg2, IF(OR(_xlfn.ISOMITTED(_xlpm.Flow1), ISERROR(_xlpm.Flow1)), FALSE, NOT(AND(ISNUMBER(_xlpm.Flow1)))), _xlpm.DVArg3, IF(OR(_xlfn.ISOMITTED(_xlpm.Flow2), ISERROR(_xlpm.Flow2)), FALSE, NOT(AND(ISNUMBER(_xlpm.Flow2)))), _xlpm.DVArg4, IF(OR(_xlfn.ISOMITTED(_xlpm.Flow3), ISERROR(_xlpm.Flow3)), FALSE, NOT(AND(ISNUMBER(_xlpm.Flow3)))), _xlpm.DVArg5, IF(OR(_xlfn.ISOMITTED(_xlpm.Flow4), ISERROR(_xlpm.Flow4)), FALSE, NOT(AND(ISNUMBER(_xlpm.Flow4)))), _xlpm.DVErrors, _xlfn.VSTACK(_xlpm.DVArg1, _xlpm.DVArg2, _xlpm.DVArg3, _xlpm.DVArg4, _xlpm.DVArg5), _xlpm.AnyErrors?, OR(_xlpm.ErrorsInArgs, _xlpm.DVErrors), _xlpm.Errors2Show, _xlfn.VSTACK(_xlpm.Diagnostics * _xlpm.ErrorsInArgs, _xlpm.Diagnostics * _xlpm.DVErrors), _xlpm.ErrMsgs, {"Opening contains errors in cells. Resolve errors first.";"Flow1 contains errors in cells. Resolve errors first.";"Flow2 contains errors in cells. Resolve errors first.";"Flow3 contains errors in cells. Resolve errors first.";"Flow4 contains errors in cells. Resolve errors first.";"Set Opening must to contain only numeric values.";"Set Flow1 to contain only numeric values.";"Set Flow2 to contain only numeric values.";"Set Flow3 to contain only numeric values.";"Set Flow4 to contain only numeric values."}, _xlpm.Messages, _xlfn._xlws.FILTER(_xlpm.ErrMsgs, _xlpm.Errors2Show, ""), _xlpm.Return, IF(OR(_xlpm.Errors2Show), 2, IF(_xlpm.AnyErrors?, 3, 1)), CHOOSE(_xlpm.Return, TRUE, _xlpm.Messages, #VALUE!)))</definedName>
    <definedName name="nabla.f.Cumulativeλ" comment="Creates a row or column of cumulative totals from a total row or column">_xlfn.LAMBDA(_xlop.Totals,_xlop.OpeningBalance, _xlfn.LET(_xlpm.Help, TRIM(_xlfn.TEXTSPLIT("FUNCTION:      →Cumulativeλ( Totals, [OpeningBalance])¶" &amp; "DESCRIPTION:   →Creates a row or column of cumulative totals from a total row or column¶" &amp; "WEBPAGE:       →https://github.com/ryanduguid/Nabla¶" &amp; "VERSION:       →18 Aug 2026¶" &amp; "PARAMETERS:    →¶" &amp; "Totals         →(Required) A row or column of totals from which to run cumulative totals¶" &amp; "OpeningBalance →(Optional) A starting balance. This defaults to 0¶" &amp; "EXAMPLES:      →¶" &amp; "Result         →Formula (nabla.f is assumed to be the module's name)¶" &amp; "1,3,6          →=nabla.f.Cumulativeλ(Sequence(,3))", "→", "¶")), _xlpm.Help?, _xlfn.ISOMITTED(_xlpm.Totals), _xlpm.Result, _xlfn.SCAN(_xlpm.OpeningBalance, _xlpm.Totals, _xlfn.LAMBDA(_xlpm.PreviousAmount,_xlpm.CurrentAmount, _xlpm.PreviousAmount + _xlpm.CurrentAmount)), CHOOSE(_xlpm.Help? + 1, _xlpm.Result, _xlpm.Help)))</definedName>
    <definedName name="nabla.f.DBλ" comment="Fixed declining balance depreciation method for one asset or asset class.">_xlfn.LAMBDA(_xlop.Cost,_xlop.Salvage,_xlop.Life,_xlop.Months, _xlfn.LET(_xlpm.Help, TRIM(_xlfn.TEXTSPLIT("FUNCTION:      →DBλ(Cost, Salvage, Life, [Month])¶" &amp; "DESCRIPTION:   →Fixed declining balance depreciation method for one asset or asset class¶" &amp; "WEBPAGE:       →https://github.com/ryanduguid/Nabla¶" &amp; "VERSION:       →18 Aug 2026¶" &amp; "PARAMETERS:    →¶" &amp; "Cost           →(Required) Asset's initial cost.¶" &amp; "Salvage        →(Required) Asset's value and end of life. Salvage cannot be 0.¶" &amp; "Life           →(Required) Asset's useful life in years.¶" &amp; "Months         →(Optional) Number of months in the first year to depreciate.¶" &amp; "EXAMPLES:      →¶" &amp; "→Formula (nabla.f is assumed to be the module's name)¶" &amp; "→=nabla.f.DBλ(1000, 100, 5)¶" &amp; "→Result¶" &amp; "→369.00,232.84,146.92,92.71,58.53", "→", "¶")), _xlpm.Help?, OR(_xlfn.ISOMITTED(_xlpm.Cost), _xlfn.ISOMITTED(_xlpm.Salvage), _xlfn.ISOMITTED(_xlpm.Life)), _xlpm.Months, IF(_xlfn.ISOMITTED(_xlpm.Months), 12, _xlpm.Months), _xlpm.Depn, DB(_xlpm.Cost, _xlpm.Salvage, _xlpm.Life, _xlfn.SEQUENCE(, _xlpm.Life - 1), _xlpm.Months), _xlpm.Result, _xlfn.HSTACK(_xlpm.Depn, _xlpm.Cost - SUM(_xlpm.Depn) - _xlpm.Salvage), CHOOSE(_xlpm.Help? + 1, _xlpm.Result, _xlpm.Help)))</definedName>
    <definedName name="nabla.f.DDBλ" comment="Double-declining balance depreciation method for one asset or asset class.">_xlfn.LAMBDA(_xlop.Cost,_xlop.Salvage,_xlop.Life,_xlop.Factor, _xlfn.LET(_xlpm.Help, TRIM(_xlfn.TEXTSPLIT("FUNCTION:      →DBλ(Cost, Salvage, Life, [Factor])¶" &amp; "DESCRIPTION:   →Double-declining balance depreciation method for one asset or asset class.¶" &amp; "WEBPAGE:       →https://github.com/ryanduguid/Nabla¶" &amp; "VERSION:       →18 Aug 2026¶" &amp; "PARAMETERS:    →¶" &amp; "Cost           →(Required) Asset's initial cost.¶" &amp; "Salvage        →(Required) Asset's value and end of life. Salvage cannot be 0.¶" &amp; "Life           →(Required) Asset's useful life in years.¶" &amp; "Factor         →(Optional Default=2) Rate at which the balance declines.¶" &amp; "EXAMPLES:      →¶" &amp; "→Formula (nabla.f is assumed to be the module's name)¶" &amp; "→=nabla.f.DDBλ(1000, 100, 5)¶" &amp; "→Result¶" &amp; "→400.00,240.00,144.00,86.40,29.60", "→", "¶")), _xlpm.Help?, OR(_xlfn.ISOMITTED(_xlpm.Cost), _xlfn.ISOMITTED(_xlpm.Salvage), _xlfn.ISOMITTED(_xlpm.Life)), _xlpm.Factor, IF(_xlfn.ISOMITTED(_xlpm.Factor), 2, _xlpm.Factor), _xlpm.Depn, DDB(_xlpm.Cost, _xlpm.Salvage, _xlpm.Life, _xlfn.SEQUENCE(, _xlpm.Life - 1), _xlpm.Factor), _xlpm.Result, _xlfn.HSTACK(_xlpm.Depn, _xlpm.Cost - SUM(_xlpm.Depn) - _xlpm.Salvage), CHOOSE(_xlpm.Help? + 1, _xlpm.Result, _xlpm.Help)))</definedName>
    <definedName name="nabla.f.Depreciateλ" comment="Create a block of CAPEX, Opening Balance, Depreciation Values, and Book Value for each asset">_xlfn.LAMBDA(_xlop.InitialValues,_xlop.InServiceDates,_xlop.LifeInYears,_xlop.Timeline,_xlop.SalvageValues,_xlop.DisposalDates,_xlop.DisposalCosts,_xlop.Methods,_xlop.Factors, _xlfn.LET(_xlpm.Help, TRIM(_xlfn.TEXTSPLIT("FUNCTION:      →Depreciateλ(InitialValues, InServiceDates, LifeInYears, Timeline, ¶" &amp; "               →[SalvageValues], [DisposalDates], [DisposalCosts], [Methods], [Factor])¶" &amp; "DESCRIPTION:   →Creates an array of CAPEX, depreciation, and book values for a model's timeline¶" &amp; "WEBPAGE:       →https://github.com/ryanduguid/Nabla ¶" &amp; "VERSION:       →18 Aug 2026¶" &amp; "NOTES:         →The methods used here differs from Excel's functions in several ways. Please see webpage for details.¶" &amp; "PARAMETERS:    →¶" &amp; "InitialValues  →(Required) The purchase values of each asset to depreciate¶" &amp; "InServiceDates →(Required) The dates from which to start depreciating each asset¶" &amp; "LifeInYears    →(Required) The number of years with which to depreciate each asset¶" &amp; "Timeline       →(Required) The model's timeline or a row of period start dates. ¶" &amp; "               →Timeline can be in Months, Quarters, or Years¶" &amp; "SalvageValues  →(Optional: Default = 0) The book values of each asset after fully depreciated.¶" &amp; "DisposalDates  →(Optional: Default = End of life) The dates on which the assets are removed from the books.¶" &amp; "DisposalCosts  →(Optional: Default = 0) The book values of each asset after fully depreciated.¶" &amp; "Methods        →(Optional: Default = SLN) The desired depreciation method. Must be one of these method codes: ¶" &amp; "→SLN=Straight Line Depreciation¶" &amp; "→SYD=Sum of Year's Digits¶" &amp; "→DB =Declining Balance¶" &amp; "→DDB=Double Declining Balance¶" &amp; "→VDB=Variable Declining Balance¶" &amp; "→DV =Diminishing value (ATO 200% method). Salvage value ignored¶" &amp; "→PC =Prime cost (ATO straight line). Salvage value ignored¶" &amp; "Factors        →(Optional: Default = 2) Only applicable to DDB and VDB methods.", "→", "¶")), _xlpm.Help?, OR(_xlfn.ISOMITTED(_xlpm.InitialValues), _xlfn.ISOMITTED(_xlpm.LifeInYears), _xlfn.ISOMITTED(_xlpm.InServiceDates), _xlfn.ISOMITTED(_xlpm.Timeline)), _xlpm.MethodArray, {"SLN","SYD","DB","DDB","VDB","DV","PC"}, _xlpm.Mpy, 12, _xlpm.SalvageValues, IF(_xlfn.ISOMITTED(_xlpm.SalvageValues), _xlfn.MAP(_xlpm.InitialValues, _xlfn.LAMBDA(_xlpm.Ele, 0)), _xlfn.MAP(_xlpm.SalvageValues, _xlfn.LAMBDA(_xlpm.v, IFERROR(VALUE(_xlpm.v), 0)))), _xlpm.CvtSrvDates, IF(NOT(_xlfn.ISOMITTED(_xlpm.InServiceDates)), IF(ISNUMBER(_xlpm.InServiceDates), _xlpm.InServiceDates, DATEVALUE(_xlpm.InServiceDates))), _xlpm.DisposalDates, IF(_xlfn.ISOMITTED(_xlpm.DisposalDates), EDATE(+_xlpm.CvtSrvDates, _xlpm.LifeInYears * 12), _xlfn.MAKEARRAY(ROWS(_xlpm.DisposalDates), 1, _xlfn.LAMBDA(_xlpm.R,_xlpm.C, IF(INDEX(_xlpm.DisposalDates, _xlpm.R) = "", EDATE(INDEX(_xlpm.CvtSrvDates, _xlpm.R), INDEX(_xlpm.LifeInYears, _xlpm.R) * 12), INDEX(_xlpm.DisposalDates, _xlpm.R))))), _xlpm.DisposalCosts, IF(_xlfn.ISOMITTED(_xlpm.DisposalCosts), _xlfn.MAP(_xlpm.InitialValues, _xlfn.LAMBDA(_xlpm.Ele, 0)), _xlpm.DisposalCosts), _xlpm.Methods, IF(_xlfn.ISOMITTED(_xlpm.Methods), _xlfn.MAP(_xlpm.InitialValues, _xlfn.LAMBDA(_xlpm.Ele, "SLN")), _xlfn.MAP(_xlpm.Methods, _xlfn.LAMBDA(_xlpm.v, IF(TRIM(_xlpm.v) = "", "SLN", _xlpm.v)))), _xlpm.Factors, IF(_xlfn.ISOMITTED(_xlpm.Factors), _xlfn.MAP(_xlpm.InitialValues, _xlfn.LAMBDA(_xlpm.Ele, 2)), _xlfn.MAP(_xlpm.Factors, _xlfn.LAMBDA(_xlpm.v, IF(TRIM(_xlpm.v) = "", 2, _xlpm.v)))), _xlpm.TimelineCols, COLUMNS(_xlpm.Timeline), _xlpm.FirstPeriod, INDEX(_xlpm.Timeline, 1), _xlpm.SecondPeriod, INDEX(_xlpm.Timeline, 2), _xlpm.MpP, _xlfn.SINGLE(ROUND((_xlpm.SecondPeriod - _xlpm.FirstPeriod) / 30.5, 0)), _xlpm.Interval, _xlfn.SWITCH(_xlpm.MpP, 1, "M", 3, "Q", 12, "Y"), _xlpm.PpY, _xlfn.SWITCH(_xlpm.MpP, 1, 12, 3, 4, 12, 1), _xlpm.EndDates, _xlfn.HSTACK(_xlfn.MAP(_xlfn.SEQUENCE(, _xlpm.TimelineCols - 1), _xlfn.LAMBDA(_xlpm.n, INDEX(_xlpm.Timeline, _xlpm.n + 1) - 1)), EDATE(MAX(_xlpm.Timeline), _xlpm.MpP) - 1), _xlpm.Result, _xlfn.REDUCE(0, _xlfn.SEQUENCE(ROWS(_xlpm.InitialValues)), _xlfn.LAMBDA(_xlpm.Block,_xlpm.Asset, _xlfn.LET(_xlpm.Method, _xlfn.SINGLE(INDEX(_xlpm.Methods, _xlpm.Asset)), _xlpm.Years, _xlfn.SINGLE(INDEX(_xlpm.LifeInYears, _xlpm.Asset)), _xlpm.InitialValue, _xlfn.SINGLE(INDEX(_xlpm.InitialValues, _xlpm.Asset)), _xlpm.SalvageValue, IF(OR(_xlpm.Method = "DV", _xlpm.Method = "PC"), 0, _xlfn.SINGLE(INDEX(_xlpm.SalvageValues, _xlpm.Asset))), _xlpm.InServiceDate, _xlfn.SINGLE(INDEX(_xlpm.CvtSrvDates, _xlpm.Asset)), _xlpm.DisposalDate, _xlfn.SINGLE(INDEX(_xlpm.DisposalDates, _xlpm.Asset)), _xlpm.DisposalCost, _xlfn.SINGLE(INDEX(_xlpm.DisposalCosts, _xlpm.Asset)), _xlpm.Factor, _xlfn.SINGLE(INDEX(_xlpm.Factors, _xlpm.Asset)), _xlpm.LifeInPeriods, _xlpm.Years * _xlpm.PpY, _xlpm.LifeInMonths, nabla.f.PeriodDiffλ(_xlpm.InServiceDate, _xlpm.DisposalDate, "M"), _xlpm.LastPeriod, nabla.f.PeriodDiffλ(_xlpm.InServiceDate, _xlpm.DisposalDate, _xlpm.Interval), _xlpm.Depreciate, CHOOSE(MATCH(_xlfn.SINGLE(_xlpm.Method), _xlpm.MethodArray, 0), nabla.f.SLNλ(_xlpm.InitialValue, _xlpm.SalvageValue, _xlpm.Years), nabla.f.SYDλ(_xlpm.InitialValue, _xlpm.SalvageValue, _xlpm.Years), nabla.f.DBλ(_xlpm.InitialValue, _xlpm.SalvageValue, _xlpm.Years), nabla.f.DDBλ(_xlpm.InitialValue, _xlpm.SalvageValue, _xlpm.Years, _xlpm.Factor), nabla.f.VDBλ(_xlpm.InitialValue, _xlpm.SalvageValue, _xlpm.Years, _xlpm.Factor), nabla.f.DiminishingValueλ(_xlpm.InitialValue, _xlpm.Years), nabla.f.PrimeCostλ(_xlpm.InitialValue, _xlpm.Years), ), _xlpm.Disposal, _xlfn.HSTACK(_xlfn.SEQUENCE(1, _xlpm.LifeInMonths - 1, 0, 0), _xlpm.DisposalCost), _xlpm.Salvage, _xlfn.HSTACK(_xlfn.SEQUENCE(1, _xlpm.LifeInMonths - 1, 0, 0), _xlpm.SalvageValue), _xlpm.Allocate, _xlfn.HSTACK(_xlfn.EXPAND(nabla.f.Allocateλ(_xlpm.Depreciate, "Y", "M"), 1, _xlpm.LifeInMonths - 1, 0), _xlpm.SalvageValue), _xlpm.Opening, _xlfn.DROP(_xlfn.HSTACK(_xlpm.InitialValue, _xlfn.SCAN(_xlpm.InitialValue, _xlpm.Allocate, _xlfn.LAMBDA(_xlpm.Acc,_xlpm.Val, _xlpm.Acc - _xlpm.Val))), 0, -1), _xlpm.AssetTimeline, EDATE(_xlpm.InServiceDate, _xlfn.SEQUENCE(, _xlpm.LifeInMonths, 0)), _xlpm.Depreciation, _xlfn.MAP(_xlfn.SEQUENCE(, _xlpm.TimelineCols), _xlfn.LAMBDA(_xlpm.n, SUM((_xlpm.Allocate) * (_xlpm.AssetTimeline &lt;= INDEX(_xlpm.EndDates, _xlpm.n)) * (_xlpm.AssetTimeline &gt;= INDEX(_xlpm.Timeline, _xlpm.n))))), _xlpm.CAPEX, _xlpm.InitialValue * (_xlpm.Timeline &lt;= _xlpm.InServiceDate) * (_xlpm.EndDates &gt;= _xlpm.InServiceDate), _xlpm.OpeningAmount, _xlfn.MAP(_xlfn.SEQUENCE(, _xlpm.TimelineCols), _xlfn.LAMBDA(_xlpm.n, IFERROR(INDEX(_xlpm.Opening, MATCH(1, (_xlpm.AssetTimeline &gt;= INDEX(_xlpm.Timeline, _xlpm.n)) * (_xlpm.AssetTimeline &lt;= INDEX(_xlpm.EndDates, _xlpm.n)), 0)), 0))), _xlpm.BookValue, _xlpm.OpeningAmount - _xlpm.Depreciation, _xlpm.SalesRevenue, _xlpm.SalvageValue * (_xlpm.Timeline &lt;= _xlpm.DisposalDate) * (_xlpm.EndDates &gt;= _xlpm.DisposalDate), _xlpm.DisposalExp, _xlpm.DisposalCost * (_xlpm.Timeline &lt;= _xlpm.DisposalDate) * (_xlpm.EndDates &gt;= _xlpm.DisposalDate), _xlpm.NewBlock, _xlfn.VSTACK(_xlpm.CAPEX, _xlpm.OpeningAmount, _xlpm.Depreciation, _xlpm.BookValue, _xlpm.SalesRevenue, _xlpm.DisposalExp), _xlpm.Result, IF(_xlpm.Asset = 1, _xlpm.NewBlock, _xlfn.VSTACK(_xlpm.Block, _xlfn.EXPAND("", 1, _xlpm.TimelineCols, ""), _xlpm.NewBlock)), _xlpm.Result))), CHOOSE(_xlpm.Help? + 1, _xlpm.Result, _xlpm.Help)))</definedName>
    <definedName name="nabla.f.DepreciateλDV" comment="Provides extended data validation of arguments for Depreciateλ">_xlfn.LAMBDA(_xlop.InitialValues,_xlop.InServiceDates,_xlop.LifeInYears,_xlop.Timeline,_xlop.SalvageValues,_xlop.DisposalDates,_xlop.DisposalCosts,_xlop.Methods,_xlop.Factors, _xlfn.LET(_xlpm.ErrorsInArgs, _xlfn.VSTACK(OR(ISERROR(_xlpm.InitialValues)), OR(ISERROR(_xlpm.InServiceDates)), OR(ISERROR(_xlpm.LifeInYears)), OR(ISERROR(_xlpm.Timeline)), OR(ISERROR(_xlpm.SalvageValues)), OR(ISERROR(_xlpm.DisposalDates)), OR(ISERROR(_xlpm.DisposalCosts)), OR(ISERROR(_xlpm.Methods)), OR(ISERROR(_xlpm.Factors))), _xlpm.DVArg1, IF(OR(ISERROR(_xlpm.InitialValues)), FALSE, OR(IFERROR(VALUE(_xlpm.InitialValues) &lt; 1, TRUE))), _xlpm.DVArg2, IF(OR(ISERROR(_xlpm.InServiceDates), ISERROR(_xlpm.Timeline)), FALSE, OR(IFERROR(VALUE(_xlpm.InServiceDates) &lt; MIN(_xlpm.Timeline), TRUE))), _xlpm.DVArg3, IF(OR(ISERROR(_xlpm.LifeInYears)), FALSE, OR(IFERROR(VALUE(_xlpm.LifeInYears) &lt; 1, TRUE))), _xlpm.DVArg4, IF(OR(ISERROR(_xlpm.Timeline)), FALSE, COUNTA(_xlpm.Timeline) &lt; 2), _xlpm.DVArg4b, IF(OR(OR(_xlpm.ErrorsInArgs), _xlpm.DVArg4), FALSE, (INDEX(_xlpm.Timeline, 2) - INDEX(_xlpm.Timeline, 1)) &lt; 28), _xlpm.DVArg5, IF(OR(_xlfn.ISOMITTED(_xlpm.SalvageValues), OR(ISERROR(_xlpm.SalvageValues))), FALSE, OR(IFERROR(VALUE(_xlpm.SalvageValues) &lt; 0, TRUE))), _xlpm.DVArg6, IF(OR(_xlfn.ISOMITTED(_xlpm.DisposalDates), OR(_xlpm.ErrorsInArgs)), FALSE, OR(_xlpm.DisposalDates &lt; _xlpm.InServiceDates)), _xlpm.DVArg7, IF(OR(_xlfn.ISOMITTED(_xlpm.DisposalCosts), OR(ISERROR(_xlpm.DisposalCosts))), FALSE, OR(IFERROR(VALUE(_xlpm.DisposalCosts) &lt; 0, TRUE))), _xlpm.DVArg8, IF(OR(_xlfn.ISOMITTED(_xlpm.Methods), ISERROR(_xlpm.Methods)), FALSE, OR(ISERROR(SEARCH(_xlpm.Methods, "SLN,SYD,DB,DDB,VDB,DV,PC")))), _xlpm.DVArg9, IF(OR(_xlfn.ISOMITTED(_xlpm.Factors), ISERROR(_xlpm.Factors)), FALSE, OR(IFERROR(VALUE(_xlpm.Factors) &lt; 0, TRUE))), _xlpm.DVErrors, _xlfn.VSTACK(_xlpm.DVArg1, _xlpm.DVArg2, _xlpm.DVArg3, _xlpm.DVArg4, _xlpm.DVArg4b, _xlpm.DVArg5, _xlpm.DVArg6, _xlpm.DVArg7, _xlpm.DVArg8, _xlpm.DVArg9), _xlpm.AnyErrors?, OR(_xlpm.ErrorsInArgs, _xlpm.DVErrors), _xlpm.Errors2Show, _xlfn.VSTACK(_xlpm.ErrorsInArgs, _xlpm.DVErrors), _xlpm.ErrMsgs, {"InitialValues contains errors in cells. Resolve errors first.";"InServiceDates contains errors in cells. Resolve errors first.";"LifeInYears contains errors in cells. Resolve errors first.";"Timeline contains errors in cells. Resolve errors first.";"SalvageValues contains errors in cells. Resolve errors first.";"DisposalDates contains errors in cells. Resolve errors first.";"DisposalCosts contains errors in cells. Resolve errors first.";"Methods contains errors in cells. Resolve errors first.";"Factors contains errors in cells. Resolve errors first.";"InitialValues must be an amount greater than 0";"InServiceDates must be valid dates";"LifeInYears must be a number greater than 0";"Timeline must be a row of period start dates with every period spanning one month, quarter or year.";"Each period in the timeline must span one month, quarter or year.";"SalvageValues must be an amount not less than 0 or omitted";"DisposalDates must be a date greater than InServiceDates or omitted";"DisposalCosts must be an amount not less than 0 or omitted";"Methods must be omitted or one of: SLN, SYD, DB, DDB, VDB, DV, or PC.";"Factors must be a value greater than 0"}, _xlpm.Messages, _xlfn._xlws.FILTER(_xlpm.ErrMsgs, _xlpm.Errors2Show, ""), _xlpm.Return, IF(OR(_xlpm.Errors2Show), 2, IF(_xlpm.AnyErrors?, 3, 1)), CHOOSE(_xlpm.Return, TRUE, _xlpm.Messages, #VALUE!)))</definedName>
    <definedName name="nabla.f.FilterContainsλ" comment="Filter an array by another array that contains specific text">_xlfn.LAMBDA(_xlop.ArrayToFilter,_xlop.FilterByArray,_xlop.FilterByText,_xlop.IgnoreCase?, _xlfn.LET(_xlpm.Help, TRIM(_xlfn.TEXTSPLIT("FUNCTION:      FilterContainsλ( ArrayToFilter, FilterByArray, Text, [IgnoreCase?] )¶" &amp; "DESCRIPTION:   →Filter an array by another array that contains specific text.¶" &amp; "SEE ALSO:      →Excel 365 now has REGEXTEST and REGEXEXTRACT for pattern matching.¶" &amp; "WEBPAGE:       →https://github.com/ryanduguid/Nabla¶" &amp; "VERSION:       →18 Aug 2026¶" &amp; "PARAMETERS:    →¶" &amp; "ArrayToFilter  →(Required) An array to be filtered¶" &amp; "FilterByArray  →(Required) An array containing text to use as a filter¶" &amp; "FilterByText   →(Required) A text string to find in FilterByArray¶" &amp; "IgnoreCase?    →(Optional) A flag to determine if Text's case is important. Default is TRUE¶" &amp; "EXAMPLES:      →¶" &amp; "Result         →Formula (nabla.f is assumed to be the module's name)¶" &amp; """Cat""        →=nabla.f.FilterContainsλ( {""Joe"", ""Sally"", ""Cat""}, {""H1"", ""H2"", ""A1""}, ""A"" )", "→", "¶")), _xlpm.Help?, OR(_xlfn.ISOMITTED(_xlpm.ArrayToFilter), _xlfn.ISOMITTED(_xlpm.FilterByArray), _xlfn.ISOMITTED(_xlpm.FilterByText)), _xlpm.IgnoreCase?, IF(ISLOGICAL(_xlpm.IgnoreCase?), _xlpm.IgnoreCase?, TRUE), _xlpm.Matches, IF(_xlpm.IgnoreCase?, SEARCH(_xlpm.FilterByText, _xlpm.FilterByArray), FIND(_xlpm.FilterByText, _xlpm.FilterByArray)), _xlpm.Result, _xlfn._xlws.FILTER(_xlpm.ArrayToFilter, ISNUMBER(_xlpm.Matches)), CHOOSE(_xlpm.Help? + 1, _xlpm.Result, _xlpm.Help)))</definedName>
    <definedName name="nabla.f.IntOnIntλ" comment="Calculate Interest on Interest. Use to determine amount needed to cover debt plus interest on debt">_xlfn.LAMBDA(_xlop.Principal,_xlop.Rate, _xlfn.LET(_xlpm.Help, TRIM(_xlfn.TEXTSPLIT("FUNCTION:      →IntOnIntλ( Principal, Rate)¶" &amp; "DESCRIPTION:   →Calculate Interest on Interest (Interest only). Use to determine amount ¶" &amp; "→needed to cover borrowed interest¶" &amp; "WEBSITE:       →https://github.com/ryanduguid/Nabla¶" &amp; "VERSION:       →18 Aug 2026¶" &amp; "PARAMETERS:    →¶" &amp; "Principal     →(Required) Principal amount¶" &amp; "Rate          →(Required) Interest percentage rate. For years, APR. For months, APR/12¶" &amp; "EXAMPLES:      →¶" &amp; "Result         →Formula (nabla.f is assumed to be the module's name)¶" &amp; "52.63          →=nabla.f.IntOnIntλ( 1000, 5%)", "→", "¶")), _xlpm.Help?, OR(_xlfn.ISOMITTED(_xlpm.Principal), _xlfn.ISOMITTED(_xlpm.Rate)), _xlpm.Result, _xlpm.Principal / (1 - _xlpm.Rate) - _xlpm.Principal, CHOOSE(_xlpm.Help? + 1, _xlpm.Result, _xlpm.Help)))</definedName>
    <definedName name="nabla.f.IRRλ" comment="Calculates IRR, correcting for when the first investment is not in the first period">_xlfn.LAMBDA(_xlop.Values,_xlop.Dates, _xlfn.LET(_xlpm.Help, TRIM(_xlfn.TEXTSPLIT("FUNCTION:      →IRRλ( Values, Dates)¶" &amp; "DESCRIPTION:   →Calculates IRR, correcting for when the first investment is not in the first period¶" &amp; "WEBSITE:       →https://github.com/ryanduguid/Nabla¶" &amp; "VERSION:       →18 Aug 2026¶" &amp; "PARAMETERS:    →¶" &amp; "Values         →(Required) A row of investments (negative) and distributions (positive)¶" &amp; "→The first entry, whether 0 or an amount, must be for the first period in the timeline¶" &amp; "→and subsequent entries must correspond to periods in the timeline; however,¶" &amp; "→the timeline may extend beyond the end of values.¶" &amp; "Dates          →(Required) A timeline for when each investment is made¶" &amp; "→¶" &amp; "EXAMPLES:      →¶" &amp; "Result         →Formula (nabla.f is assumed to be the module's name)¶" &amp; "Dates          →=EDATE(""1/1/2025"", SEQUENCE(,24, 0))¶" &amp; "Values         →={0,0,-150,0,-100,10,20,30,40,50,60,70}¶" &amp; "→¶" &amp; "Result         →Formula¶" &amp; "24%            →=nabla.f.IRRλ( Values, Dates)", "→", "¶")), _xlpm.Help?, OR(_xlfn.ISOMITTED(_xlpm.Values), _xlfn.ISOMITTED(_xlpm.Dates)), _xlpm.Values, _xlfn.EXPAND(_xlpm.Values, 1, COUNTA(_xlpm.Dates), 0), _xlpm.FilterBy, _xlpm.Values &lt;&gt; 0, _xlpm.FilteredValues, _xlfn._xlws.FILTER(_xlpm.Values, _xlpm.FilterBy), _xlpm.FilteredDates, _xlfn._xlws.FILTER(_xlpm.Dates, _xlpm.FilterBy), _xlpm.Result, XIRR(_xlpm.FilteredValues, _xlpm.FilteredDates), CHOOSE(_xlpm.Help? + 1, _xlpm.Result, _xlpm.Help)))</definedName>
    <definedName name="nabla.f.LabelAmortiseλ" comment="Create labels for Amortiseλ">_xlfn.LAMBDA(_xlop.LoanNames,_xlop.LoanAmounts,_xlop.LoanAPRs,_xlop.LoanTerms, _xlfn.LET(_xlpm.Help, TRIM(_xlfn.TEXTSPLIT("FUNCTION:      →LabelAmortiseλ([LoanNames])¶" &amp; "DESCRIPTION:   →Create row labels for the amortisation schedule array produced by Amortiseλ¶" &amp; "WEBPAGE:       →https://github.com/ryanduguid/Nabla¶" &amp; "VERSION:       →18 Aug 2026¶" &amp; "PARAMETERS:    →¶" &amp; "LoanNames     →(Required) Names or descriptions of each loan in the amortisation schedule produced by Amortiseλ¶" &amp; "LoanAmounts   →(Optional) Amount borrowed¶" &amp; "LoanAPR       →(Optional) Annual Percentage Interest Rate¶" &amp; "LoanTerm      →(Optional) Number of months to repay¶" &amp; "EXAMPLES:      →¶" &amp; "Result         →Formula (nabla.f is assumed to be the module's name)¶" &amp; "→=nabla.f.LabelAmortiseλ(tblLoans[Loan Name])", "→", "¶")), _xlpm.Help?, _xlfn.ISOMITTED(_xlpm.LoanNames), _xlpm.Optionals, NOT(OR(_xlfn.ISOMITTED(_xlpm.LoanAmounts), _xlfn.ISOMITTED(_xlpm.LoanAPRs), _xlfn.ISOMITTED(_xlpm.LoanTerms))), _xlpm.Result, _xlfn.REDUCE("", _xlfn.SEQUENCE(ROWS(_xlpm.LoanNames) * 7 - 1), _xlfn.LAMBDA(_xlpm.Acc,_xlpm.Row, _xlfn.LET(_xlpm.Idx, QUOTIENT(_xlpm.Row - 1, 7) + 1, _xlpm.Line, MOD(_xlpm.Row - 1, 7) + 1, _xlpm.LoanName, INDEX(_xlpm.LoanNames, _xlpm.Idx), _xlpm.LoanAmount, IF(_xlfn.ISOMITTED(_xlpm.LoanAmounts), 0, INDEX(_xlpm.LoanAmounts, _xlpm.Idx)), _xlpm.LoanAPR, IF(_xlfn.ISOMITTED(_xlpm.LoanAPRs), 0, INDEX(_xlpm.LoanAPRs, _xlpm.Idx)), _xlpm.LoanTerm, IF(_xlfn.ISOMITTED(_xlpm.LoanTerms), 0, INDEX(_xlpm.LoanTerms, _xlpm.Idx)), _xlpm.Description, _xlfn.SWITCH(_xlpm.Line, 1, _xlfn.HSTACK(_xlpm.LoanName &amp; " Debt Issuance", _xlpm.LoanAmount, ""), 2, _xlfn.HSTACK(_xlpm.LoanName &amp; " Debt Balance", "", ""), 3, _xlfn.HSTACK(_xlpm.LoanName &amp; " Interest", TEXT(_xlpm.LoanAPR, "0.00%"), "APR"), 4, _xlfn.HSTACK(_xlpm.LoanName &amp; " Debt Services", _xlpm.LoanTerm, "Months"), 5, _xlfn.HSTACK(_xlpm.LoanName &amp; " Closing Balance", "", ""), 6, _xlfn.HSTACK(_xlpm.LoanName &amp; " Debt Repayment", "", ""), 7, _xlfn.HSTACK("", "", "")), _xlpm.Values, IF(_xlpm.Optionals, _xlpm.Description, _xlfn.TAKE(_xlpm.Description, , 1)), _xlpm.Result, IF(_xlpm.Row = 1, _xlpm.Values, _xlfn.VSTACK(_xlpm.Acc, _xlpm.Values)), _xlpm.Result))), CHOOSE(_xlpm.Help? + 1, _xlpm.Result, _xlpm.Help)))</definedName>
    <definedName name="nabla.f.LabelDepreciateλ" comment="Create labels for Depreciateλ">_xlfn.LAMBDA(_xlop.AssetNames, _xlfn.LET(_xlpm.Help, TRIM(_xlfn.TEXTSPLIT("FUNCTION:      →LabelDepreciateλ( AssetNames)¶" &amp; "DESCRIPTION:   →Create row labels for the depreciation schedule array produced by Depreciateλ¶" &amp; "WEBPAGE:       →https://github.com/ryanduguid/Nabla¶" &amp; "VERSION:       →18 Aug 2026¶" &amp; "PARAMETERS:    →¶" &amp; "AssetNames     →(Required) The names or descriptions of each asset in teh depreciation schedule produced by Depreciateλ¶" &amp; "EXAMPLES:      →¶" &amp; "Result         →Formula (nabla.f is assumed to be the module's name)¶" &amp; "→=nabla.f.LabelDepreciateλ(tblAssets[Asset Name])", "→", "¶")), _xlpm.Help?, _xlfn.ISOMITTED(_xlpm.AssetNames), _xlpm.Result, _xlfn.MAKEARRAY(ROWS(_xlpm.AssetNames) * 7 - 1, 1, _xlfn.LAMBDA(_xlpm.R,_xlpm.C, _xlfn.LET(_xlpm.AssetName, INDEX(_xlpm.AssetNames, QUOTIENT(_xlpm.R - 1, 7) + 1), _xlfn.SWITCH(MOD(_xlpm.R - 1, 7) + 1, 1, _xlpm.AssetName &amp; " CAPEX", 2, _xlpm.AssetName &amp; " Opening Value", 3, _xlpm.AssetName &amp; " Depreciation", 4, _xlpm.AssetName &amp; " Book Value", 5, _xlpm.AssetName &amp; " Revenue from Sale", 6, _xlpm.AssetName &amp; " Disposal Costs", 7, "")))), CHOOSE(_xlpm.Help? + 1, _xlpm.Result, _xlpm.Help)))</definedName>
    <definedName name="nabla.f.Movementλ" comment="Create a row of differences from column to column">_xlfn.LAMBDA(_xlop.BeginningValues,_xlop.Values, _xlfn.LET(_xlpm.Help, TRIM(_xlfn.TEXTSPLIT("FUNCTION:      →Movementλ( [BeginningValue], Values)¶" &amp; "DESCRIPTION:   →Create a row of differences from column to column¶" &amp; "WEBPAGE:       →https://github.com/ryanduguid/Nabla¶" &amp; "VERSION:       →18 Aug 2026¶" &amp; "PARAMETERS:    →¶" &amp; "BeginningValues→(Optional) Defaults to 0¶" &amp; "Values         →(Required) A row of values to compare column to column¶" &amp; "EXAMPLES:      →¶" &amp; "Result         →Formula (nabla.f is assumed to be the module's name)¶" &amp; "100,10,20,-30  →=nabla.f.Movementλ(,{100,110,130,100}, 4)", "→", "¶")), _xlpm.Help?, _xlfn.ISOMITTED(_xlpm.Values), _xlpm.BeginningValues, IF(OR(_xlfn.ISOMITTED(_xlpm.BeginningValues), _xlpm.BeginningValues = ""), 0, _xlpm.BeginningValues), _xlpm.Rows, ROWS(_xlpm.Values), _xlpm.Cols, COLUMNS(_xlpm.Values), _xlpm.Seq, _xlfn.SEQUENCE(, _xlpm.Cols), _xlpm.Result, _xlfn.REDUCE(0, _xlfn.SEQUENCE(_xlpm.Rows), _xlfn.LAMBDA(_xlpm.Acc,_xlpm.R, _xlfn.LET(_xlpm.Begin, IF(ROWS(_xlpm.BeginningValues) = 1, _xlpm.BeginningValues, INDEX(_xlpm.BeginningValues, _xlpm.R)), _xlpm.Row, _xlfn.CHOOSEROWS(_xlpm.Values, _xlpm.R), _xlpm.NewRow, _xlfn.SCAN(_xlpm.Begin, _xlpm.Seq, _xlfn.LAMBDA(_xlpm.A,_xlpm.C, INDEX(_xlpm.Row, _xlpm.C) - IF(_xlpm.C = 1, _xlpm.A, INDEX(_xlpm.Row, _xlpm.C - 1)))), _xlpm.Result, IF(_xlpm.R = 1, _xlpm.NewRow, _xlfn.VSTACK(_xlpm.Acc, _xlpm.NewRow)), _xlpm.Result))), CHOOSE(_xlpm.Help? + 1, _xlpm.Result, _xlpm.Help)))</definedName>
    <definedName name="nabla.f.PeriodDiffλ" comment="Determine the number of periods between two dates.">_xlfn.LAMBDA(_xlop.StartDate,_xlop.EndDate,_xlop.Interval, _xlfn.LET(_xlpm.Help, TRIM(_xlfn.TEXTSPLIT("FUNCTION:      PeriodDiffλ(StartDate, EndDate, Interval)¶" &amp; "DESCRIPTION:   →Determine the number of periods between two dates.¶" &amp; "NOTES!         →This improves on, and corrects problems w/Excel's deprecated DATEDIF() function.¶" &amp; "WEBPAGE:       →https://github.com/ryanduguid/Nabla¶" &amp; "VERSION:       →18 Aug 2026¶" &amp; "PARAMETERS:    →¶" &amp; "StartDate      →(Required) Start Date.¶" &amp; "EndDate        →(Required) End Date¶" &amp; "Interval       →(Required) W=Week, M=Month, Q=Quarter, Y=Year.¶" &amp; "EXAMPLES:      →¶" &amp; "Result         →Formula (nabla.f is assumed to be the module's name)¶" &amp; "1              →=nabla.f.PeriodDiffλ(""2026-01-01"", ""2026-04-15"", ""Q"")", "→", "¶")), _xlpm.Help?, OR(_xlfn.ISOMITTED(_xlpm.StartDate), _xlfn.ISOMITTED(_xlpm.EndDate), _xlfn.ISOMITTED(_xlpm.Interval)), _xlpm.MpP, _xlfn.SWITCH(_xlpm.Interval, "M", 1, "Q", 3, "Y", 12, 0), _xlpm.Months, DATEDIF(_xlpm.StartDate, _xlpm.EndDate, "M") + 1, _xlpm.Periods, INT(_xlpm.Months / _xlpm.MpP), _xlpm.PartialPeriod, N(MOD(_xlpm.Months, _xlpm.MpP) &gt; 0), _xlpm.EOMCorrection, N(AND(_xlpm.EndDate = EOMONTH(_xlpm.EndDate, 0), DAY(_xlpm.StartDate) &gt; DAY(_xlpm.EndDate))), _xlpm.Result, IF(_xlpm.Interval = "W", INT((_xlpm.EndDate - _xlpm.StartDate + 1) / 7), _xlpm.Periods + OR(_xlpm.PartialPeriod, _xlpm.EOMCorrection)), CHOOSE(_xlpm.Help? + 1, _xlpm.Result, _xlpm.Help)))</definedName>
    <definedName name="nabla.f.PeriodStartλ" comment="Determine when the period containing a date of interest starts">_xlfn.LAMBDA(_xlop.AnyPeriodStart,_xlop.MonthsPerPeriod,_xlop.DateOfInterest, _xlfn.LET(_xlpm.Help, TRIM(_xlfn.TEXTSPLIT("FUNCTION:      →PeriodStartλ(AnyPeriodStart, MonthsPerPeriod, DateOfInterest)¶" &amp; "DESCRIPTION:   →Determine when the period containing a date of interest starts.¶" &amp; "WEBPAGE:       →https://github.com/ryanduguid/Nabla¶" &amp; "VERSION:       →18 Aug 2026¶" &amp; "PARAMETERS:    →¶" &amp; "AnyPeriodStart →(Required) Any start date within a timeline.¶" &amp; "MonthsPerPeriod→(Required) Number of months in each period¶" &amp; "DateOfInterest →(Required) A date for which we want to know the start of the period containing it.¶" &amp; "EXAMPLES:      →¶" &amp; "Result         →Formula (nabla.f is assumed to be the module's name)¶" &amp; "2026-04-01     →=nabla.f.PeriodStartλ(""2026-01-01"", 3, ""2026-04-15"")", "→", "¶")), _xlpm.Help?, OR(_xlfn.ISOMITTED(_xlpm.AnyPeriodStart), _xlfn.ISOMITTED(_xlpm.MonthsPerPeriod), _xlfn.ISOMITTED(_xlpm.DateOfInterest)), _xlpm.MpY, 12, _xlpm.MpP, _xlpm.MonthsPerPeriod, _xlpm.DateDay, DAY(_xlpm.DateOfInterest), _xlpm.PeriodDay, DAY(_xlpm.AnyPeriodStart), _xlpm.DateMonth, MONTH(_xlpm.DateOfInterest), _xlpm.PeriodMonth, MONTH(_xlpm.AnyPeriodStart), _xlpm.MonthModDifference, MOD(_xlpm.DateMonth - _xlpm.PeriodMonth, _xlpm.MpP), _xlpm.NeedPriorPeriod?, AND(_xlpm.MonthModDifference = 0, _xlpm.DateDay &lt; _xlpm.PeriodDay) * -_xlpm.MpP, _xlpm.NewPeriodMonth, MOD(_xlpm.DateMonth - _xlpm.MonthModDifference + _xlpm.NeedPriorPeriod? - 1, _xlpm.MpY) + 1, _xlpm.YearCorrection, -((_xlpm.DateMonth * 100 + _xlpm.DateDay) &lt; (_xlpm.NewPeriodMonth * 100 + _xlpm.PeriodDay)), _xlpm.PeriodDate, DATE(YEAR(_xlpm.DateOfInterest) + _xlpm.YearCorrection, _xlpm.NewPeriodMonth, _xlpm.PeriodDay), _xlpm.LastDayOfMonthAdj, _xlpm.PeriodDate - (MONTH(_xlpm.PeriodDate) &lt;&gt; _xlpm.NewPeriodMonth), _xlpm.Result, _xlpm.LastDayOfMonthAdj, CHOOSE(_xlpm.Help? + 1, _xlpm.Result, _xlpm.Help)))</definedName>
    <definedName name="nabla.f.RangeToDAλ" comment="Create a dynamic array from a static range">_xlfn.LAMBDA(_xlop.Cell,_xlop.Rows,_xlop.Columns, _xlfn.LET(_xlpm.Help, TRIM(_xlfn.TEXTSPLIT("FUNCTION:      →RangeToDAλ( Cell, [Rows], [Columns])¶" &amp; "DESCRIPTION:   →Create a dynamic array from a static range¶" &amp; "SEE ALSO:      →Excel 365 now has TRIMRANGE and trim references (.:.) for this.¶" &amp; "WEBPAGE:       →https://github.com/ryanduguid/Nabla¶" &amp; "VERSION:       →18 Aug 2026¶" &amp; "PARAMETERS:    →¶" &amp; "Cell           →(Required) The upper left cell of a range to convert¶" &amp; "Rows           →(Optional) The number of rows for dynamic array. Defaults to 1.¶" &amp; "Columns        →(Optional) The number of columns for dynamic array. Defaults to 1.¶" &amp; "EXAMPLES:      →¶" &amp; "Result         →Formula (nabla.f is assumed to be the module's name)¶" &amp; "               →=nabla.f.RangeToDAλ( A1, , 12)", "→", "¶")), _xlpm.Help?, _xlfn.ISOMITTED(_xlpm.Cell), _xlpm.Rows, IF(_xlfn.ISOMITTED(_xlpm.Rows), 1, IF(_xlpm.Rows = 0, 1, _xlpm.Rows)), _xlpm.Columns, IF(_xlfn.ISOMITTED(_xlpm.Columns), 1, IF(_xlpm.Columns = 0, 1, _xlpm.Columns)), _xlpm.Result, OFFSET(_xlpm.Cell, 0, 0, _xlpm.Rows, _xlpm.Columns), CHOOSE(_xlpm.Help? + 1, _xlpm.Result, _xlpm.Help)))</definedName>
    <definedName name="nabla.f.Reversalλ" comment="Create a row that reverses input values in the next period.">_xlfn.LAMBDA(_xlop.OpeningValue,_xlop.RowToReverse, _xlfn.LET(_xlpm.Help, TRIM(_xlfn.TEXTSPLIT("FUNCTION:      →Reversalλ( [OpeningValue], RowToReverse)¶" &amp; "DESCRIPTION:   →Create a row that reverses input values in the next period.¶" &amp; "WEBPAGE:       →https://github.com/ryanduguid/Nabla¶" &amp; "VERSION:       →18 Aug 2026¶" &amp; "PARAMETERS:    →¶" &amp; "OpeningValue   →(Optional) Defaults to 0¶" &amp; "RowToReverse   →(Required) A row of values to reverse the following periods¶" &amp; "EXAMPLES:      →¶" &amp; "Result         →Formula (nabla.f is assumed to be the module's name)¶" &amp; "-100,-110,-130 →=nabla.f.Reversalλ( , {100,110,130})", "→", "¶")), _xlpm.Help?, _xlfn.ISOMITTED(_xlpm.RowToReverse), _xlpm.BeginningValue, IF(_xlfn.ISOMITTED(_xlpm.OpeningValue), 0, _xlpm.OpeningValue), _xlpm.Counter, _xlfn.SEQUENCE(, COLUMNS(_xlpm.RowToReverse)), _xlpm.Result, _xlfn.MAP(_xlpm.Counter, _xlfn.LAMBDA(_xlpm.Col, IF(_xlpm.Col = 1, -_xlpm.OpeningValue, -_xlfn.CHOOSECOLS(_xlpm.RowToReverse, _xlpm.Col - 1)))), CHOOSE(_xlpm.Help? + 1, _xlpm.Result, _xlpm.Help)))</definedName>
    <definedName name="nabla.f.RollingAvgλ" comment="Creates Averages for preceding values of a set size moving from beginning to end over a row of values.">_xlfn.LAMBDA(_xlop.Values,_xlop.Size, _xlfn.LET(_xlpm.Help, TRIM(_xlfn.TEXTSPLIT("FUNCTION:      →RollingAvgλ( Values, Size)¶" &amp; "DESCRIPTION:   →Creates averages for preceding values of a set size moving¶" &amp; "→from beginning to end over a row of values¶" &amp; "WEBPAGE:       →https://github.com/ryanduguid/Nabla¶" &amp; "VERSION:       →18 Aug 2026¶" &amp; "PARAMETERS:    →¶" &amp; "Values         →(Required) A row of values to be averaged.¶" &amp; "Size           →(Required) The number of values to average that ¶" &amp; "→include and preceed the current value¶" &amp; "EXAMPLES:      →¶" &amp; "Result         →Formula (nabla.f is assumed to be the module's name)¶" &amp; "1,3,6,9,12     →=nabla.f.RollingAvgλ(SEQUENCE(, 5), 3)", "→", "¶")), _xlpm.Help?, OR(_xlfn.ISOMITTED(_xlpm.Values), _xlfn.ISOMITTED(_xlpm.Size)), _xlpm.Counter, _xlfn.SEQUENCE(, COUNTA(_xlpm.Values)), _xlpm.Result, _xlfn.SCAN(0, _xlpm.Counter, _xlfn.LAMBDA(_xlpm.Acc,_xlpm.Val, _xlfn.LET(_xlpm.Start, IF((_xlpm.Val - _xlpm.Size) &lt; 1, 0, _xlpm.Val - _xlpm.Size), _xlpm.Right, _xlfn.TAKE(_xlpm.Values, , _xlpm.Val), _xlpm.Block, IF(_xlpm.Start &gt; 0, _xlfn.DROP(_xlpm.Right, , _xlpm.Start), _xlpm.Right), AVERAGE(_xlpm.Block)))), CHOOSE(_xlpm.Help? + 1, _xlpm.Result, _xlpm.Help)))</definedName>
    <definedName name="nabla.f.RollingMaxλ" comment="Creates the maximum for preceding values of a set size moving from beginning to end over a row of values.">_xlfn.LAMBDA(_xlop.Values,_xlop.Size, _xlfn.LET(_xlpm.Help, TRIM(_xlfn.TEXTSPLIT("FUNCTION:      →RollingMaxλ( Values, Size)¶" &amp; "DESCRIPTION:   →Creates the maximum for preceding values of a set size moving from beginning to end over a row of values.¶" &amp; "→from beginning to end over a row of values¶" &amp; "WEBPAGE:       →https://github.com/ryanduguid/Nabla¶" &amp; "VERSION:       →18 Aug 2026¶" &amp; "PARAMETERS:    →¶" &amp; "Values         →(Required) A row of values to be maxed.¶" &amp; "Size           →(Required) The number of values to find maximum that ¶" &amp; "→include and preceed the current value¶" &amp; "EXAMPLES:      →¶" &amp; "Result         →Formula (nabla.f is assumed to be the module's name)¶" &amp; "5,5,5,6,6,7    →=nabla.f.RollingMaxλ({5,3,4,6,3,7}, 3)", "→", "¶")), _xlpm.Help?, OR(_xlfn.ISOMITTED(_xlpm.Values), _xlfn.ISOMITTED(_xlpm.Size)), _xlpm.Counter, _xlfn.SEQUENCE(, COUNTA(_xlpm.Values)), _xlpm.Result, _xlfn.SCAN(0, _xlpm.Counter, _xlfn.LAMBDA(_xlpm.Acc,_xlpm.Val, _xlfn.LET(_xlpm.Start, IF((_xlpm.Val - _xlpm.Size) &lt; 1, 0, _xlpm.Val - _xlpm.Size), _xlpm.Right, _xlfn.TAKE(_xlpm.Values, , _xlpm.Val), _xlpm.Block, IF(_xlpm.Start &gt; 0, _xlfn.DROP(_xlpm.Right, , _xlpm.Start), _xlpm.Right), MAX(_xlpm.Block)))), CHOOSE(_xlpm.Help? + 1, _xlpm.Result, _xlpm.Help)))</definedName>
    <definedName name="nabla.f.RollingMinλ" comment="Creates the Minimum for preceding values of a set size moving from beginning to end over a row of values.">_xlfn.LAMBDA(_xlop.Values,_xlop.Size, _xlfn.LET(_xlpm.Help, TRIM(_xlfn.TEXTSPLIT("FUNCTION:      RollingMinλ( Values, Size)¶" &amp; "DESCRIPTION:   →Creates the minimum for preceding values of a set size moving from beginning to end over a row of values.¶" &amp; "→from beginning to end over a row of values¶" &amp; "WEBPAGE:       →https://github.com/ryanduguid/Nabla¶" &amp; "VERSION:       →18 Aug 2026¶" &amp; "PARAMETERS:    →¶" &amp; "Values         →(Required) A row of values to be minned.¶" &amp; "Size           →(Required) The number of values to find maximum that ¶" &amp; "→include and preceed the current value¶" &amp; "EXAMPLES:      →¶" &amp; "Result         →Formula (nabla.f is assumed to be the module's name)¶" &amp; "5,3,3,3,2,2    →=nabla.f.RollingMaxλ({5,3,4,6,2,7}, 3)", "→", "¶")), _xlpm.Help?, OR(_xlfn.ISOMITTED(_xlpm.Values), _xlfn.ISOMITTED(_xlpm.Size)), _xlpm.Counter, _xlfn.SEQUENCE(, COUNTA(_xlpm.Values)), _xlpm.Result, _xlfn.SCAN(0, _xlpm.Counter, _xlfn.LAMBDA(_xlpm.Acc,_xlpm.Val, _xlfn.LET(_xlpm.Start, IF((_xlpm.Val - _xlpm.Size) &lt; 1, 0, _xlpm.Val - _xlpm.Size), _xlpm.Right, _xlfn.TAKE(_xlpm.Values, , _xlpm.Val), _xlpm.Block, IF(_xlpm.Start &gt; 0, _xlfn.DROP(_xlpm.Right, , _xlpm.Start), _xlpm.Right), MIN(_xlpm.Block)))), CHOOSE(_xlpm.Help? + 1, _xlpm.Result, _xlpm.Help)))</definedName>
    <definedName name="nabla.f.RollingSumλ" comment="Creates totals for preceding values of a set size moving from beginning to end over a row of values.">_xlfn.LAMBDA(_xlop.Values,_xlop.Size, _xlfn.LET(_xlpm.Help, TRIM(_xlfn.TEXTSPLIT("FUNCTION:      →RollingSumλ( Values, Size)¶" &amp; "DESCRIPTION:   →Creates totals for preceding values of a set size moving¶" &amp; "→from beginning to end over a row of values¶" &amp; "WEBPAGE:       →https://github.com/ryanduguid/Nabla¶" &amp; "VERSION:       →18 Aug 2026¶" &amp; "PARAMETERS:    →¶" &amp; "Values         →(Required) A row of values to be totalled.¶" &amp; "Size           →(Required) The number of values to total that ¶" &amp; "→include and preceed the current value¶" &amp; "EXAMPLES:      →¶" &amp; "Result         →Formula (nabla.f is assumed to be the module's name)¶" &amp; "1,3,6,9,12     →=nabla.f.RollingMinλ(SEQUENCE(, 5), 3)", "→", "¶")), _xlpm.Help?, OR(_xlfn.ISOMITTED(_xlpm.Values), _xlfn.ISOMITTED(_xlpm.Size)), _xlpm.Counter, _xlfn.SEQUENCE(, COLUMNS(_xlpm.Values)), _xlpm.Result, _xlfn.SCAN(0, _xlpm.Counter, _xlfn.LAMBDA(_xlpm.Acc,_xlpm.Val, _xlfn.LET(_xlpm.Start, IF((_xlpm.Val - _xlpm.Size) &lt; 1, 0, _xlpm.Val - _xlpm.Size), _xlpm.Right, _xlfn.TAKE(_xlpm.Values, , _xlpm.Val), _xlpm.Block, IF(_xlpm.Start &gt; 0, _xlfn.DROP(_xlpm.Right, , _xlpm.Start), _xlpm.Right), SUM(_xlpm.Block)))), CHOOSE(_xlpm.Help? + 1, _xlpm.Result, _xlpm.Help)))</definedName>
    <definedName name="nabla.f.SLNλ" comment="Straight Line depreciation method for one asset or asset class.">_xlfn.LAMBDA(_xlop.Cost,_xlop.Salvage,_xlop.Life, _xlfn.LET(_xlpm.Help, TRIM(_xlfn.TEXTSPLIT("FUNCTION:      →SLNλ(Cost, Salvage, Life)¶" &amp; "DESCRIPTION:   →Straight Line Depreciation Method for one asset or asset class.¶" &amp; "WEBPAGE:       →https://github.com/ryanduguid/Nabla¶" &amp; "VERSION:       →18 Aug 2026¶" &amp; "PARAMETERS:    →¶" &amp; "Cost           →(Required) Asset's initial cost.¶" &amp; "Salvage        →(Required) Asset's value and end of life¶" &amp; "Life           →(Required) Asset's useful life in years.¶" &amp; "EXAMPLES:      →¶" &amp; "→Formula (nabla.f is assumed to be the module's name)¶" &amp; "→=nabla.f.SLNλ(1000, 100, 5)¶" &amp; "→Result¶" &amp; "→180,180,180,180,180", "→", "¶")), _xlpm.Help?, OR(_xlfn.ISOMITTED(_xlpm.Cost), _xlfn.ISOMITTED(_xlpm.Salvage), _xlfn.ISOMITTED(_xlpm.Life)), _xlpm.Depn, SLN(_xlpm.Cost, _xlpm.Salvage, _xlpm.Life), _xlpm.Result, _xlfn.EXPAND(_xlpm.Depn, 1, _xlpm.Life, _xlpm.Depn), CHOOSE(_xlpm.Help? + 1, _xlpm.Result, _xlpm.Help)))</definedName>
    <definedName name="nabla.f.SumAmortiseλ" comment="Create row totals for Amortiseλ">_xlfn.LAMBDA(_xlop.AmortisationSchedule, _xlfn.LET(_xlpm.Help, TRIM(_xlfn.TEXTSPLIT("FUNCTION:      →SumAmortiseλ(AmortisationSchedule)¶" &amp; "DESCRIPTION:   →Create row totals for Amortiseλ¶" &amp; "WEBPAGE:       →https://github.com/ryanduguid/Nabla¶" &amp; "VERSION:       →18 Aug 2026¶" &amp; "PARAMETERS:    →¶" &amp; "AmortisationSchedule→(Required) An array produced by Amortiseλ¶" &amp; "EXAMPLES:→¶" &amp; "Result         →Formula (nabla.f is assumed to be the module's name)¶" &amp; "→=nabla.f.SumAmortiseλ(AmortisationSchedule)", "→", "¶")), _xlpm.Help?, _xlfn.ISOMITTED(_xlpm.AmortisationSchedule), _xlpm.Result, _xlfn.MAKEARRAY(ROWS(_xlpm.AmortisationSchedule), 1, _xlfn.LAMBDA(_xlpm.R,_xlpm.C, _xlfn.SWITCH(MOD(_xlpm.R, 7), 3, SUM(_xlfn.CHOOSEROWS(_xlpm.AmortisationSchedule, _xlpm.R)), 4, SUM(_xlfn.CHOOSEROWS(_xlpm.AmortisationSchedule, _xlpm.R)), 6, SUM(_xlfn.CHOOSEROWS(_xlpm.AmortisationSchedule, _xlpm.R)), 0))), CHOOSE(_xlpm.Help? + 1, _xlpm.Result, _xlpm.Help)))</definedName>
    <definedName name="nabla.f.SumContainsλ" comment="→Creates a row of totals for each row in an array where _x000a_its labels contain a letter, word, or phrase">_xlfn.LAMBDA(_xlop.ValuesToFilter,_xlop.ValueLabels,_xlop.FilterByText,_xlop.IgnoreCase?, _xlfn.LET(_xlpm.Help, TRIM(_xlfn.TEXTSPLIT("FUNCTION:      →SumContainsλ(ValuesToFilter, ValueLabels, FilterByText, [IgnoreCase?])¶" &amp; "DESCRIPTION:   →Creates a row of column totals for each row in an array where¶" &amp; "→its labels contain a unique letter, word, or phrase.¶" &amp; "SEE ALSO:      →Excel 365 now has GROUPBY and PIVOTBY for formula-driven aggregation.¶" &amp; "WEBPAGE:       →https://github.com/ryanduguid/Nabla¶" &amp; "VERSION:       →18 Aug 2026¶" &amp; "PARAMETERS:    →¶" &amp; "ValuesToFilter →(Required) An array of values to be filtered¶" &amp; "ValueLabels    →(Required) An array containing the values' labels¶" &amp; "FilterByText   →(Required) A unique letter, word or phrase to find contained in ValueLabels¶" &amp; "IgnoreCase?    →(Optional) A flag to determine if Text's case is important. Default is TRUE¶" &amp; "EXAMPLES:      →¶" &amp; "Result         →Formula (nabla.f is assumed to be the module's name)¶" &amp; "               →=nabla.f.SumContainsλ( Array, Labels, ""CAPEX"" )", "→", "¶")), _xlpm.Help?, OR(_xlfn.ISOMITTED(_xlpm.ValuesToFilter), _xlfn.ISOMITTED(_xlpm.ValueLabels), _xlfn.ISOMITTED(_xlpm.FilterByText)), _xlpm.IgnoreCase?, IF(ISLOGICAL(_xlpm.IgnoreCase?), _xlpm.IgnoreCase?, TRUE), _xlpm.Labels, _xlfn.CHOOSECOLS(_xlpm.ValueLabels, 1), _xlpm.Matches, IF(_xlpm.IgnoreCase?, SEARCH(_xlpm.FilterByText, _xlpm.Labels), FIND(_xlpm.FilterByText, _xlpm.Labels)), _xlpm.FilteredRows, _xlfn._xlws.FILTER(_xlpm.ValuesToFilter, ISNUMBER(_xlpm.Matches)), _xlpm.Result, _xlfn.BYCOL(_xlpm.FilteredRows, _xlfn.LAMBDA(_xlpm.Col, SUM(_xlpm.Col))), CHOOSE(_xlpm.Help? + 1, _xlpm.Result, _xlpm.Help)))</definedName>
    <definedName name="nabla.f.SumDepreciateλ" comment="Create row totals for Depreciateλ">_xlfn.LAMBDA(_xlop.DepreciationSchedule, _xlfn.LET(_xlpm.Help, TRIM(_xlfn.TEXTSPLIT("FUNCTION:      →SumDepreciateλ(DepreciationSchedule)¶" &amp; "DESCRIPTION:   →Create row totals for Depreciateλ¶" &amp; "WEBPAGE:       →https://github.com/ryanduguid/Nabla¶" &amp; "VERSION:       →18 Aug 2026¶" &amp; "PARAMETERS:    →¶" &amp; "DepreciationSchedule→(Required) An array produced by Depreciateλ¶" &amp; "→¶" &amp; "EXAMPLES:      →¶" &amp; "Result         →Formula (nabla.f is assumed to be the module's name)¶" &amp; "→=nabla.f.SumDepreciateλ(DepreciationSchedule)", "→", "¶")), _xlpm.OmittedArgs, _xlfn.VSTACK(_xlfn.ISOMITTED(_xlpm.DepreciationSchedule)), _xlpm.Help?, AND(_xlpm.OmittedArgs), _xlpm.Result, _xlfn.MAKEARRAY(ROWS(_xlpm.DepreciationSchedule), 1, _xlfn.LAMBDA(_xlpm.R,_xlpm.C, _xlfn.SWITCH(MOD(_xlpm.R, 7), 1, SUM(_xlfn.CHOOSEROWS(_xlpm.DepreciationSchedule, _xlpm.R)), 3, SUM(_xlfn.CHOOSEROWS(_xlpm.DepreciationSchedule, _xlpm.R)), 5, SUM(_xlfn.CHOOSEROWS(_xlpm.DepreciationSchedule, _xlpm.R)), 6, SUM(_xlfn.CHOOSEROWS(_xlpm.DepreciationSchedule, _xlpm.R)), 0))), _xlpm.Return, IF(_xlpm.Help?, 2, 1), CHOOSE(_xlpm.Return, _xlpm.Result, _xlpm.Help)))</definedName>
    <definedName name="nabla.f.SumPeriodsλ" comment="Groups and totals all columns in a Values array by period resulting in one column for each period">_xlfn.LAMBDA(_xlop.Values,_xlop.Dates,_xlop.PeriodStarts, _xlfn.LET(_xlpm.Help, TRIM(_xlfn.TEXTSPLIT("FUNCTION:      →SumPeriodsλ( Values, Dates, PeriodStarts)¶" &amp; "DESCRIPTION:   →Summarises values where each value column is for one day ¶" &amp; "→into one column for each period. ¶" &amp; "SEE ALSO:      →Excel 365 now has GROUPBY and PIVOTBY for formula-driven aggregation.¶" &amp; "VERSION:       →18 Aug 2026¶" &amp; "WEBPAGE:       →https://github.com/ryanduguid/Nabla¶" &amp; "PARAMETERS:→¶" &amp; "Values         →(Required) A two dimensional array/range containing values to be summed where" &amp; "each column is for a specific day¶" &amp; "Dates          →(Required) A row of dates providing the date for each Values column¶" &amp; "PeriodStarts   →(Required) A row of period start dates¶" &amp; "EXAMPLES:      →¶" &amp; "Result         →Formula (nabla.f is assumed to be the module's name)¶" &amp; "03, 07         →=nabla.f.SumPeriodsλ({1,2,3,4;4,3,2,1;10,20,30,40}, {1,2,3,4}, {1,3})¶" &amp; "07, 03         →¶" &amp; "30, 70         →", "→", "¶")), _xlpm.Help?, OR(_xlfn.ISOMITTED(_xlpm.Values), _xlfn.ISOMITTED(_xlpm.Dates), _xlfn.ISOMITTED(_xlpm.PeriodStarts)), _xlpm.PrdNum, MATCH(_xlpm.Dates, _xlpm.PeriodStarts, 1), _xlpm.Result, _xlfn.MAKEARRAY(ROWS(_xlpm.Values), COLUMNS(_xlpm.PeriodStarts), _xlfn.LAMBDA(_xlpm.Row,_xlpm.Col, SUM(INDEX(_xlpm.Values, _xlpm.Row, ) * (_xlpm.Col = _xlpm.PrdNum)))), CHOOSE(_xlpm.Help? + 1, _xlpm.Result, _xlpm.Help)))</definedName>
    <definedName name="nabla.f.SYDλ" comment="Sum-of-years' digits depreciation method for one asset or asset class.">_xlfn.LAMBDA(_xlop.Cost,_xlop.Salvage,_xlop.Life, _xlfn.LET(_xlpm.Help, TRIM(_xlfn.TEXTSPLIT("FUNCTION:      →SYDλ(Cost, Salvage, Life)¶" &amp; "DESCRIPTION:   →Sum-of-years' digits depreciation method for one asset or asset class.¶" &amp; "WEBPAGE:       →https://github.com/ryanduguid/Nabla¶" &amp; "VERSION:       →18 Aug 2026¶" &amp; "PARAMETERS:    →¶" &amp; "Cost           →(Required) Asset's initial cost.¶" &amp; "Salvage        →(Required) Asset's value and end of life¶" &amp; "Life           →(Required) Asset's useful life in years.¶" &amp; "EXAMPLES:      →¶" &amp; "→Formula (nabla.f is assumed to be the module's name)¶" &amp; "→=nabla.f.SYDλ(1000, 100, 5)¶" &amp; "→Result¶" &amp; "→300,240,180,120,60", "→", "¶")), _xlpm.Help?, OR(_xlfn.ISOMITTED(_xlpm.Cost), _xlfn.ISOMITTED(_xlpm.Salvage), _xlfn.ISOMITTED(_xlpm.Life)), _xlpm.Result, SYD(_xlpm.Cost, _xlpm.Salvage, _xlpm.Life, _xlfn.SEQUENCE(, _xlpm.Life)), CHOOSE(_xlpm.Help? + 1, _xlpm.Result, _xlpm.Help)))</definedName>
    <definedName name="nabla.f.TimelineOffsetλ" comment="Determines how many periods one array is offset from the timeline">_xlfn.LAMBDA(_xlop.Date,_xlop.Timeline, _xlfn.LET(_xlpm.Help, TRIM(_xlfn.TEXTSPLIT("FUNCTION:      →TimelineOffsetλ(ArrayStart, Timeline)¶" &amp; "DESCRIPTION:   →Determines in which period, relative to the timeline's start and interval,¶" &amp; "→a date falls within.¶" &amp; "WEBPAGE:       →https://github.com/ryanduguid/Nabla¶" &amp; "VERSION:       →18 Aug 2026¶" &amp; "PARAMETERS:    →¶" &amp; "Date           →(Required) A starting date¶" &amp; "Timeline       →(Required) A model's timline (Row of period start dates)¶" &amp; "EXAMPLES:      →¶" &amp; "Result         →Formula (nabla.f is assumed to be the module's name)¶" &amp; "→=nabla.f.TimelineOffsetλ(""15/2/2024"", EDATE(""1/1/2025"", SEQUENCE( , 12, 0)", "→", "¶")), _xlpm.Help?, OR(_xlfn.ISOMITTED(_xlpm.Date), _xlfn.ISOMITTED(_xlpm.Timeline)), _xlpm.Date, _xlfn.SINGLE(IF(ISTEXT(_xlpm.Date), DATEVALUE(_xlpm.Date), _xlpm.Date)), _xlpm.Period1, INDEX(_xlpm.Timeline, 1), _xlpm.Period2, INDEX(_xlpm.Timeline, 2), _xlpm.MpP, ROUND((_xlpm.Period2 - _xlpm.Period1) / 30.5, 0), _xlpm.Direction, IF(_xlpm.Date &lt; _xlpm.Period1, -1, 1), _xlpm.MonthDiff, _xlfn.SINGLE(DATEDIF(MIN(_xlpm.Period1, _xlpm.Date), MAX(_xlpm.Period1, _xlpm.Date), "M")), _xlpm.PeriodDiff, QUOTIENT(_xlpm.MonthDiff, _xlpm.MpP), _xlpm.PeriodSeq, _xlfn.SEQUENCE(1, _xlpm.PeriodDiff + 2, IF(_xlpm.Direction = 1, 0, -(_xlpm.PeriodDiff + 1))), _xlpm.SearchTimeline, EDATE(_xlpm.Period1, _xlpm.PeriodSeq * _xlpm.MpP), _xlpm.Result, MATCH(_xlpm.Date, _xlpm.SearchTimeline, 1) - IF(_xlpm.Direction = 1, 1, _xlpm.PeriodDiff + 2), CHOOSE(_xlpm.Help? + 1, _xlpm.Result, _xlpm.Help)))</definedName>
    <definedName name="nabla.f.TimelinePositionλ" comment="Crops an array based on a model's timeline">_xlfn.LAMBDA(_xlop.Array,_xlop.Timeline,_xlop.Offset, _xlfn.LET(_xlpm.Help, TRIM(_xlfn.TEXTSPLIT("FUNCTION:      →TimelinePositionλ(Array, Timeline, Offset)¶" &amp; "DESCRIPTION:   →Position an array relative to the model's timeline¶" &amp; "WEBPAGE:       →https://github.com/ryanduguid/Nabla¶" &amp; "VERSION:       →18 Aug 2026¶" &amp; "PARAMETERS:    →¶" &amp; "Array          →(Required) The array to be positioned relative to a model's timeline¶" &amp; "Timeline       →(Required) A model's timline¶" &amp; "Offset         →(Required) The number of rows or columns to start placing the array within the timeline¶" &amp; "NOTES!         →¶" &amp; "→Timelines can be vertical or horizontal. Whichever way the timeline goes, the array must match.¶" &amp; "EXAMPLES:      →¶" &amp; "Result         →Formula (nabla.f is assumed to be the module's name)¶" &amp; "→=nabla.f.TimelinePositionλ(SEQUENCE(3,3), EDATE(""1/1/2025"", SEQUENCE( , 12, 0)), 12)", "→", "¶")), _xlpm.Help?, OR(_xlfn.ISOMITTED(_xlpm.Array), _xlfn.ISOMITTED(_xlpm.Timeline), _xlfn.ISOMITTED(_xlpm.Offset)), _xlpm.Offset, _xlfn.SINGLE(_xlpm.Offset), _xlpm.Rows, ROWS(_xlpm.Array), _xlpm.Cols, COLUMNS(_xlpm.Array), _xlpm.Result, IF(COLUMNS(_xlpm.Timeline) &gt; 1, _xlfn.MAKEARRAY(_xlpm.Rows, COLUMNS(_xlpm.Timeline), _xlfn.LAMBDA(_xlpm.R,_xlpm.C, IF(((_xlpm.C - _xlpm.Offset) &gt;= 1) * ((_xlpm.C - _xlpm.Offset) &lt;= _xlpm.Cols) = 1, INDEX(_xlpm.Array, _xlpm.R, _xlpm.C - _xlpm.Offset), 0))), _xlfn.MAKEARRAY(ROWS(_xlpm.Timeline), _xlpm.Cols, _xlfn.LAMBDA(_xlpm.R,_xlpm.C, IF(((_xlpm.R - _xlpm.Offset) &gt;= 1) * ((_xlpm.R - _xlpm.Offset) &lt;= _xlpm.Rows) = 1, INDEX(_xlpm.Array, _xlpm.R - _xlpm.Offset, _xlpm.C), 0)))), CHOOSE(_xlpm.Help? + 1, _xlpm.Result, _xlpm.Help)))</definedName>
    <definedName name="nabla.f.VDBλ" comment="Variable declining balance depreciation method for one asset or asset class.">_xlfn.LAMBDA(_xlop.Cost,_xlop.Salvage,_xlop.Life,_xlop.Factor,_xlop.No_Switch, _xlfn.LET(_xlpm.Help, TRIM(_xlfn.TEXTSPLIT("FUNCTION:      →VDBλ(Cost, Salvage, Life, [Factor], [No_Switch])¶" &amp; "DESCRIPTION:   →Variable declining balance depreciation method for one asset or asset class.¶" &amp; "WEBPAGE:       →https://github.com/ryanduguid/Nabla¶" &amp; "VERSION:       →18 Aug 2026¶" &amp; "PARAMETERS:    →¶" &amp; "Cost           →(Required) Asset's initial cost.¶" &amp; "Salvage        →(Required) Asset's value and end of life. Salvage cannot be 0.¶" &amp; "Life           →(Required) Asset's useful life in years.¶" &amp; "Factor         →(Optional Default=2) Rate at which the balance declines.¶" &amp; "No_Switch      →(Optional Default=FALSE) Switch to straight-line depreciation when¶" &amp; "→ depreciation is greater than the declining balance calculation.¶" &amp; "EXAMPLES:      →¶" &amp; "→Formula (nabla.f is assumed to be the module's name)¶" &amp; "→=nabla.f.VDBλ(1000, 100, 5, 1.5, TRUE)¶" &amp; "→Result¶" &amp; "→300.00,210.00,147.00,121.50,121.50", "→", "¶")), _xlpm.Help?, OR(_xlfn.ISOMITTED(_xlpm.Cost), _xlfn.ISOMITTED(_xlpm.Salvage), _xlfn.ISOMITTED(_xlpm.Life)), _xlpm.Factor, IF(_xlfn.ISOMITTED(_xlpm.Factor), 2, _xlpm.Factor), _xlpm.No_Switch, IF(_xlfn.ISOMITTED(_xlpm.No_Switch), FALSE, _xlpm.No_Switch), _xlpm.Result, VDB(_xlpm.Cost, _xlpm.Salvage, _xlpm.Life, _xlfn.SEQUENCE(, _xlpm.Life, 0), _xlfn.SEQUENCE(, _xlpm.Life), _xlpm.Factor), CHOOSE(_xlpm.Help? + 1, _xlpm.Result, _xlpm.Help)))</definedName>
    <definedName name="nabla.debt.Amortiseλ" comment="Creates an amortisation schedule for a debt/loan">_xlfn.LAMBDA(_xlop.Principal,_xlop.APR,_xlop.Term,_xlop.ModelPeriods,_xlop.StartPeriod,_xlop.MonthsPerPeriod,_xlop.DoNotUse, _xlfn.LET(_xlpm.Help, TRIM(_xlfn.TEXTSPLIT("DESCRIPTION:   →Creates an amortisation schedule for a debt/loan¶" &amp; "ROW CONTENTS:  →Opening Balance¶" &amp; "               →Interest Portion¶" &amp; "               →Repayment¶" &amp; "               →Closing Balance¶" &amp; "               →Principal Portion¶" &amp; "VERSION:       →18 Aug 2026¶" &amp; "PARAMETERS:→¶" &amp; "Principal      →(Required) Principal opening balance.¶" &amp; "APR            →(Required) APR¶" &amp; "Term           →(Required) Number of periods to pay off debt¶" &amp; "ModelPeriods   →(Required) Number of model periods¶" &amp; "StartPeriod    →(Optional) Period when debt is issued. Defaults to 1.¶" &amp; "MonthsPerPeriod→(Optional) Number of months in each period. Defaults to 1.¶" &amp; "DoNotUse       →DO NOT USE - Internal use only (Period Counter)¶" &amp; "→¶" &amp; "EXAMPLES:      →Amortiseλ(10000, 3%, 48, 60)", "→", "¶")), _xlpm.ErrMsgs, {"Principal must be a single number providing the opening debt amount.";"APR must be a single number providing annual percentage rate for interest.";"Term must be a single number providing the number of periods to pay off the debt";"Model Periods must be a single number providing the number of periods in this model."}, _xlpm.Principal, IF(ISNUMBER(_xlpm.Principal), _xlpm.Principal, #VALUE!), _xlpm.APR, IF(ISNUMBER(_xlpm.APR), _xlpm.APR, #VALUE!), _xlpm.Term, IF(ISNUMBER(_xlpm.Term), _xlpm.Term, #VALUE!), _xlpm.ModelPeriods, IF(ISNUMBER(_xlpm.ModelPeriods), _xlpm.ModelPeriods, #VALUE!), _xlpm.StartPeriod, IF(ISNUMBER(_xlpm.StartPeriod), _xlpm.StartPeriod, 1), _xlpm.MonthsPerPeriod, IF(ISNUMBER(_xlpm.MonthsPerPeriod), _xlpm.MonthsPerPeriod, 1), _xlpm.Errors, _xlfn.VSTACK(ISERROR(_xlpm.Principal), ISERROR(_xlpm.APR), ISERROR(_xlpm.Term), ISERROR(_xlpm.ModelPeriods)), _xlpm.Messages, _xlfn._xlws.FILTER(_xlpm.ErrMsgs, _xlpm.Errors, ""), _xlpm.Period, IF(_xlpm.DoNotUse = 0, 1, _xlpm.DoNotUse), _xlpm.Rate, _xlpm.APR / 12 * _xlpm.MonthsPerPeriod, _xlpm.RemainingTerm, IF(_xlpm.Period &lt; _xlpm.StartPeriod, 0, MAX(_xlpm.Term - _xlpm.Period + _xlpm.StartPeriod, 0)), _xlpm.Payment, IF(_xlpm.RemainingTerm = 0, 0, -PMT(_xlpm.Rate, _xlpm.RemainingTerm, _xlpm.Principal)), _xlpm.OpeningBalance, IF(_xlpm.RemainingTerm = 0, 0, _xlpm.Principal), _xlpm.InterestPortion, _xlpm.OpeningBalance * _xlpm.Rate, _xlpm.NewPayment, IF(_xlpm.Period &lt; _xlpm.StartPeriod, 0, MIN(_xlpm.Payment, _xlpm.OpeningBalance + _xlpm.InterestPortion)), _xlpm.PrincipalPortion, _xlpm.NewPayment - _xlpm.InterestPortion, _xlpm.ClosingBalance, _xlpm.OpeningBalance + _xlpm.InterestPortion - _xlpm.NewPayment, _xlpm.NewColumn, _xlfn.VSTACK(_xlpm.OpeningBalance, _xlpm.InterestPortion, _xlpm.NewPayment, _xlpm.ClosingBalance, _xlpm.PrincipalPortion), _xlpm.Result, IF(_xlpm.Period = _xlpm.ModelPeriods, _xlpm.NewColumn, _xlfn.HSTACK(_xlpm.NewColumn, [0]!nabla.debt.Amortiseλ(IF(_xlpm.Period &lt; _xlpm.StartPeriod, _xlpm.Principal, _xlpm.ClosingBalance), _xlpm.APR, _xlpm.Term, _xlpm.ModelPeriods, _xlpm.StartPeriod, _xlpm.MonthsPerPeriod, _xlpm.Period + 1))), _xlpm.Error, IF(AND(_xlpm.Errors), 2, IF(OR(_xlpm.Errors), 3, IF(OR(ISERROR(_xlpm.Result)), 2, 1))), CHOOSE(_xlpm.Error, _xlpm.Result, _xlpm.Help, _xlpm.Messages)))</definedName>
    <definedName name="nabla.debt.DebtSculptFixedλ" comment="Creates a Debt Sculpting schedule where APR and DSCR is fixed for all periods">_xlfn.LAMBDA(_xlop.OpeningBalance,_xlop.Debt,_xlop.CFADS,_xlop.DSCR,_xlop.APR,_xlop.MonthsPerPeriod,_xlop.DoNotUse, _xlfn.LET(_xlpm.Help, TRIM(_xlfn.TEXTSPLIT("DESCRIPTION:       →Creates a Debt Sculpting schedule where APR and DSCR are fixed for all periods¶" &amp; "SUGGESTED ROW IDS: →Debt opening balance¶" &amp; "                   →Interest on Principal Balance¶" &amp; "                   →Principal repayments¶" &amp; "                   →Debt closing balance¶" &amp; "VERSION:           →18 Aug 2026¶" &amp; "PARAMETERS:→¶" &amp; "OpeningBalance     →(Optional) Model's debt on opening. Defaults to 0¶" &amp; "Debt               →(Required) New debt taken on for the period¶" &amp; "CFADS              →(Required) Cash Flow Available for Debt Services¶" &amp; "DSCR               →(Required) Debt Service Coverage Ratio¶" &amp; "APR                →(Required) Interest's Annual Percentage Rate¶" &amp; "MonthsPerPeriod    →(Optional) Defaults to one month per period.¶" &amp; "DoNotUse           →This is required internally for counting period columns¶" &amp; "→¶" &amp; "EXAMPLES:          →=DebtSculptFixedλ(, Debt, CFADS, DSCR, APR)", "→", "¶")), _xlpm.ErrMsgs, {"Debt must be a dynamic array holding new debt (if any) in each period";"CFADS must be a dynamic array holding cash available for debt service in each period";"DSCR must be a single number holding debt service coverage ratio for all periods";"APR must be a single number holding interest's annual percentage rate for all periods"}, _xlpm.OpeningBalance, IF(ISNUMBER(_xlpm.OpeningBalance), _xlpm.OpeningBalance, 0), _xlpm.Debt, IF(COLUMNS(_xlpm.Debt) &lt;= 1, #VALUE!, _xlpm.Debt), _xlpm.CFADS, IF(COLUMNS(_xlpm.CFADS) &lt;= 1, #VALUE!, _xlpm.CFADS), _xlpm.DSCR, IF(AND(ISNUMBER(_xlpm.DSCR), COLUMNS(_xlpm.DSCR) = 1), _xlpm.DSCR, #VALUE!), _xlpm.APR, IF(AND(ISNUMBER(_xlpm.APR), COLUMNS(_xlpm.APR) = 1), _xlpm.APR, #VALUE!), _xlpm.MonthsPerPeriod, IF(ISNUMBER(_xlpm.MonthsPerPeriod), _xlpm.MonthsPerPeriod, 1), _xlpm.Period, IF(VALUE(_xlpm.DoNotUse) = 0, 1, _xlpm.DoNotUse), _xlpm.Errors, _xlfn.VSTACK(OR(ISERROR(_xlpm.Debt)), OR(ISERROR(_xlpm.CFADS)), OR(ISERROR(_xlpm.DSCR)), OR(ISERROR(_xlpm.APR))), _xlpm.Messages, _xlfn._xlws.FILTER(_xlpm.ErrMsgs, _xlpm.Errors, ""), _xlpm.ModelPeriods, COLUMNS(_xlpm.Debt), _xlpm.Rate, _xlpm.APR / 12 * _xlpm.MonthsPerPeriod, _xlpm.PeriodDebt, INDEX(_xlpm.Debt, 1, _xlpm.Period), _xlpm.PeriodCFADS, INDEX(_xlpm.CFADS, 1, _xlpm.Period), _xlpm.Principal, _xlpm.OpeningBalance + _xlpm.PeriodDebt, _xlpm.Interest, _xlpm.Principal * _xlpm.Rate, _xlpm.Payment, MIN(_xlpm.PeriodCFADS / _xlpm.DSCR, _xlpm.Principal + _xlpm.Interest), _xlpm.ClosingDebt, _xlpm.Principal + _xlpm.Interest - _xlpm.Payment, _xlpm.NewColumn, _xlfn.VSTACK(_xlpm.Principal, _xlpm.Interest, -_xlpm.Payment, _xlpm.ClosingDebt), _xlpm.Result, IF(_xlpm.Period = _xlpm.ModelPeriods, _xlpm.NewColumn, _xlfn.HSTACK(_xlpm.NewColumn, [0]!nabla.debt.DebtSculptFixedλ(_xlpm.ClosingDebt, _xlpm.Debt, _xlpm.CFADS, _xlpm.DSCR, _xlpm.APR, _xlpm.MonthsPerPeriod, _xlpm.Period + 1))), _xlpm.Return, IF(AND(_xlpm.Errors), 2, IF(OR(_xlpm.Errors), 3, IF(OR(ISERROR(_xlpm.Result)), 2, 1))), CHOOSE(_xlpm.Return, _xlpm.Result, _xlpm.Help, _xlpm.Messages)))</definedName>
    <definedName name="nabla.debt.DebtSculptVariableLRVλ" comment="Creates a Debt Sculpting schedule where APR and DSCR is set for each period">_xlfn.LAMBDA(_xlop.OpeningBalance,_xlop.Debt,_xlop.CFADS,_xlop.DSCR,_xlop.APR,_xlop.MonthsPerPeriod,_xlop.DoNotUse, _xlfn.LET(_xlpm.Help, TRIM(_xlfn.TEXTSPLIT("DESCRIPTION:       →Creates a Debt Sculpting schedule where APR and DSCR is set for each period¶" &amp; "SUGGESTED ROW IDS: →Debt opening balance¶" &amp; "                   →Interest on Principal Balance¶" &amp; "                   →Principal repayments¶" &amp; "                   →Debt closing balance¶" &amp; "VERSION:           →18 Aug 2026¶" &amp; "PARAMETERS:→¶" &amp; "OpeningBalance     →(Optional) Model's debt on opening. Defaults to 0¶" &amp; "Debt               →(Required) New debt taken on for the period¶" &amp; "CFADS              →(Required) Cash Flow Available for Debt Services¶" &amp; "DSCR               →(Required) Debt Service Coverage Ratio¶" &amp; "APR                →(Required) Interest's Annual Percentage Rate¶" &amp; "MonthsPerPeriod    →(Optional) Defaults to one month per period.¶" &amp; "DoNotUse           →This is required internally for counting period columns¶" &amp; "→¶" &amp; "EXAMPLE:           →=DebtSculptVariableλ(, Debt, CFADS, DSCR, APR", "→", "¶")), _xlpm.ErrMsgs, {"Debt must be a dynamic array holding new debt (if any) in each period";"CFADS must be a dynamic array holding cash available for debt service in each period";"DSCR must be a dynamic array holding debt service coverage ratio for each period";"APR must be a dynamic array holding interest's annual percentage rate for each period"}, _xlpm.OpeningBalance, IF(ISNUMBER(_xlpm.OpeningBalance), _xlpm.OpeningBalance, 0), _xlpm.Debt, IF(COLUMNS(_xlpm.Debt) &lt;= 1, #VALUE!, _xlpm.Debt), _xlpm.CFADS, IF(COLUMNS(_xlpm.CFADS) &lt;= 1, #VALUE!, _xlpm.CFADS), _xlpm.DSCR, IF(COLUMNS(_xlpm.DSCR) &lt;= 1, #VALUE!, _xlpm.DSCR), _xlpm.APR, IF(COLUMNS(_xlpm.APR) &lt;= 1, #VALUE!, _xlpm.APR), _xlpm.MonthsPerPeriod, IF(ISNUMBER(_xlpm.MonthsPerPeriod), _xlpm.MonthsPerPeriod, 1), _xlpm.Period, IF(_xlpm.DoNotUse = 0, 1, _xlpm.DoNotUse), _xlpm.Errors, _xlfn.VSTACK(OR(ISERROR(_xlpm.Debt)), OR(ISERROR(_xlpm.CFADS)), OR(ISERROR(_xlpm.DSCR)), OR(ISERROR(_xlpm.APR))), _xlpm.Messages, _xlfn._xlws.FILTER(_xlpm.ErrMsgs, _xlpm.Errors, ""), _xlpm.ModelPeriods, COLUMNS(_xlpm.Debt), _xlpm.Rate, _xlpm.APR / 12 * _xlpm.MonthsPerPeriod, _xlpm.PeriodRate, INDEX(_xlpm.Rate, 1, _xlpm.Period), _xlpm.PeriodDebt, INDEX(_xlpm.Debt, 1, _xlpm.Period), _xlpm.PeriodCFADS, INDEX(_xlpm.CFADS, 1, _xlpm.Period), _xlpm.PeriodDSCR, INDEX(_xlpm.DSCR, 1, _xlpm.Period), _xlpm.Principal, _xlpm.OpeningBalance + _xlpm.PeriodDebt, _xlpm.Interest, [0]!nabla.debt.InterestLRVλ(_xlpm.PeriodCFADS, _xlpm.PeriodDSCR, _xlpm.Principal, _xlpm.PeriodRate), _xlpm.Payment, MIN(_xlpm.PeriodCFADS / _xlpm.PeriodDSCR - _xlpm.Interest, _xlpm.Principal - _xlpm.Interest), _xlpm.ClosingDebt, _xlpm.Principal + _xlpm.Interest - _xlpm.Payment, _xlpm.NewColumn, _xlfn.VSTACK(_xlpm.Principal, _xlpm.Interest, -_xlpm.Payment, _xlpm.ClosingDebt), _xlpm.Result, IF(_xlpm.Period = _xlpm.ModelPeriods, _xlpm.NewColumn, _xlfn.HSTACK(_xlpm.NewColumn, [0]!nabla.debt.DebtSculptVariableLRVλ(_xlpm.ClosingDebt, _xlpm.Debt, _xlpm.CFADS, _xlpm.DSCR, _xlpm.APR, _xlpm.MonthsPerPeriod, _xlpm.Period + 1))), _xlpm.Return, IF(AND(_xlpm.Errors), 2, IF(OR(_xlpm.Errors), 3, IF(OR(ISERROR(_xlpm.Result)), 2, 1))), CHOOSE(_xlpm.Return, _xlpm.Result, _xlpm.Help, _xlpm.Messages)))</definedName>
    <definedName name="nabla.debt.DebtSculptVariableλ" comment="Creates a Debt Sculpting schedule where APR and DSCR is set for each period">_xlfn.LAMBDA(_xlop.OpeningBalance,_xlop.Debt,_xlop.CFADS,_xlop.DSCR,_xlop.APR,_xlop.MonthsPerPeriod,_xlop.DoNotUse, _xlfn.LET(_xlpm.Help, TRIM(_xlfn.TEXTSPLIT("DESCRIPTION:       →Creates a Debt Sculpting schedule where APR and DSCR is set for each period¶" &amp; "SUGGESTED ROW IDS: →Debt opening balance¶" &amp; "                   →Interest on Principal Balance¶" &amp; "                   →Principal repayments¶" &amp; "                   →Debt closing balance¶" &amp; "VERSION:           →18 Aug 2026¶" &amp; "PARAMETERS:→¶" &amp; "OpeningBalance     →(Optional) Model's debt on opening. Defaults to 0¶" &amp; "Debt               →(Required) New debt taken on for the period¶" &amp; "CFADS              →(Required) Cash Flow Available for Debt Services¶" &amp; "DSCR               →(Required) Debt Service Coverage Ratio¶" &amp; "APR                →(Required) Interest's Annual Percentage Rate¶" &amp; "MonthsPerPeriod    →(Optional) Defaults to one month per period.¶" &amp; "DoNotUse           →This is required internally for counting period columns¶" &amp; "→¶" &amp; "EXAMPLE:           →=DebtSculptVariableλ(, Debt, CFADS, DSCR, APR)", "→", "¶")), _xlpm.ErrMsgs, {"Debt must be a dynamic array holding new debt (if any) in each period";"CFADS must be a dynamic array holding cash available for debt service in each period";"DSCR must be a dynamic array holding debt service coverage ratio for each period";"APR must be a dynamic array holding interest's annual percentage rate for each period"}, _xlpm.OpeningBalance, IF(ISNUMBER(_xlpm.OpeningBalance), _xlpm.OpeningBalance, 0), _xlpm.Debt, IF(COLUMNS(_xlpm.Debt) &lt;= 1, #VALUE!, _xlpm.Debt), _xlpm.CFADS, IF(COLUMNS(_xlpm.CFADS) &lt;= 1, #VALUE!, _xlpm.CFADS), _xlpm.DSCR, IF(COLUMNS(_xlpm.DSCR) &lt;= 1, #VALUE!, _xlpm.DSCR), _xlpm.APR, IF(COLUMNS(_xlpm.APR) &lt;= 1, #VALUE!, _xlpm.APR), _xlpm.MonthsPerPeriod, IF(ISNUMBER(_xlpm.MonthsPerPeriod), _xlpm.MonthsPerPeriod, 1), _xlpm.Period, IF(_xlpm.DoNotUse = 0, 1, _xlpm.DoNotUse), _xlpm.Errors, _xlfn.VSTACK(OR(ISERROR(_xlpm.Debt)), OR(ISERROR(_xlpm.CFADS)), OR(ISERROR(_xlpm.DSCR)), OR(ISERROR(_xlpm.APR))), _xlpm.Messages, _xlfn._xlws.FILTER(_xlpm.ErrMsgs, _xlpm.Errors, ""), _xlpm.ModelPeriods, COLUMNS(_xlpm.Debt), _xlpm.Rate, _xlpm.APR / 12 * _xlpm.MonthsPerPeriod, _xlpm.PeriodRate, INDEX(_xlpm.Rate, 1, _xlpm.Period), _xlpm.PeriodDebt, INDEX(_xlpm.Debt, 1, _xlpm.Period), _xlpm.PeriodCFADS, INDEX(_xlpm.CFADS, 1, _xlpm.Period), _xlpm.PeriodDSCR, INDEX(_xlpm.DSCR, 1, _xlpm.Period), _xlpm.Principal, _xlpm.OpeningBalance + _xlpm.PeriodDebt, _xlpm.Interest, _xlpm.Principal * _xlpm.PeriodRate, _xlpm.Payment, MIN(_xlpm.PeriodCFADS / _xlpm.PeriodDSCR, _xlpm.Principal + _xlpm.Interest), _xlpm.ClosingDebt, _xlpm.Principal + _xlpm.Interest - _xlpm.Payment, _xlpm.NewColumn, _xlfn.VSTACK(_xlpm.Principal, _xlpm.Interest, -_xlpm.Payment, _xlpm.ClosingDebt), _xlpm.Result, IF(_xlpm.Period = _xlpm.ModelPeriods, _xlpm.NewColumn, _xlfn.HSTACK(_xlpm.NewColumn, [0]!nabla.debt.DebtSculptVariableλ(_xlpm.ClosingDebt, _xlpm.Debt, _xlpm.CFADS, _xlpm.DSCR, _xlpm.APR, _xlpm.MonthsPerPeriod, _xlpm.Period + 1))), _xlpm.Return, IF(AND(_xlpm.Errors), 2, IF(OR(_xlpm.Errors), 3, IF(OR(ISERROR(_xlpm.Result)), 2, 1))), CHOOSE(_xlpm.Return, _xlpm.Result, _xlpm.Help, _xlpm.Messages)))</definedName>
    <definedName name="nabla.debt.InterestLRVλ" comment="Calculates debt sculpting interest using method presented by Lance Rubin">_xlfn.LAMBDA(_xlop.CFADS,_xlop.DSCR,_xlop.Principal,_xlop.InterestRate,_xlop.DoNotUse, _xlfn.LET(_xlpm.Help, TRIM(_xlfn.TEXTSPLIT("DESCRIPTION:   →Calculates debt sculpting interest using method presented by Lance Rubin¶" &amp; "VERSION:       →18 Aug 2026¶" &amp; "PARAMETERS:→¶" &amp; "CFADS          →(Required) Cash Flow Available for Debt Services for this period¶" &amp; "DSCR           →(Required) Debt Service Coverage Ratio for this period¶" &amp; "Principal      →(Required) Principal balance for this period¶" &amp; "InterestRate   →(Optional) Interest's Percentage Rate for this period (eg. APR/Days in this year * Days in this period)¶" &amp; "DoNotUse       →This is required internally for calculating rates¶" &amp; "→¶" &amp; "EXAMPLES:→¶" &amp; "Result         →Formula¶" &amp; "222.90         →=InterestLRVλ( 6666.37, 3.50, 90000, 3%/12)", "→", "¶")), _xlpm.ErrMsgs, {"CFADS must be a single number holding cash available for debt service for this period";"DSCR must be a single number holding debt service coverage ratio for this periods";"Principal must be a single number holding this period's opening debt balance";"InterestRate must be a single number holding this period's interest rate (APR/Days in this year * Days in this period)"}, _xlpm.CFADS, IF(AND(ISNUMBER(_xlpm.CFADS), COLUMNS(_xlpm.CFADS) = 1), _xlpm.CFADS, #VALUE!), _xlpm.DSCR, IF(AND(ISNUMBER(_xlpm.DSCR), COLUMNS(_xlpm.DSCR) = 1), _xlpm.DSCR, #VALUE!), _xlpm.Principal, IF(AND(ISNUMBER(_xlpm.Principal), COLUMNS(_xlpm.Principal) = 1), _xlpm.Principal, #VALUE!), _xlpm.InterestRate, IF(AND(ISNUMBER(_xlpm.InterestRate), COLUMNS(_xlpm.InterestRate) = 1), _xlpm.InterestRate, #VALUE!), _xlpm.DoNotUse, IF(_xlfn.ISOMITTED(_xlpm.DoNotUse), 0, _xlpm.DoNotUse), _xlpm.Errors, _xlfn.VSTACK(OR(ISERROR(_xlpm.CFADS)), OR(ISERROR(_xlpm.DSCR)), OR(ISERROR(_xlpm.Principal)), OR(ISERROR(_xlpm.InterestRate))), _xlpm.Messages, _xlfn._xlws.FILTER(_xlpm.ErrMsgs, _xlpm.Errors, ""), _xlpm.Payment, IF(_xlpm.DoNotUse = 0, _xlpm.CFADS / _xlpm.DSCR, _xlpm.DoNotUse), _xlpm.Interest, (_xlpm.Principal - _xlpm.Payment / 2) * _xlpm.InterestRate, _xlpm.Repayment, -_xlpm.CFADS / _xlpm.DSCR + _xlpm.Interest, _xlpm.Balance, _xlpm.Principal + _xlpm.Interest + _xlpm.Repayment, _xlpm.Result, IF(ABS(_xlpm.Payment + _xlpm.Repayment) &lt; 0.01, MAX(_xlpm.Interest, 0), [0]!nabla.debt.InterestLRVλ(_xlpm.CFADS, _xlpm.DSCR, _xlpm.Principal, _xlpm.InterestRate, -_xlpm.Repayment)), _xlpm.Return, IF(AND(_xlpm.Errors), 2, IF(OR(_xlpm.Errors), 3, IF(OR(ISERROR(_xlpm.Result)), 2, 1))), CHOOSE(_xlpm.Return, _xlpm.Result, _xlpm.Help, _xlpm.Messages)))</definedName>
    <definedName name="nabla.r.Aboutλ" comment="Displays this module's repository URL and function list">TRIM(_xlfn.TEXTSPLIT("About:                     →A library of Financial Ratios¶" &amp; "Version:                   →18 Aug 2026¶" &amp; "Repository:                  →https://github.com/ryanduguid/Nabla ¶" &amp; "Notes:                     →Sources include Investopedia.com, Corporate Finance and WallStreetPrep.com.¶" &amp; "→Copyright applies to LAMBDA coding¶" &amp; "→¶" &amp; "Function                   →Description¶" &amp; "Aboutλ                     →Produces this table¶" &amp; "→¶" &amp; "Liquidity Ratios→¶" &amp; "CurrentRatioλ              →Measures ability to pay short-term obligations¶" &amp; "QuickRatioλ                →Measures ability to meet short-term obligations¶" &amp; "CashRatioλ                 →Evaluates ability to repay short-term debt w/cash or near-cash resources¶" &amp; "OperatingCashFlowRatioλ    →Measures how readily current liabilities are covered by cash flows generated from operations. ¶" &amp; "ReceivablesTurnoverRatioλ  →Indicates effectiveness in collecting outstanding balances from clients and managing line of credit process¶" &amp; "InventoryTurnoverRatioλ    →Shows how many times a company turned over its inventory relative  to its cost of goods sold¶" &amp; "WorkingCapitalTurnoverRatioλ→Working Capital Turnover Ratio measures how efficiently a company is using its working capital to support sales and growth¶" &amp; "→¶" &amp; "Leverage Ratios→¶" &amp; "DebtRatioλ                 →Measures the extent of a company's leverage¶" &amp; "DSCRλ                      →Debt service coverage Ratio measures a firm’s available cash flow to pay its current debt obligations¶" &amp; "DebtToCapitalRatioλ        →Gives analysts and investors a better idea of a company's financial structure and whether or not the company is a suitable investment¶" &amp; "EquityMultiplierλ          →Measures the portion of a company’s assets financed by shareholders'equity rather than by debt¶" &amp; "→¶" &amp; "Solvency Ratios→¶" &amp; "DebtToEquityRatioλ         →Measures the degree to which a company is financing operations with debt rather than its own resources.¶" &amp; "DebtToAssetRatioλ          →Analysts can compare one company's leverage with that of other companies in the same industry.¶" &amp; "InterestCoverageRatioλ     →Determines how easily a company can pay interest on its outstanding debt¶" &amp; "EquityRatioλ               →Measures the long-term solvency of a company by comparing its shareholders’ equity to its total assets¶" &amp; "→¶" &amp; "Efficiency Ratios→¶" &amp; "AssetTurnoverRatioλ        →Measures the value of a company's sales or revenues relative to the value of its assets.¶" &amp; "DSIRatioλ                  →Days Sales in Inventory Ratio (aka Average age of inventory indicates the average time in days that a company takes to turn its inventory¶" &amp; "OperatingRatioλ            →Shows how efficient management is at keeping costs low while generating revenue¶" &amp; "→¶" &amp; "Profitability Margins &amp; Ratios→¶" &amp; "GrossMarginλ               →Shows how much profit a company makes after paying off its Cost of Goods Sold¶" &amp; "EBITDAMarginλ              →Measures a company's operating profit as a percentage of its revenue¶" &amp; "OperatingMarginλ           →Measures how much profit a company makes on a dollar of sales after paying for variable costs of production, such as wages and raw materials, but before paying interest or tax¶" &amp; "PretaxMarginλ              →Measures the operating efficiency of a company ¶" &amp; "NetProfitMarginλ           →Measures how much net income or profit a company generates as a percentage of its revenue.¶" &amp; "CashFlowMarginλ            →Cash Flow Margin is a trusted metric of a company’s profitability and efficiency and its earnings quality¶" &amp; "ROAλ                       →*Return on Assets Indicates how profitable a company is in relation to its total assets¶" &amp; "ROEλ                       →*Return on equity is a measure of financial performance ¶" &amp; "ROIλ                       →Return on Investment ratio  measures the profitability of an investment by comparing the gain or loss to its cost¶" &amp; "ROICλ                      →Return on Invested capital  assesses a company’s efficiency in allocating capital to profitable investments¶" &amp; "→¶" &amp; "Market Value Ratios→¶" &amp; "PriceEarningsRatioλ        →*Price-earnings Ratio measures a company's share price relative to its earnings per share¶" &amp; "PriceToBookRatioλ          →Many investors use the price-to-book ratio (P/B ratio) to compare a firm's market capitalisation to its book value and locate undervalued companies.¶" &amp; "PriceToSalesRatioλ         →Price to Sales (P/S) Ratio is an indicator of the value that financial markets have placed on each dollar of a company's sales or revenues¶" &amp; "PriceToCashRatioλ          →Price to Cash (P/CF) Ratio is a stock valuation indicator or multiple that measures the value of a stock’s price relative to its operating cash flow per share¶" &amp; "BVPSλ                      →Book value per share ratio is an indicator of the value of a company’s stock¶" &amp; "CAPERatioλ                 →Measure that uses real earnings per share (EPS) over a 10-year period to smooth out fluctuations in corporate profits that occur over different periods of a business cycle (aka Shiller PE Ratio)¶" &amp; "DividendPayoutRatioλ       →Dividend Payout Ratio is the percentage of earnings paid to shareholders via dividends¶" &amp; "DividendYieldRatioλ        →Dividend yield ratio shows how much a company pays out in dividends¶" &amp; "EPSλ                       →Earnings per share measures profitability indicating how much profit each outstanding share of common stock has earned ¶" &amp; "RetentionRatioλ            →Retention Ratio is the proportion of earnings kept back in the business as retained earnings¶" &amp; "→¶" &amp; "*                          →These are considered 'Key Ratios'¶" &amp; "→", "→", "¶"))</definedName>
    <definedName name="nabla.r.AssetTurnoverRatioλ" comment="Measures the value of a company's sales or revenues relative to the value of its assets._x000a_(Net Sales/Total Assets)">_xlfn.LAMBDA(_xlop.NetSales,_xlop.TotalAssets, _xlfn.LET(_xlpm.Help, TRIM(_xlfn.TEXTSPLIT("FUNCTION:      →AssetTurnoverRatioλ( NetSales, TotalAssets)¶" &amp; "DESCRIPTION:   →Measures the value of a company's sales or revenues relative to the value of its assets.¶" &amp; "→(Net Sales/Total Assets)¶" &amp; "WEBPAGE:       →https://www.investopedia.com/terms/a/assetturnover.asp ¶" &amp; "VERSION:       →18 Aug 2026¶" &amp; "PARAMETERS:→¶" &amp; "NetSales       →(Required) revenue or net sales. ¶" &amp; "TotalAssets    →(Required) Average of Assets and period start and end.¶" &amp; "EXAMPLES:      →Formula (nabla.r is assumed to be the module's name)¶" &amp; ".32x           →=nabla.r.AssetTurnoverRatioλ( 171760, 538715 )", "→", "¶")), _xlpm.Help?, OR(_xlfn.ISOMITTED(_xlpm.NetSales), _xlfn.ISOMITTED(_xlpm.TotalAssets)), _xlpm.Result, _xlpm.NetSales / _xlpm.TotalAssets, CHOOSE(_xlpm.Help? + 1, _xlpm.Result, _xlpm.Help)))</definedName>
    <definedName name="nabla.r.BVPSλ" comment="Book value per share ratio is an indicator of the value of a company’s stock _x000a_(Shareholders' Equity - Preferred Stock)/Average Shares Outstanding)">_xlfn.LAMBDA(_xlop.ShareholdersEquity,_xlop.PreferredStock,_xlop.AverageSharesOutstanding, _xlfn.LET(_xlpm.Help, TRIM(_xlfn.TEXTSPLIT("FUNCTION:          →BVPSλ( ShareholdersEquity, PreferredStock, AverageSharesOutstanding )¶" &amp; "DESCRIPTION:       →Book value per share ratio is an indicator of the value of a company’s stock¶" &amp; "→(Shareholders' Equity - Preferred Stock)/Average Shares Outstanding)¶" &amp; "WEBPAGE:           →https://corporatefinanceinstitute.com/resources/valuation/book-value-per-share-bvps/ ¶" &amp; "VERSION:           →18 Aug 2026¶" &amp; "PARAMETERS:→¶" &amp; "ShareholdersEquity →(Required) Shareholders' Equity (total assets - total liabilities) ¶" &amp; "PreferredStock     →(Required) Preferred Stock (securities that represent ownership in a corporation).¶" &amp; "AverageSharesOutstanding→(Required) Average Shares Out Standing ¶" &amp; "EXAMPLES:          →Formula (nabla.r is assumed to be the module's name)¶" &amp; "5                  →=nabla.r.BVPSλ(20.0, 5.0, AVERAGE( 2.9, 3.1) )", "→", "¶")), _xlpm.Help?, OR(_xlfn.ISOMITTED(_xlpm.ShareholdersEquity), _xlfn.ISOMITTED(_xlpm.AverageSharesOutstanding)), _xlpm.Result, (_xlpm.ShareholdersEquity - _xlpm.PreferredStock) / _xlpm.AverageSharesOutstanding, CHOOSE(_xlpm.Help? + 1, _xlpm.Result, _xlpm.Help)))</definedName>
    <definedName name="nabla.r.CAPERatioλ" comment="CAPE Ratio is a valuation measure that uses real earnings per share (EPS) over a 10-year period_x000a_to smooth out fluctuations in corporate profits that occur over different periods of a business_x000a_cycle (aka Shiller PE Ratio) (Share Price/Ten Year Average Earn">_xlfn.LAMBDA(_xlop.SharePrice,_xlop.TenYearAverageEarningsInflationAdjusted, _xlfn.LET(_xlpm.Help, TRIM(_xlfn.TEXTSPLIT("FUNCTION:      →CAPERatioλ( SharePrice, TenYearAverageEarningsInflationAdjusted )¶" &amp; "DESCRIPTION:   →CAPE Ratio is a valuation measure that uses real earnings per share (EPS) over a 10-year period ¶" &amp; "→to smooth out fluctuations in corporate profits that occur over different periods of a business ¶" &amp; "→cycle (aka Shiller PE Ratio) (Share Price/Ten Year Average Earnings Inflation Adjusted)¶" &amp; "WEBPAGE:       →https://www.investopedia.com/terms/c/cape-ratio.asp ¶" &amp; "VERSION:       →18 Aug 2026¶" &amp; "PARAMETERS:→¶" &amp; "SharePrice     →(Required) Current stock price ¶" &amp; "TenYearAverageEarningsInflationAdjusted→(Required) Average earnings per share for 10 years adjusted for inflation ¶" &amp; "EXAMPLES:      →Formula (nabla.r is assumed to be the module's name)¶" &amp; "10             →=nabla.r.CAPERatioλ( 100.0, 10.0  )", "→", "¶")), _xlpm.Help?, OR(_xlfn.ISOMITTED(_xlpm.SharePrice), _xlfn.ISOMITTED(_xlpm.TenYearAverageEarningsInflationAdjusted)), _xlpm.Result, _xlpm.SharePrice / _xlpm.TenYearAverageEarningsInflationAdjusted, CHOOSE(_xlpm.Help? + 1, _xlpm.Result, _xlpm.Help)))</definedName>
    <definedName name="nabla.r.CashFlowMarginλ" comment="Cash Flow Margin is a trusted metric of a company’s profitability and efficiency _x000a_and its earnings quality (Cash Flow From Operating Activities/Revenue).">_xlfn.LAMBDA(_xlop.CashFlowFromOperatingActivities,_xlop.Revenue, _xlfn.LET(_xlpm.Help, TRIM(_xlfn.TEXTSPLIT("FUNCTION:      →CashFlowMarginλ( NetIncome, Revenue)¶" &amp; "DESCRIPTION:   →Cash Flow Margin is a trusted metric of a company’s profitability ¶" &amp; "→and efficiency and its earnings quality ¶" &amp; "→(Cash Flow From Operating Activities/Revenue).¶" &amp; "WEBPAGE:       →https://www.investopedia.com/terms/o/operating-cash-flow-margin.asp ¶" &amp; "VERSION:       →18 Aug 2026¶" &amp; "PARAMETERS:→¶" &amp; "CashFlowFromOperatingActivities→(Required) Cash Flow From Operating Activities includes:¶" &amp; "→Net Income¶" &amp; "→Non-cash Expenses (Depreciation and Amortisation)¶" &amp; "→Change in Working Capital¶" &amp; "Revenue        →(Required) Revenue¶" &amp; "EXAMPLES:      →Formula (nabla.r is assumed to be the module's name)¶" &amp; "50.8%          →=nabla.r.CashFlowMarginλ( 2.695, 5.3 )", "→", "¶")), _xlpm.Help?, OR(_xlfn.ISOMITTED(_xlpm.CashFlowFromOperatingActivities), _xlfn.ISOMITTED(_xlpm.Revenue)), _xlpm.Result, _xlpm.CashFlowFromOperatingActivities / _xlpm.Revenue, CHOOSE(_xlpm.Help? + 1, _xlpm.Result, _xlpm.Help)))</definedName>
    <definedName name="nabla.r.CashRatioλ" comment="Evaluates ability to repay short-term debt w/cash or near-cash resources _x000a_    (Cash and Cash Equivalents / Current Liabilities)">_xlfn.LAMBDA(_xlop.Cash,_xlop.Liabilites, _xlfn.LET(_xlpm.Help, TRIM(_xlfn.TEXTSPLIT("FUNCTION:      →CashRatioλ( Cash, Liabilites)¶" &amp; "DESCRIPTION:   →Evaluates ability to repay short-term debt w/cash or near-cash resources" &amp; "→(Cash and Cash Equivalents / Current Liabilities)¶" &amp; "WEBPAGE:       →https://www.investopedia.com/terms/c/cash-ratio.asp ¶" &amp; "VERSION:       →18 Aug 2026¶" &amp; "PARAMETERS:→¶" &amp; "Cash           →(Required) Cash and Cash Equivalents¶" &amp; "Liabilites     →(Required) Current Liabilites. Includes: ¶" &amp; "→Accounts payable ¶" &amp; "→Wages ¶" &amp; "→Taxes payable ¶" &amp; "→Short-term debts ¶" &amp; "→Current portion of long-term debt ¶" &amp; "EXAMPLES:      →Formula (nabla.r is assumed to be the module's name)¶" &amp; ".517409        →=nabla.r.CashRatioλ( 63900000, 123500000)", "→", "¶")), _xlpm.Help?, OR(_xlfn.ISOMITTED(_xlpm.Cash), _xlfn.ISOMITTED(_xlpm.Liabilites)), _xlpm.Result, _xlpm.Cash / _xlpm.Liabilites, CHOOSE(_xlpm.Help? + 1, _xlpm.Result, _xlpm.Help)))</definedName>
    <definedName name="nabla.r.CurrentRatioλ" comment="Measures a company’s ability to pay short-term obligations (Current Assets/Liabilities)">_xlfn.LAMBDA(_xlop.Assets,_xlop.Liabilites, _xlfn.LET(_xlpm.Help, TRIM(_xlfn.TEXTSPLIT("FUNCTION:      →CurrentRatioλ( Assets, Liabilites)¶" &amp; "DESCRIPTION:   →Measures a company’s ability to pay short-term obligations  ¶" &amp; "→(Current Assets/Liabilities)¶" &amp; "WEBPAGE:       →https://www.investopedia.com/terms/c/cash-ratio.asp ¶" &amp; "VERSION:       →18 Aug 2026¶" &amp; "PARAMETERS:→¶" &amp; "Assets         →(Required) Current Assets. Incluces: ¶" &amp; "→Cash ¶" &amp; "→Accounts receivable ¶" &amp; "→Inventory ¶" &amp; "→Vendor mpm-trade receovables ¶" &amp; "→Assets expected to liquidated in the current year ¶" &amp; "→Marketable securities ¶" &amp; "→Property, Plant and equipment (PPE) ¶" &amp; "→Marketable securities ¶" &amp; "→Assets expected to liquidated in the current year ¶" &amp; "Liabilites     →(Required) Current Liabilites. Includes: ¶" &amp; "→Accounts payable ¶" &amp; "→Wages ¶" &amp; "→Taxes payable ¶" &amp; "→Short-term debts ¶" &amp; "→Current portion of long-term debt ¶" &amp; "EXAMPLES:      →Formula (nabla.r is assumed to be the module's name)¶" &amp; "1.075          →=nabla.r.CurrentRatioλ( 134.836, 125.481)", "→", "¶")), _xlpm.Help?, OR(_xlfn.ISOMITTED(_xlpm.Assets), _xlfn.ISOMITTED(_xlpm.Liabilites)), _xlpm.Result, _xlpm.Assets / _xlpm.Liabilites, CHOOSE(_xlpm.Help? + 1, _xlpm.Result, _xlpm.Help)))</definedName>
    <definedName name="nabla.r.DebtRatioλ" comment="Measures the extent of a company’s leverage">_xlfn.LAMBDA(_xlop.TotalDebt,_xlop.TotalAssets, _xlfn.LET(_xlpm.Help, TRIM(_xlfn.TEXTSPLIT("FUNCTION:      →DebtRatioλ( TotalDebt, TotalAssets)¶" &amp; "DESCRIPTION:   →Measures the extent of a company’s leverage (TotalDebt/TotalAssets)¶" &amp; "WEBPAGE:       →https://www.investopedia.com/terms/d/debtratio.asp# ¶" &amp; "VERSION:       →18 Aug 2026¶" &amp; "PARAMETERS:→¶" &amp; "TotalDebt      →(Required) Total Debt ¶" &amp; "TotalAssets    →(Required) Total Assets ¶" &amp; "EXAMPLES:      →Formula (nabla.r is assumed to be the module's name)¶" &amp; ".3             →=nabla.r.DebtRatioλ(30.0, 100.0)", "→", "¶")), _xlpm.Help?, OR(_xlfn.ISOMITTED(_xlpm.TotalDebt), _xlfn.ISOMITTED(_xlpm.TotalAssets)), _xlpm.Result, _xlpm.TotalDebt / _xlpm.TotalAssets, CHOOSE(_xlpm.Help? + 1, _xlpm.Result, _xlpm.Help)))</definedName>
    <definedName name="nabla.r.DebtToAssetRatioλ" comment="Analysts can compare one company's leverage with that of other _x000a_companies in the same industry. (Total Debt/Total Assets)">_xlfn.LAMBDA(_xlop.TotalDebt,_xlop.TotalAssets, _xlfn.LET(_xlpm.Help, TRIM(_xlfn.TEXTSPLIT("FUNCTION:          →DebtToAssetRatioλ( TotalDebt, TotalAssets)¶" &amp; "DESCRIPTION:       →Analysts can compare one company's leverage with that of other y¶" &amp; "→companies in the same industry (Total Debt/Total Assets)¶" &amp; "WEBPAGE:           →https://www.investopedia.com/terms/t/totaldebttototalassets.asp ¶" &amp; "VERSION:           →18 Aug 2026¶" &amp; "PARAMETERS:        →¶" &amp; "TotalDebt          →(Required) Total debt includes shortterm and longterm debt¶" &amp; "TotalAssets        →(Required) Shareholders' Equity (total assets - total liabilities) ¶" &amp; "EXAMPLES:          →Formula (nabla.r is assumed to be the module's name)¶" &amp; ".49873             →=nabla.r.DebtToAssetRatioλ(31.845, 63.852 )", "→", "¶")), _xlpm.Help?, OR(_xlfn.ISOMITTED(_xlpm.TotalDebt), _xlfn.ISOMITTED(_xlpm.TotalAssets)), _xlpm.Result, _xlpm.TotalDebt / _xlpm.TotalAssets, CHOOSE(_xlpm.Help? + 1, _xlpm.Result, _xlpm.Help)))</definedName>
    <definedName name="nabla.r.DebtToCapitalRatioλ" comment="Gives analysts and investors a better idea of a company's financial structure_x000a_and whether or not the company is a suitable investment (Debt/(Debt + Shareholders' equity)">_xlfn.LAMBDA(_xlop.Debt,_xlop.ShareholdersEquity, _xlfn.LET(_xlpm.Help, TRIM(_xlfn.TEXTSPLIT("FUNCTION:          →DebtToCapitalRatioλ( Debt, ShareholdersEquity)¶" &amp; "DESCRIPTION:       →Gives analysts and investors a better idea of a company's financial structure¶" &amp; "→and whether or not the company is a suitable investment.¶" &amp; "→(Debt/(Debt + Shareholders' equity)¶" &amp; "WEBPAGE:           →https://www.investopedia.com/terms/d/debt-to-capitalratio.asp ¶" &amp; "VERSION:           →18 Aug 2026¶" &amp; "PARAMETERS:→¶" &amp; "Debt               →(Required) Total Debt which can include: ¶" &amp; "→Notes payable¶" &amp; "→Bonds payable¶" &amp; "→Long-term liabilities¶" &amp; "ShareholdersEquity →(Required) Shareholders' Equity (total assets - total liabilities) ¶" &amp; "EXAMPLES:          →Formula (nabla.r is assumed to be the module's name)¶" &amp; "26.4%              →=nabla.r.DebtToCapitalRatioλ( 80.0, 223.0 )", "→", "¶")), _xlpm.Help?, OR(_xlfn.ISOMITTED(_xlpm.Debt), _xlfn.ISOMITTED(_xlpm.ShareholdersEquity)), _xlpm.Result, _xlpm.Debt / (_xlpm.Debt + _xlpm.ShareholdersEquity), CHOOSE(_xlpm.Help? + 1, _xlpm.Result, _xlpm.Help)))</definedName>
    <definedName name="nabla.r.DebtToEquityRatioλ" comment="Measures the degree to which a company is financing operations_x000a_with debt rather than its own resources. (Total Liabilities/Shareholders' Equity)">_xlfn.LAMBDA(_xlop.TotalLiabilities,_xlop.ShareholdersEquity, _xlfn.LET(_xlpm.Help, TRIM(_xlfn.TEXTSPLIT("FUNCTION:          →DebtToEquityRatioλ( TotalLiabilities, ShareholdersEquity)¶" &amp; "DESCRIPTION:       →Measures the degree to which a company is financing operations¶" &amp; "→with debt rather than its own resources. (Total Liabilities/Shareholders' Equity)¶" &amp; "WEBPAGE:           →https://www.investopedia.com/terms/d/debtequityratio.asp ¶" &amp; "VERSION:           →18 Aug 2026¶" &amp; "PARAMETERS:        →¶" &amp; "TotalLiabilities   →(Required) Total Liabilities¶" &amp; "ShareholdersEquity →(Required) Shareholders' Equity (total assets - total liabilities) ¶" &amp; "EXAMPLES:          →Formula (nabla.r is assumed to be the module's name)¶" &amp; "3.77               →=nabla.r.DebtToEquityRatioλ(279.0, 74.0 )", "→", "¶")), _xlpm.Help?, OR(_xlfn.ISOMITTED(_xlpm.TotalLiabilities), _xlfn.ISOMITTED(_xlpm.ShareholdersEquity), ), _xlpm.Result, _xlpm.TotalLiabilities / _xlpm.ShareholdersEquity, CHOOSE(_xlpm.Help? + 1, _xlpm.Result, _xlpm.Help)))</definedName>
    <definedName name="nabla.r.DividendYieldRatioλ" comment="Dividend yield ratio shows how much a company pays out in dividends _x000a_each year relative to its stock price (Annual Dividends Pe rShare/Share Price)">_xlfn.LAMBDA(_xlop.AnnualDividendsPerShare,_xlop.SharePrice, _xlfn.LET(_xlpm.Help, TRIM(_xlfn.TEXTSPLIT("FUNCTION:      →DividendYieldRatioλ( AnnualDividendsPerShare, SharePrice)¶" &amp; "DESCRIPTION:   →Dividend yield ratio shows how much a company pays out in dividends ¶" &amp; "→each year relative to its stock price (Annual Dividends Pe rShare/Share Price)¶" &amp; "WEBPAGE:       →https://www.investopedia.com/terms/d/dividendyield.asp ¶" &amp; "VERSION:       →18 Aug 2026¶" &amp; "PARAMETERS:→¶" &amp; "AnnualDividendsPerShare→(Required) Annual Dividends Per Share ¶" &amp; "SharePrice     →(Required) Market value per share ¶" &amp; "EXAMPLES:      →Formula (nabla.r is assumed to be the module's name)¶" &amp; "2.6667%        →=nabla.r.DividendYieldRatioλ( 1.2, 45 )", "→", "¶")), _xlpm.Help?, OR(_xlfn.ISOMITTED(_xlpm.AnnualDividendsPerShare), _xlfn.ISOMITTED(_xlpm.SharePrice)), _xlpm.Result, _xlpm.AnnualDividendsPerShare / _xlpm.SharePrice, CHOOSE(_xlpm.Help? + 1, _xlpm.Result, _xlpm.Help)))</definedName>
    <definedName name="nabla.r.DPRλ" comment="Dividend Payout Ratio is the percentage of earnings paid to shareholders via dividends_x000a_    (DividendsPaid/NetIncome)">_xlfn.LAMBDA(_xlop.DividendsPaid,_xlop.NetIncome, _xlfn.LET(_xlpm.Help, TRIM(_xlfn.TEXTSPLIT("FUNCTION:      →DPRλ( DividendsPaid, NetIncome )¶" &amp; "DESCRIPTION:   →Dividend Payout Ratio is the percentage of earnings paid to shareholders via dividends¶" &amp; "→(DividendsPaid/NetIncome)¶" &amp; "WEBPAGE:       →https://www.investopedia.com/terms/d/dividendpayoutratio.asp ¶" &amp; "VERSION:       →18 Aug 2026¶" &amp; "PARAMETERS:→¶" &amp; "DividendsPaid  →(Required) Dividends paid ¶" &amp; "NetIncome      →(Required) Net Income¶" &amp; "EXAMPLES:      →Formula (nabla.r is assumed to be the module's name)¶" &amp; "25%            →=nabla.r.DPRλ( 5.0, 20.0 )", "→", "¶")), _xlpm.Help?, OR(_xlfn.ISOMITTED(_xlpm.DividendsPaid), _xlfn.ISOMITTED(_xlpm.NetIncome)), _xlpm.Result, _xlpm.DividendsPaid / _xlpm.NetIncome, CHOOSE(_xlpm.Help? + 1, _xlpm.Result, _xlpm.Help)))</definedName>
    <definedName name="nabla.r.DSCRλ" comment="Debt service coverage Ratio measures a firm’s available cash flow to pay its _x000a_current debt obligations(Net Operating Income/Total Debt Service)">_xlfn.LAMBDA(_xlop.NetOperatingIncome,_xlop.TotalDebtService, _xlfn.LET(_xlpm.Help, TRIM(_xlfn.TEXTSPLIT("FUNCTION:          →DSCRλ( NetOperatingIncome, Totaldebtservice)¶" &amp; "DESCRIPTION:       →Measures a firm’s available cash flow to pay its current debt obligations¶" &amp; "→(Net Operating Income/Total Debt Service)¶" &amp; "WEBPAGE:           →https://www.investopedia.com/terms/d/dscr.asp ¶" &amp; "VERSION:           →18 Aug 2026¶" &amp; "PARAMETERS:→¶" &amp; "NetOperatingIncome →(Required) Revenue - Certain Operating Expenses¶" &amp; "TotaldebtService   →(Required) Interest * (1-Tax Rate), principal, sinking fund,¶" &amp; "→and lease payments due in the coming year¶" &amp; "EXAMPLES:          →Formula (nabla.r is assumed to be the module's name)¶" &amp; "6.142857           →=nabla.r.DSCRλ(2150.0, 350.0)", "→", "¶")), _xlpm.Help?, OR(_xlfn.ISOMITTED(_xlpm.NetOperatingIncome), _xlfn.ISOMITTED(_xlpm.TotalDebtService)), _xlpm.Result, _xlpm.NetOperatingIncome / _xlpm.TotalDebtService, CHOOSE(_xlpm.Help? + 1, _xlpm.Result, _xlpm.Help)))</definedName>
    <definedName name="nabla.r.DSIλ" comment="Days Sales in Inventory Ratio (aka Average age of inventory _x000a_indicates the average time in days that a company takes to turn its inventory _x000a_(Average Inventory/ Cost of Goods Sold)">_xlfn.LAMBDA(_xlop.AverageInventory,_xlop.CostOfGoodsSold, _xlfn.LET(_xlpm.Help, TRIM(_xlfn.TEXTSPLIT("FUNCTION:          →DSIλ( AverageInventory, CostOfGoodsSold)¶" &amp; "DESCRIPTION:       →Days Sales in Inventory Ratio (aka Average age of inventory)¶" &amp; "→indicates the average time in days that a company takes to turn its inventory¶" &amp; "→(Average Inventory/ Cost of Goods Sold)¶" &amp; "WEBPAGE:           →https://www.investopedia.com/terms/d/days-sales-inventory-dsi.asp ¶" &amp; "VERSION:           →18 Aug 2026¶" &amp; "PARAMETERS:→¶" &amp; "AverageInventory→  (Required) Average of period open and close Inventory¶" &amp; "CostOfGoodsSold→   (Required) Cost of Goods Sold (COGS) ¶" &amp; "EXAMPLES:          →Formula (nabla.r is assumed to be the module's name)¶" &amp; "40.8949 days       →=nabla.r.DSIλ(54.9, 490 )", "→", "¶")), _xlpm.Help?, OR(_xlfn.ISOMITTED(_xlpm.AverageInventory), _xlfn.ISOMITTED(_xlpm.CostOfGoodsSold)), _xlpm.DpY, 365, _xlpm.Result, _xlpm.AverageInventory / _xlpm.CostOfGoodsSold * _xlpm.DpY, CHOOSE(_xlpm.Help? + 1, _xlpm.Result, _xlpm.Help)))</definedName>
    <definedName name="nabla.r.EBITDAMarginλ" comment="Measures a company's operating profit as a percentage of its revenue (EBITDA/Total Revenue).">_xlfn.LAMBDA(_xlop.EBITDA,_xlop.TotalRevenue, _xlfn.LET(_xlpm.Help, TRIM(_xlfn.TEXTSPLIT("FUNCTION:      →EBITDAMarginλ( EBITDA, TotalRevenue)¶" &amp; "DESCRIPTION:   →Measures a company's operating profit as a percentage of its revenue.¶" &amp; "→(EBITDA/Total Revenue)¶" &amp; "WEBPAGE:       →https://www.investopedia.com/terms/e/ebitda-margin.asp ¶" &amp; "VERSION:       →18 Aug 2026¶" &amp; "PARAMETERS:→¶" &amp; "EBITDA         →(Required) Earnings Before Interest, tax, depreciation, and amortisation¶" &amp; "TotalRevenue   →(Required) Total Revenue¶" &amp; "EXAMPLES:      →Formula (nabla.r is assumed to be the module's name)¶" &amp; "12%            →=nabla.r.EBITDAMarginλ( 15.0, 125.0 )", "→", "¶")), _xlpm.Help?, OR(_xlfn.ISOMITTED(_xlpm.EBITDA), _xlfn.ISOMITTED(_xlpm.TotalRevenue)), _xlpm.Result, _xlpm.EBITDA / _xlpm.TotalRevenue, CHOOSE(_xlpm.Help? + 1, _xlpm.Result, _xlpm.Help)))</definedName>
    <definedName name="nabla.r.EPSλ" comment="Earnings per share measures profitability indicating how much profit each _x000a_outstanding share of common stock has earned _x000a_    (Net Income - Preferred Dividends)/End Of Period Common Shares Outstanding)">_xlfn.LAMBDA(_xlop.NetIncome,_xlop.PreferredDividends,_xlop.EndOfPeriodCommonSharesOutstanding, _xlfn.LET(_xlpm.Help, TRIM(_xlfn.TEXTSPLIT("FUNCTION:          →EPSλ( NetIncome, PreferredDividends, EndOfPeriodCommonSharesOutstanding)¶" &amp; "DESCRIPTION:       →Earnings per share measures profitability indicating how much profit each ¶" &amp; "→outstanding share of common stock has earned ¶" &amp; "→(Net Income - Preferred Dividends)/End Of Period Common Shares Outstanding)¶" &amp; "WEBPAGE:           →https://www.investopedia.com/terms/e/eps.asp ¶" &amp; "VERSION:           →18 Aug 2026¶" &amp; "PARAMETERS:→¶" &amp; "NetIncome          →(Required) Net Income ¶" &amp; "PreferredDividends →(Required) Dividends paid on prefered stock¶" &amp; "EndOfPeriodCommonSharesOutstanding→(Required) End of Periods Common Shares outstanding or ¶" &amp; "→Weighted average number of shares outstanding¶" &amp; "EXAMPLES:          →Formula (nabla.r is assumed to be the module's name)¶" &amp; "1.909548           →=nabla.r.EPSλ( 7.6, 0, 3.98 )", "→", "¶")), _xlpm.Help?, OR(_xlfn.ISOMITTED(_xlpm.NetIncome), _xlfn.ISOMITTED(_xlpm.PreferredDividends), _xlfn.ISOMITTED(_xlpm.EndOfPeriodCommonSharesOutstanding)), _xlpm.Result, (_xlpm.NetIncome - _xlpm.PreferredDividends) / _xlpm.EndOfPeriodCommonSharesOutstanding, CHOOSE(_xlpm.Help? + 1, _xlpm.Result, _xlpm.Help)))</definedName>
    <definedName name="nabla.r.EquityMultiplierλ" comment="Measures the portion of a company’s assets financed by shareholders'_x000a_equity rather than by debt (TotalAssets/TotalShareholdersEquity)">_xlfn.LAMBDA(_xlop.TotalAssets,_xlop.TotalShareholdersEquity, _xlfn.LET(_xlpm.Help, TRIM(_xlfn.TEXTSPLIT("FUNCTION:          →EquityMultiplierλ( TotalAssets, TotalShareholdersEquity)¶" &amp; "DESCRIPTION:       →Measures the portion of a company’s assets financed by shareholders' ¶" &amp; "→equity rather than by debt (TotalAssets/TotalShareholdersEquity)¶" &amp; "WEBPAGE:           →https://www.investopedia.com/terms/e/equitymultiplier.asp ¶" &amp; "VERSION:           →18 Aug 2026¶" &amp; "PARAMETERS:        →¶" &amp; "TotalAssets        →(Required) Both current and long-term assets¶" &amp; "ShareholdersEquity →(Required) Shareholders' Equity (total assets - total liabilities) ¶" &amp; "EXAMPLES:          →Formula (nabla.r is assumed to be the module's name)¶" &amp; "4.40625            →=nabla.r.EquityMultiplierλ(366.6, 83.2 )", "→", "¶")), _xlpm.Help?, OR(_xlfn.ISOMITTED(_xlpm.TotalAssets), _xlfn.ISOMITTED(_xlpm.TotalShareholdersEquity)), _xlpm.Result, _xlpm.TotalAssets / _xlpm.TotalShareholdersEquity, CHOOSE(_xlpm.Help? + 1, _xlpm.Result, _xlpm.Help)))</definedName>
    <definedName name="nabla.r.EquityRatioλ" comment="Measures the long-term solvency of a company by comparing its shareholders’ equity to its _x000a_total assets (Shareholder's Equity/(Total Assets - Intangible Assets)).">_xlfn.LAMBDA(_xlop.ShareholdersEquity,_xlop.TotalAssets,_xlop.IntangibleAssets, _xlfn.LET(_xlpm.Help, TRIM(_xlfn.TEXTSPLIT("FUNCTION:          →InterestCoverageRatioλ( ShareholdersEquity, TotalAssets, IntangibleAssets)¶" &amp; "DESCRIPTION:       →Measures the long-term solvency of a company by comparing its shareholders’ ¶" &amp; "→equity to its total assets (Shareholder's Equity/(Total Assets - Intangible Assets))¶" &amp; "WEBPAGE:           →https://www.wallstreetprep.com/knowledge/equity-ratio/ ¶" &amp; "VERSION:           →18 Aug 2026¶" &amp; "PARAMETERS:        →¶" &amp; "OperatingIncome    →(Required) Operating Income (EBIT) ¶" &amp; "InterestExpenses   →(Required) Interest Expense ¶" &amp; "EXAMPLES:          →Formula (nabla.r is assumed to be the module's name)¶" &amp; "40%                →=nabla.r.EquityRatioλ( 20.0, 60.0, 10.0 )", "→", "¶")), _xlpm.Help?, OR(_xlfn.ISOMITTED(_xlpm.ShareholdersEquity), _xlfn.ISOMITTED(_xlpm.TotalAssets), _xlfn.ISOMITTED(_xlpm.IntangibleAssets)), _xlpm.Result, _xlpm.ShareholdersEquity / (_xlpm.TotalAssets - _xlpm.IntangibleAssets), CHOOSE(_xlpm.Help? + 1, _xlpm.Result, _xlpm.Help)))</definedName>
    <definedName name="nabla.r.GrossMarginλ" comment="Shows how much profit a company makes after paying off its Cost of Goods Sold">_xlfn.LAMBDA(_xlop.GrossProfit,_xlop.NetSales, _xlfn.LET(_xlpm.Help, TRIM(_xlfn.TEXTSPLIT("FUNCTION:      →GrossMarginλ( GrossProfit, NetSales)¶" &amp; "DESCRIPTION:   →Shows how much profit a company makes after paying off its Cost of Goods Sold (COGS).¶" &amp; "→(Gross Profit/Net Sales)¶" &amp; "WEBPAGE:       →https://corporatefinanceinstitute.com/resources/accounting/gross-margin-ratio/ ¶" &amp; "VERSION:       →18 Aug 2026¶" &amp; "PARAMETERS:→¶" &amp; "GrossProfit    →(Required) Gross Profit¶" &amp; "NetSales       →(Required) Net Sales or Revenue¶" &amp; "EXAMPLES:      →Formula (nabla.r is assumed to be the module's name)¶" &amp; "61.7448%       →=nabla.r.GrossMarginλ( 62.984, 102.007 )", "→", "¶")), _xlpm.Help?, OR(_xlfn.ISOMITTED(_xlpm.GrossProfit), _xlfn.ISOMITTED(_xlpm.NetSales)), _xlpm.Result, _xlpm.GrossProfit / _xlpm.NetSales, CHOOSE(_xlpm.Help? + 1, _xlpm.Result, _xlpm.Help)))</definedName>
    <definedName name="nabla.r.InterestCoverageRatioλ" comment="Determines how easily a company can pay interest on its outstanding debt_x000a_(Operating Income/Interest Expenses)">_xlfn.LAMBDA(_xlop.OperatingIncome,_xlop.InterestExpenses, _xlfn.LET(_xlpm.Help, TRIM(_xlfn.TEXTSPLIT("FUNCTION:          →InterestCoverageRatioλ( OperatingIncome, InterestExpenses)¶" &amp; "DESCRIPTION:       →Determines how easily a company can pay interest on its outstanding debt¶" &amp; "→(Operating Income/Interest Expenses)¶" &amp; "WEBPAGE:           →https://www.investopedia.com/terms/i/interestcoverageratio.asp ¶" &amp; "VERSION:           →18 Aug 2026¶" &amp; "PARAMETERS:        →¶" &amp; "OperatingIncome    →(Required) Operating Income (EBIT) ¶" &amp; "InterestExpenses   →(Required) Interest Expense ¶" &amp; "EXAMPLES:          →Formula (nabla.r is assumed to be the module's name)¶" &amp; "6.944444           →=nabla.r.InterestCoverageRatioλ( 625.0, 90.0 )", "→", "¶")), _xlpm.Help?, OR(_xlfn.ISOMITTED(_xlpm.OperatingIncome), _xlfn.ISOMITTED(_xlpm.InterestExpenses)), _xlpm.Result, _xlpm.OperatingIncome / _xlpm.InterestExpenses, CHOOSE(_xlpm.Help? + 1, _xlpm.Result, _xlpm.Help)))</definedName>
    <definedName name="nabla.r.InventoryTurnoverRatioλ" comment="Shows how many times a company turned over its inventory relative _x000a_    to its cost of goods sold (COGS) (COGS/Average Inventory)">_xlfn.LAMBDA(_xlop.CostOfGoodsSold,_xlop.AverageInventory, _xlfn.LET(_xlpm.Help, TRIM(_xlfn.TEXTSPLIT("FUNCTION:          →InventoryTurnoverRatioλ( CostOfGoodsSold, AverageInventory)¶" &amp; "DESCRIPTION:       →Shows how many times a company turned over its inventory relative ¶" &amp; "→to its cost of goods sold (COGS) (COGS/Average Inventory)¶" &amp; "WEBPAGE:           →https://www.investopedia.com/terms/i/inventoryturnover.asp ¶" &amp; "VERSION:           →18 Aug 2026¶" &amp; "PARAMETERS:→¶" &amp; "CostOfGoodsSold    →(Required) Cost of Goods Sold (COGS) which can include:¶" &amp; "→Office supply costs¶" &amp; "→Rent and utility expenses¶" &amp; "→Repair and maintenance costs¶" &amp; "→Salary and wage expenses¶" &amp; "AverageInventory   →(Required) Average of period open and close inventory ¶" &amp; "EXAMPLES:          →Formula (nabla.r is assumed to be the module's name)¶" &amp; "8.461538           →=nabla.r.InventoryTurnoverRatioλ( 429, 50.7)", "→", "¶")), _xlpm.Help?, OR(_xlfn.ISOMITTED(_xlpm.CostOfGoodsSold), _xlfn.ISOMITTED(_xlpm.AverageInventory)), _xlpm.Result, _xlpm.CostOfGoodsSold / _xlpm.AverageInventory, CHOOSE(_xlpm.Help? + 1, _xlpm.Result, _xlpm.Help)))</definedName>
    <definedName name="nabla.r.NetProfitMarginλ" comment="Measures how much net income or profit a company generates as a percentage of its revenue. _x000a_(Net Income/Revenue).">_xlfn.LAMBDA(_xlop.NetIncome,_xlop.Revenue, _xlfn.LET(_xlpm.Help, TRIM(_xlfn.TEXTSPLIT("FUNCTION:      →NetProfitMarginλ( NetIncome, Revenue)¶" &amp; "DESCRIPTION:   →Measures how much net income or profit a company generates as a ¶" &amp; "→percentage of its revenue. (Net Income/Revenue)¶" &amp; "WEBPAGE:       →https://www.investopedia.com/terms/n/net_margin.asp ¶" &amp; "VERSION:       →18 Aug 2026¶" &amp; "PARAMETERS:→¶" &amp; "NetIncome      →(Required) Net Income includes:¶" &amp; "→Revenue¶" &amp; "→Less COGS¶" &amp; "→Less Operating and other expenses¶" &amp; "→Less Interest¶" &amp; "→Less Taxes¶" &amp; "Revenue        →(Required) Revenue¶" &amp; "EXAMPLES:      →Formula (nabla.r is assumed to be the module's name)¶" &amp; "56%            →=nabla.r.NetProfitMarginλ( 56.0, 100.0 )", "→", "¶")), _xlpm.Help?, OR(_xlfn.ISOMITTED(_xlpm.NetIncome), _xlfn.ISOMITTED(_xlpm.Revenue)), _xlpm.Result, _xlpm.NetIncome / _xlpm.Revenue, CHOOSE(_xlpm.Help? + 1, _xlpm.Result, _xlpm.Help)))</definedName>
    <definedName name="nabla.r.OperatingCashFlowRatioλ" comment="Measures a company’s ability to pay short-term obligations">_xlfn.LAMBDA(_xlop.OperatingCashFlow,_xlop.Liabilites, _xlfn.LET(_xlpm.Help, TRIM(_xlfn.TEXTSPLIT("FUNCTION:          →OperatingCashFlowRatioλ( OperatingCashFlow, Liabilites)¶" &amp; "DESCRIPTION:       →Measures how readily current liabilities are covered by cash flows generated from operations.¶" &amp; "→(OperatingCashFlow/Liabilites)¶" &amp; "WEBPAGE:           →https://www.investopedia.com/terms/o/ocfratio.asp ¶" &amp; "VERSION:           →18 Aug 2026¶" &amp; "PARAMETERS:        →¶" &amp; "OperatingCashFlow  →(Required) Operating cash flow. ¶" &amp; "→Indirect method includes: ¶" &amp; "→• Net Income ¶" &amp; "→• Plus depreciation and amortisation ¶" &amp; "→• Less increase in net working capital ¶" &amp; "→Direct method includes: ¶" &amp; "→• Cash revenue ¶" &amp; "→• Less Operating expenses paid in cash¶" &amp; "Liabilites         →(Required) Current Liabilites. Includes: ¶" &amp; "→Accounts payable ¶" &amp; "→Wages ¶" &amp; "→Taxes payable ¶" &amp; "→Short-term debts ¶" &amp; "→Current portion of long-term debt ¶" &amp; "EXAMPLES:          →Formula (nabla.r is assumed to be the module's name)¶" &amp; "0.35871            →=nabla.r.OperatingCashFlowRatioλ( 27.8, 77.5)", "→", "¶")), _xlpm.Help?, OR(_xlfn.ISOMITTED(_xlpm.OperatingCashFlow), _xlfn.ISOMITTED(_xlpm.Liabilites)), _xlpm.Result, _xlpm.OperatingCashFlow / _xlpm.Liabilites, CHOOSE(_xlpm.Help? + 1, _xlpm.Result, _xlpm.Help)))</definedName>
    <definedName name="nabla.r.OperatingMarginλ" comment="Measures how much profit a company makes on a dollar of sales after paying for variable costs _x000a_of production, such as wages and raw materials, but before paying interest or tax (Operating Earnings/Revenue).">_xlfn.LAMBDA(_xlop.OperatingEarnings,_xlop.Revenue, _xlfn.LET(_xlpm.Help, TRIM(_xlfn.TEXTSPLIT("FUNCTION:          →OperatingMarginλ( OperatingEarnings, Revenue)¶" &amp; "DESCRIPTION:       →Measures how much profit a company makes on a dollar of sales after paying¶" &amp; "→for variable costs of production, such as wages and raw materials, but ¶" &amp; "→before paying interest or tax (Operating Earnings/Revenue).¶" &amp; "WEBPAGE:           →https://www.investopedia.com/terms/o/operatingmargin.asp ¶" &amp; "VERSION:           →18 Aug 2026¶" &amp; "PARAMETERS:→¶" &amp; "OperatingEarnings  →(Required) Earnings Before Interest and tax (EBIT) which is revenue - COGS¶" &amp; "Revenue            →(Required) Revenue¶" &amp; "EXAMPLES:          →Formula (nabla.r is assumed to be the module's name)¶" &amp; "40%                →=nabla.r.OperatingMarginλ( .8, 2.0 )", "→", "¶")), _xlpm.Help?, OR(_xlfn.ISOMITTED(_xlpm.OperatingEarnings), _xlfn.ISOMITTED(_xlpm.Revenue)), _xlpm.Result, _xlpm.OperatingEarnings / _xlpm.Revenue, CHOOSE(_xlpm.Help? + 1, _xlpm.Result, _xlpm.Help)))</definedName>
    <definedName name="nabla.r.OperatingRatioλ" comment="Shows how efficient management is at keeping costs low while generating revenue _x000a_(Operating Expenses + Cost Of Goods Sold)/Net Sales)">_xlfn.LAMBDA(_xlop.OperatingExpenses,_xlop.CostOfGoodsSold,_xlop.NetSales, _xlfn.LET(_xlpm.Help, TRIM(_xlfn.TEXTSPLIT("FUNCTION:          →OperatingRatioλ( OperatingExpenses, CostOfGoodsSold, NetSales)¶" &amp; "DESCRIPTION:       →Shows how efficient management is at keeping costs low ¶" &amp; "→while generating revenue¶" &amp; "→(Operating Expenses + Cost Of Goods Sold)/Net Sales)¶" &amp; "WEBPAGE:           →https://www.investopedia.com/terms/o/operatingratio.asp ¶" &amp; "VERSION:           →18 Aug 2026¶" &amp; "PARAMETERS:→¶" &amp; "OperatingExpenses  →(Required) Operating Expenses which can include:¶" &amp; "→Accounting and legal fees¶" &amp; "→Bank charges¶" &amp; "→Sales and marketing costs¶" &amp; "→Non-capitalised research¶" &amp; "→development (R&amp;D) expenses¶" &amp; "→Cost of Goods Sold (COGS)¶" &amp; "CostOfGoodsSold    →(Required) Cost of Goods Sold (COGS) which can include:¶" &amp; "→Office supply costs¶" &amp; "→Rent and utility expenses¶" &amp; "→Repair and maintenance costs¶" &amp; "→Salary and wage expenses¶" &amp; "NetSales           →(Required) Net Sales or Revenue.¶" &amp; "EXAMPLES:          →Formula (nabla.r is assumed to be the module's name)¶" &amp; "69%                →=nabla.r.OperatingRatioλ( 14.37, 48.48, 90.75 )", "→", "¶")), _xlpm.Help?, OR(_xlfn.ISOMITTED(_xlpm.OperatingExpenses), _xlfn.ISOMITTED(_xlpm.CostOfGoodsSold), _xlfn.ISOMITTED(_xlpm.NetSales)), _xlpm.Result, (_xlpm.OperatingExpenses + _xlpm.CostOfGoodsSold) / _xlpm.NetSales, CHOOSE(_xlpm.Help? + 1, _xlpm.Result, _xlpm.Help)))</definedName>
    <definedName name="nabla.r.PretaxMarginλ" comment="Measures the operating efficiency of a company (Pretax Earnings/Revenue).">_xlfn.LAMBDA(_xlop.PretaxEarnings,_xlop.Revenue, _xlfn.LET(_xlpm.Help, TRIM(_xlfn.TEXTSPLIT("FUNCTION:      →PretaxMarginλ( PretaxEarnings, Revenue)¶" &amp; "DESCRIPTION:   →Measures the operating efficiency of a company (Pretax Earnings/Revenue).¶" &amp; "WEBPAGE:       →https://www.investopedia.com/terms/p/pretax-margin.asp ¶" &amp; "VERSION:       →18 Aug 2026¶" &amp; "PARAMETERS:→¶" &amp; "PretaxEarnings →(Required) Earnings before tax (EBT)¶" &amp; "Revenue        →(Required) Revenue¶" &amp; "EXAMPLES:      →Formula (nabla.r is assumed to be the module's name)¶" &amp; "8%             →=nabla.r.PretaxMarginλ( 40.0, 500.0 )", "→", "¶")), _xlpm.Help?, OR(_xlfn.ISOMITTED(_xlpm.PretaxEarnings), _xlfn.ISOMITTED(_xlpm.Revenue)), _xlpm.Result, _xlpm.PretaxEarnings / _xlpm.Revenue, CHOOSE(_xlpm.Help? + 1, _xlpm.Result, _xlpm.Help)))</definedName>
    <definedName name="nabla.r.PriceEarningsRatioλ" comment="Price-earnings Ratio measures a company's share price relative to _x000a_its earnings per share (Share Price/Earnings Per Share).">_xlfn.LAMBDA(_xlop.SharePrice,_xlop.EarningsPerShare, _xlfn.LET(_xlpm.Help, TRIM(_xlfn.TEXTSPLIT("FUNCTION:          →PriceEarningsRatioλ( SharePrice, EarningsPerShare)¶" &amp; "DESCRIPTION:       →Price-earnings Ratio measures a company's share price relative to ¶" &amp; "→its earnings per share (Share Price/Earnings Per Share).¶" &amp; "WEBPAGE:           →https://www.investopedia.com/terms/p/price-earningsratio.asp ¶" &amp; "VERSION:           →18 Aug 2026¶" &amp; "PARAMETERS:→¶" &amp; "SharePrice         →(Required) Share Price (Market Value Per Share) ¶" &amp; "EarningsPerShare   →(Required) Earnings Per Share¶" &amp; "EXAMPLES:          →Formula (nabla.r is assumed to be the module's name)¶" &amp; "14.39881           →=nabla.r.PriceEarningsRatioλ( 242.62, 16.85)", "→", "¶")), _xlpm.Help?, OR(_xlfn.ISOMITTED(_xlpm.SharePrice), _xlfn.ISOMITTED(_xlpm.EarningsPerShare)), _xlpm.Result, _xlpm.SharePrice / _xlpm.EarningsPerShare, CHOOSE(_xlpm.Help? + 1, _xlpm.Result, _xlpm.Help)))</definedName>
    <definedName name="nabla.r.PriceToBookRatioλ" comment="Many investors use the price-to-book ratio (P/B ratio) to compare a firm's market _x000a_capitalisation to its book value and locate undervalued companies.">_xlfn.LAMBDA(_xlop.MarketPricePerShare,_xlop.BookValuePerShare, _xlfn.LET(_xlpm.Help, TRIM(_xlfn.TEXTSPLIT("FUNCTION:          →PriceToBookRatioλ( MarketPricePerShare, BookValuePerShareBvps)¶" &amp; "DESCRIPTION:       →Many investors use the price-to-book ratio (P/B ratio) to compare a ¶" &amp; "→firm's market capitalisation to its book value and locate undervalued companies.¶" &amp; "→(Market Price Per Share/Book Value Per Share)¶" &amp; "WEBPAGE:           →https://www.investopedia.com/terms/p/price-to-bookratio.asp ¶" &amp; "VERSION:           →18 Aug 2026¶" &amp; "PARAMETERS:→¶" &amp; "MarketPricePerShare→(Required) Market Price Per Share (Current market price of the share)¶" &amp; "BookValuePerShare  →(Required) Book Value Per share ¶" &amp; "→(Total assets - intangible assets - total liabilities) ÷ number of outstanding shares ¶" &amp; "EXAMPLES:          →Formula (nabla.r is assumed to be the module's name)¶" &amp; "2.0                →=nabla.r.PriceToBookRatioλ( 5, 2.50 )", "→", "¶")), _xlpm.Help?, OR(_xlfn.ISOMITTED(_xlpm.MarketPricePerShare), _xlfn.ISOMITTED(_xlpm.BookValuePerShare)), _xlpm.Result, _xlpm.MarketPricePerShare / _xlpm.BookValuePerShare, CHOOSE(_xlpm.Help? + 1, _xlpm.Result, _xlpm.Help)))</definedName>
    <definedName name="nabla.r.PriceToCashRatioλ" comment="Price to Cash (P/CF) Ratio is a stock valuation indicator or multiple that measures _x000a_the value of a stock’s price relative to its operating cash flow per share _x000a_(Market Price Per Share/Operating Cash Flow Per Share).">_xlfn.LAMBDA(_xlop.MarketPricePerShare,_xlop.OperatingCashFlowPerShare, _xlfn.LET(_xlpm.Help, TRIM(_xlfn.TEXTSPLIT("FUNCTION:          →PriceToCashRatioλ( MarketPricePerShare, SalesPerShare)¶" &amp; "DESCRIPTION:       →Price to Cash (P/CF) Ratio  is a stock valuation indicator or multiple that ¶" &amp; "→measures the value of a stock’s price relative to its operating cash flow ¶" &amp; "→per share (Market Price Per Share/Operating Cash Flow Per Share).¶" &amp; "WEBPAGE:           →https://www.investopedia.com/terms/p/price-to-cash-flowratio.asp ¶" &amp; "VERSION:           →18 Aug 2026¶" &amp; "PARAMETERS:→¶" &amp; "MarketPricePerShare→(Required) Market Price Per Share (Current market price of the share)¶" &amp; "OperatingCashFlowPerShare→(Required) Operating Cash Flow for prior 12 months/Shares outstanding ¶" &amp; "EXAMPLES:          →Formula (nabla.r is assumed to be the module's name)¶" &amp; "2                  →=nabla.r.PriceToCashRatioλ( 200.0, 100.0 )", "→", "¶")), _xlpm.Help?, OR(_xlfn.ISOMITTED(_xlpm.MarketPricePerShare), _xlfn.ISOMITTED(_xlpm.OperatingCashFlowPerShare)), _xlpm.Result, _xlpm.MarketPricePerShare / _xlpm.OperatingCashFlowPerShare, CHOOSE(_xlpm.Help? + 1, _xlpm.Result, _xlpm.Help)))</definedName>
    <definedName name="nabla.r.PriceToSalesRatioλ" comment="Price to Sales (P/S) Ratio is an indicator of the value that financial markets have _x000a_placed on each dollar of a company's sales or revenues (Market Price Per Share/Sales Per Share).">_xlfn.LAMBDA(_xlop.MarketPricePerShare,_xlop.SalesPerShare, _xlfn.LET(_xlpm.Help, TRIM(_xlfn.TEXTSPLIT("FUNCTION:          →PriceToSalesRatioλ( MarketPricePerShare, SalesPerShare)¶" &amp; "DESCRIPTION:       →Price to Sales (P/S) Ratio is an indicator of the value that financial markets have¶" &amp; "→placed on each dollar of a company's sales or revenues (Market Price Per Share/Sales Per Share).¶" &amp; "WEBPAGE:           →https://www.investopedia.com/terms/p/price-to-salesratio.asp ¶" &amp; "VERSION:           →18 Aug 2026¶" &amp; "PARAMETERS:→¶" &amp; "MarketPricePerShare→(Required) Market Price Per Share (Current market price of the share)¶" &amp; "SalesPerShare      →(Required) Annual Sales Per Share (Revenue prior 12 months) ¶" &amp; "EXAMPLES:          →Formula (nabla.r is assumed to be the module's name)¶" &amp; "4.55               →=nabla.r.PriceToSalesRatioλ( 455.0, 100.0 )", "→", "¶")), _xlpm.Help?, OR(_xlfn.ISOMITTED(_xlpm.MarketPricePerShare), _xlfn.ISOMITTED(_xlpm.SalesPerShare)), _xlpm.Result, _xlpm.MarketPricePerShare / _xlpm.SalesPerShare, CHOOSE(_xlpm.Help? + 1, _xlpm.Result, _xlpm.Help)))</definedName>
    <definedName name="nabla.r.QuickRatioλ" comment="Measures ability to meet short-term obligations (Quick Assets/Current Liabilities)">_xlfn.LAMBDA(_xlop.QuickAssets,_xlop.Liabilites, _xlfn.LET(_xlpm.Help, TRIM(_xlfn.TEXTSPLIT("FUNCTION:      →QuickRatioλ( LiquidAssets, Liabilites)¶" &amp; "DESCRIPTION:   →Measures ability to meet short-term obligations¶" &amp; "→(Quick Assets/Current Liabilities)¶" &amp; "WEBPAGE:       →https://www.investopedia.com/terms/q/quickratio.asp ¶" &amp; "VERSION:       →18 Aug 2026¶" &amp; "PARAMETERS:→¶" &amp; "QuickAssets  →(Required) Quick Assets. Includes: ¶" &amp; "→• Cash &amp; Cash equivalents ¶" &amp; "→• Marketable securities ¶" &amp; "→• Accounts receivable ¶" &amp; "→Alterantively it includes: ¶" &amp; "→• Current assets ¶" &amp; "→• Less inventory ¶" &amp; "→• Less prepaid expenses ¶" &amp; "Liabilites     →(Required) Current Liabilites. Includes: ¶" &amp; "→Accounts payable ¶" &amp; "→Wages ¶" &amp; "→Taxes payable ¶" &amp; "→Short-term debts ¶" &amp; "→Current portion of long-term debt ¶" &amp; "EXAMPLES:      →Formula (nabla.r is assumed to be the module's name)¶" &amp; "1.2            →=nabla.r.QuickRatioλ( 165000, 137500)", "→", "¶")), _xlpm.Help?, OR(_xlfn.ISOMITTED(_xlpm.QuickAssets), _xlfn.ISOMITTED(_xlpm.Liabilites)), _xlpm.Result, _xlpm.QuickAssets / _xlpm.Liabilites, CHOOSE(_xlpm.Help? + 1, _xlpm.Result, _xlpm.Help)))</definedName>
    <definedName name="nabla.r.ReceivablesTurnoverRatioλ" comment="Indicates effectiveness in collecting outstanding balances from clients and _x000a_managing line of credit process (Net Credit Sales/Average Accounts Receivable)">_xlfn.LAMBDA(_xlop.NetCreditSales,_xlop.AverageAccountsReceivable, _xlfn.LET(_xlpm.Help, TRIM(_xlfn.TEXTSPLIT("FUNCTION:      →ReceivablesTurnoverRatioλ( NetCreditSales, AverageAccountsReceivable)¶" &amp; "DESCRIPTION:   →Indicates effectiveness in collecting outstanding balances from clients and ¶" &amp; "→managing line of credit process (Net Credit Sales/Average Accounts Receivable)¶" &amp; "WEBPAGE:       →https://www.investopedia.com/terms/r/receivableturnoverratio.asp ¶" &amp; "VERSION:       →18 Aug 2026¶" &amp; "PARAMETERS:→¶" &amp; "NetCreditSales →(Required) Net Credit Sales. Amount of revenue earned by a company paid via credit¶" &amp; "AverageAccountsReceivable→(Required) Average Accounts Receivable. Average of period opening and closing balance¶" &amp; "EXAMPLES:      →Formula (nabla.r is assumed to be the module's name)¶" &amp; "11.76471       →=nabla.r.ReceivablesTurnoverRatioλ( 800000, 68000 )", "→", "¶")), _xlpm.Help?, OR(_xlfn.ISOMITTED(_xlpm.NetCreditSales), _xlfn.ISOMITTED(_xlpm.AverageAccountsReceivable)), _xlpm.Result, _xlpm.NetCreditSales / _xlpm.AverageAccountsReceivable, CHOOSE(_xlpm.Help? + 1, _xlpm.Result, _xlpm.Help)))</definedName>
    <definedName name="nabla.r.RetentionRatioλ" comment="Retention Ratio is the proportion of earnings kept back in the _x000a_business as retained earnings (Retained Earnings/Net Income).">_xlfn.LAMBDA(_xlop.RetainedEarnings,_xlop.NetIncome, _xlfn.LET(_xlpm.Help, TRIM(_xlfn.TEXTSPLIT("FUNCTION:          →RetentionRatioλ( RetainedEarnings, NetIncome )¶" &amp; "DESCRIPTION:       →Retention Ratio is the proportion of earnings kept back in the ¶" &amp; "→business as retained earnings (Retained Earnings/Net Income).¶" &amp; "WEBPAGE:           →https://www.investopedia.com/terms/r/retentionratio.asp ¶" &amp; "VERSION:           →18 Aug 2026¶" &amp; "PARAMETERS:→¶" &amp; "RetainedEarnings   →(Required) Retained Earnings (Net Income - paid dividends)¶" &amp; "NetIncome          →(Required) Net Income¶" &amp; "EXAMPLES:          →Formula (nabla.r is assumed to be the module's name)¶" &amp; "189.9%             →=nabla.r.RetentionRatioλ( 41.981, 22.112)", "→", "¶")), _xlpm.Help?, OR(_xlfn.ISOMITTED(_xlpm.RetainedEarnings), _xlfn.ISOMITTED(_xlpm.NetIncome)), _xlpm.Result, _xlpm.RetainedEarnings / _xlpm.NetIncome, CHOOSE(_xlpm.Help? + 1, _xlpm.Result, _xlpm.Help)))</definedName>
    <definedName name="nabla.r.ROAλ" comment="Return on assets (ROA) ratio indicates how profitable a company is _x000a_in relation to its total assets ( Net Income / Total Assets)">_xlfn.LAMBDA(_xlop.NetIncome,_xlop.TotalAssets, _xlfn.LET(_xlpm.Help, TRIM(_xlfn.TEXTSPLIT("FUNCTION:      →ROAλ( NetIncome, TotalAssets)¶" &amp; "DESCRIPTION:   →Return on assets ratio indicates how profitable a company is ¶" &amp; "→in relation to its total assets ( Net Income / Total Assets)¶" &amp; "WEBPAGE:       →https://www.investopedia.com/terms/r/returnonassets.asp ¶" &amp; "VERSION:       →18 Aug 2026¶" &amp; "PARAMETERS:→¶" &amp; "NetIncome      →(Required) Net Income¶" &amp; "TotalAssets    →(Required) Total Assets¶" &amp; "EXAMPLES:      →Formula (nabla.r is assumed to be the module's name)¶" &amp; "8%             →=nabla.r.ROAλ(1200, 15000 )", "→", "¶")), _xlpm.Help?, OR(_xlfn.ISOMITTED(_xlpm.NetIncome), _xlfn.ISOMITTED(_xlpm.TotalAssets)), _xlpm.Result, _xlpm.NetIncome / _xlpm.TotalAssets, CHOOSE(_xlpm.Help? + 1, _xlpm.Result, _xlpm.Help)))</definedName>
    <definedName name="nabla.r.ROEλ" comment="Return on equity (ROE) ratio is a measure of financial performance (Net Income/Shareholders Equity)">_xlfn.LAMBDA(_xlop.NetIncome,_xlop.ShareholdersEquity, _xlfn.LET(_xlpm.Help, TRIM(_xlfn.TEXTSPLIT("FUNCTION:          →ROEλ( NetIncome, ShareholdersEquity)¶" &amp; "DESCRIPTION:       →Return on equity ratio is considered a gauge of a corporation's ¶" &amp; "→profitability and how efficient it is in generating profits¶" &amp; "→(Net Income/ Average Shareholders' Equity)¶" &amp; "WEBPAGE:           →https://www.investopedia.com/terms/r/returnonequity.asp ¶" &amp; "VERSION:           →18 Aug 2026¶" &amp; "PARAMETERS:→¶" &amp; "NetIncome          →(Required) Net Income¶" &amp; "ShareholdersEquity →(Required) Average Shareholders' Equity from period open and close ¶" &amp; "EXAMPLES:          →Formula (nabla.r is assumed to be the module's name)¶" &amp; "23.6213%           →=nabla.r.ROEλ( 59.972, AVERAGE(251.635, 256.144) )", "→", "¶")), _xlpm.Help?, OR(_xlfn.ISOMITTED(_xlpm.NetIncome), _xlfn.ISOMITTED(_xlpm.ShareholdersEquity)), _xlpm.Result, _xlpm.NetIncome / _xlpm.ShareholdersEquity, CHOOSE(_xlpm.Help? + 1, _xlpm.Result, _xlpm.Help)))</definedName>
    <definedName name="nabla.r.ROICλ" comment="Return on Invested capital  assesses a company’s efficiency in allocating _x000a_capital to profitable investments (Net Operating Profit After Tax/Invested Capital)">_xlfn.LAMBDA(_xlop.NetOperatingProfitAfterTax,_xlop.InvestedCapital, _xlfn.LET(_xlpm.Help, TRIM(_xlfn.TEXTSPLIT("FUNCTION:      →ROICλ( NetOperatingProfitAfterTax, InvestedCapital)¶" &amp; "DESCRIPTION:   →Return on Invested capital  assesses a company’s efficiency in allocating ¶" &amp; "→capital to profitable investments (Net Operating Profit After Tax/Invested Capital)¶" &amp; "WEBPAGE:       →https://www.investopedia.com/terms/r/returnoninvestmentcapital.asp ¶" &amp; "VERSION:       →18 Aug 2026¶" &amp; "PARAMETERS:→¶" &amp; "NetOperatingProfitAfterTax→(Required) Net Operating profit after Tax [ operating profit x (1 - effective tax rate) ].¶" &amp; "InvestedCapital→(Required) Invested Capital (Debt + Equity).¶" &amp; "EXAMPLES:      →Formula (nabla.r is assumed to be the module's name)¶" &amp; "12.6122%       →=nabla.r.ROICλ( 3245, 25729 )", "→", "¶")), _xlpm.Help?, OR(_xlfn.ISOMITTED(_xlpm.NetOperatingProfitAfterTax), _xlfn.ISOMITTED(_xlpm.InvestedCapital)), _xlpm.Result, _xlpm.NetOperatingProfitAfterTax / _xlpm.InvestedCapital, CHOOSE(_xlpm.Help? + 1, _xlpm.Result, _xlpm.Help)))</definedName>
    <definedName name="nabla.r.ROIλ" comment="Return on Investment (ROI) ratio  measures the profitability of an investment by comparing _x000a_the gain or loss to its cost (Net Return on Investment/Cost of Investment).">_xlfn.LAMBDA(_xlop.NetReturnonInvestment,_xlop.CostofInvestment, _xlfn.LET(_xlpm.Help, TRIM(_xlfn.TEXTSPLIT("FUNCTION:              →ROIλ( NetReturnonInvestment, CostofInvestment)¶" &amp; "DESCRIPTION:           →Return on Investment (ROI) ratio  measures the profitability of¶" &amp; "→an investment by comparing the gain or loss to its cost. ¶" &amp; "→(Net Return on Investment/Cost of Investment)¶" &amp; "WEBPAGE:               →https://www.investopedia.com/terms/r/returnonequity.asp ¶" &amp; "VERSION:               →18 Aug 2026¶" &amp; "PARAMETERS:→¶" &amp; "NetReturnonInvestment  →(Required) Net Return on Investment is the ¶" &amp; "→final value of investment - initial value of investment¶" &amp; "CostofInvestment       →(Required) Cost of Investment ¶" &amp; "EXAMPLES:              →Formula (nabla.r is assumed to be the module's name)¶" &amp; "28.75%                 →=nabla.r.ROIλ( 2875, 10000 )", "→", "¶")), _xlpm.Help?, OR(_xlfn.ISOMITTED(_xlpm.NetReturnonInvestment), _xlfn.ISOMITTED(_xlpm.CostofInvestment)), _xlpm.Result, _xlpm.NetReturnonInvestment / _xlpm.CostofInvestment, CHOOSE(_xlpm.Help? + 1, _xlpm.Result, _xlpm.Help)))</definedName>
    <definedName name="nabla.r.WorkingCapitalTurnoverRatioλ" comment="Working Capital Turnover Ratio measures how efficiently a company is using its working _x000a_capital to support sales and growth (Net Annual Sales/Average Working Capital).">_xlfn.LAMBDA(_xlop.NetAnnualSales,_xlop.WorkingCapital, _xlfn.LET(_xlpm.Help, TRIM(_xlfn.TEXTSPLIT("FUNCTION:         →WorkingCapitalTurnoverRatioλ( CostOfGoodsSold, AverageInventory)¶" &amp; "DESCRIPTION:      →Working Capital Turnover Ratio measures how efficiently a company ¶" &amp; "→is using its working capital to support sales and growth ¶" &amp; "→(Net Annual Sales/Average Working Capital). ¶" &amp; "WEBPAGE:          →https://www.investopedia.com/terms/w/workingcapitalturnover.asp ¶" &amp; "VERSION:          →18 Aug 2026¶" &amp; "PARAMETERS:→¶" &amp; "NetAnnualSales    →(Required) Net Annual Sales can include:¶" &amp; "→Gross sales¶" &amp; "→Less returns¶" &amp; "→Less allowances¶" &amp; "→Less discounts¶" &amp; "WorkingCapital    →(Required) Average of period open and close current assts less curren liabilities.¶" &amp; "EXAMPLES:         →Formula (nabla.r is assumed to be the module's name)¶" &amp; "6.0               →=nabla.r.WorkingCapitalTurnoverRatioλ( 12.0, 2.0)", "→", "¶")), _xlpm.Help?, OR(_xlfn.ISOMITTED(_xlpm.NetAnnualSales), _xlfn.ISOMITTED(_xlpm.WorkingCapital)), _xlpm.Result, _xlpm.NetAnnualSales / _xlpm.WorkingCapital, CHOOSE(_xlpm.Help? + 1, _xlpm.Result, _xlpm.Help)))</definedName>
    <definedName name="nabla.u.Aboutλ" comment="Displays this module's repository URL and function list">TRIM(_xlfn.TEXTSPLIT("About:                     →Basic functions for working with dynamic arrays. Suggested module name: nabla.u¶" &amp; "Version:                   →18 Aug 2026¶" &amp; "Repository:                  →https://github.com/ryanduguid/Nabla ¶" &amp; "→¶" &amp; "Function                   →Description¶" &amp; "Aboutλ                     →Produces this table¶" &amp; "CountCλ                    →Count how many of one or more characters are in a text string¶" &amp; "SumColsλ                   →Get the total of each column¶" &amp; "SumRowsλ                   →Get the total of each row¶" &amp; "AvgColsλ                   →Get the average of each column¶" &amp; "AvgRowsλ                   →Get the average of each row¶" &amp; "MinColsλ                   →Get the minimum of each column¶" &amp; "MinRowsλ                   →Get the minimum of each row¶" &amp; "MaxColsλ                   →Get the maximum of each column¶" &amp; "MaxRowsλ                   →Get the maximum of each row¶" &amp; "CountColsλ                 →Get the count of numbers in each column¶" &amp; "CountRowsλ                 →Get the count of numbers in each row¶" &amp; "CountAColsλ                →Get the count of everything of each column¶" &amp; "CountARowsλ                →Get the count of everything of each row¶" &amp; "IsBetweenλ                 →Determine if a value is between a lower and upper limit.¶" &amp; "IsInListλ                  →Determine if a value is one of a list of items.¶" &amp; "RangeToDAλ                 →Convert a range reference to a dynamic array reference", "→", "¶"))</definedName>
    <definedName name="nabla.u.AvgColsλ" comment="Get the average for each Column">_xlfn.LAMBDA(_xlop.Array, _xlfn.LET(_xlpm.Help, TRIM(_xlfn.TEXTSPLIT("FUNCTION:      →SumColsλ( Array)¶" &amp; "DESCRIPTION:   →Get the average for each Column¶" &amp; "WEBPAGE:       →https://github.com/ryanduguid/Nabla¶" &amp; "VERSION:       →18 Aug 2026¶" &amp; "PARAMETERS:    →¶" &amp; "Array          →(Required) A two dimensional array/range containing values to be averaged by column.¶" &amp; "EXAMPLES:      →Formula (nabla.e is assumed to be the module's name)¶" &amp; "→=nabla.e.AvgColsλ( SEQUENCE(5,5))", "→", "¶")), _xlpm.Help?, _xlfn.ISOMITTED(_xlpm.Array), _xlpm.Result, _xlfn.BYCOL(_xlpm.Array, _xlfn.LAMBDA(_xlpm.Col, AVERAGE(_xlpm.Col))), CHOOSE(_xlpm.Help? + 1, _xlpm.Result, _xlpm.Help)))</definedName>
    <definedName name="nabla.u.AvgRowsλ" comment="Get the average for each row">_xlfn.LAMBDA(_xlop.Array, _xlfn.LET(_xlpm.Help, TRIM(_xlfn.TEXTSPLIT("FUNCTION:      →AvgRowsλ( Array)¶" &amp; "DESCRIPTION:   →Get the average of each row¶" &amp; "WEBPAGE:       →https://github.com/ryanduguid/Nabla¶" &amp; "VERSION:       →18 Aug 2026¶" &amp; "PARAMETERS:    →¶" &amp; "Array          →(Required) A two dimensional array/range containing values to be averaged by row.¶" &amp; "EXAMPLES:      →Formula (nabla.e is assumed to be the module's name)¶" &amp; "→=nabla.e.AvgRowsλ( SEQUENCE(5,5))", "→", "¶")), _xlpm.Help?, _xlfn.ISOMITTED(_xlpm.Array), _xlpm.Result, _xlfn.BYROW(_xlpm.Array, _xlfn.LAMBDA(_xlpm.Row, AVERAGE(_xlpm.Row))), CHOOSE(_xlpm.Help? + 1, _xlpm.Result, _xlpm.Help)))</definedName>
    <definedName name="nabla.u.CountAColsλ" comment="Count everything in each row">_xlfn.LAMBDA(_xlop.Array, _xlfn.LET(_xlpm.Help, TRIM(_xlfn.TEXTSPLIT("FUNCTION:      →CountAColsλ( Array )¶" &amp; "DESCRIPTION:   →Count everything in each column¶" &amp; "WEBPAGE:       →https://github.com/ryanduguid/Nabla¶" &amp; "VERSION:       →18 Aug 2026¶" &amp; "PARAMETERS:    →¶" &amp; "Array          →(Required) A two dimensional array/range containing values to be counted.¶" &amp; "EXAMPLES:      →Formula (nabla.e is assumed to be the module's name)¶" &amp; "→=nabla.e.CountAColsλ( CHOOSE( RANDARRAY( 5, 5, 1, 5),""A"", ""B"", """", 1, 2))", "→", "¶")), _xlpm.Help?, _xlfn.ISOMITTED(_xlpm.Array), _xlpm.Result, _xlfn.BYCOL(_xlpm.Array, _xlfn.LAMBDA(_xlpm.Col, COUNTA(_xlpm.Col))), CHOOSE(_xlpm.Help? + 1, _xlpm.Result, _xlpm.Help)))</definedName>
    <definedName name="nabla.u.CountARowsλ" comment="Count everything in each row">_xlfn.LAMBDA(_xlop.Array, _xlfn.LET(_xlpm.Help, TRIM(_xlfn.TEXTSPLIT("FUNCTION:      →CountARowsλ( Array)¶" &amp; "DESCRIPTION:   →Count everything in each row¶" &amp; "WEBPAGE:       →https://github.com/ryanduguid/Nabla¶" &amp; "VERSION:       →18 Aug 2026¶" &amp; "PARAMETERS:    →¶" &amp; "Array          →(Required) A two dimensional array/range containing values to be counted.¶" &amp; "EXAMPLES:      →Formula (nabla.e is assumed to be the module's name)¶" &amp; "→=nabla.e.CountARowsλ( CHOOSE( RANDARRAY( 5, 5, 1, 5),""A"", ""B"", """", 1, 2))", "→", "¶")), _xlpm.Help?, _xlfn.ISOMITTED(_xlpm.Array), _xlpm.Result, _xlfn.BYROW(_xlpm.Array, _xlfn.LAMBDA(_xlpm.Row, COUNTA(_xlpm.Row))), CHOOSE(_xlpm.Help? + 1, _xlpm.Result, _xlpm.Help)))</definedName>
    <definedName name="nabla.u.CountColsλ" comment="Count numbers in each row">_xlfn.LAMBDA(_xlop.Array, _xlfn.LET(_xlpm.Help, TRIM(_xlfn.TEXTSPLIT("FUNCTION:      →CountColsλ( Array,)¶" &amp; "DESCRIPTION:   →Count numbers in each column¶" &amp; "WEBPAGE:       →https://github.com/ryanduguid/Nabla¶" &amp; "VERSION:       →18 Aug 2026¶" &amp; "PARAMETERS:    →¶" &amp; "Array          →(Required) A two dimensional array/range containing numbers to be counted.¶" &amp; "EXAMPLES:      →Formula (nabla.e is assumed to be the module's name)¶" &amp; "→=nabla.e.CountColsλ( CHOOSE( RANDARRAY( 5, 5, 1, 5),""A"", ""B"", """", 1, 2))", "→", "¶")), _xlpm.Help?, _xlfn.ISOMITTED(_xlpm.Array), _xlpm.Result, _xlfn.BYCOL(_xlpm.Array, _xlfn.LAMBDA(_xlpm.Col, COUNT(_xlpm.Col))), CHOOSE(_xlpm.Help? + 1, _xlpm.Result, _xlpm.Help)))</definedName>
    <definedName name="nabla.u.CountCλ" comment="Count occurrences of character(s) in a string">_xlfn.LAMBDA(_xlop.Text,_xlop.Characters, _xlfn.LET(_xlpm.Help, TRIM(_xlfn.TEXTSPLIT("FUNCTION:      →CountCλ( Text, Characters)¶" &amp; "DESCRIPTION:   →Count how many of one or more characters are in a string.¶" &amp; "WEBPAGE:       →https://github.com/ryanduguid/Nabla¶" &amp; "VERSION:       →18 Aug 2026¶" &amp; "PARAMETERS:    →¶" &amp; "Text           →(Required) The string to interrogate¶" &amp; "Characters     →(Required) A single character, or CSV of characters to find in Text¶" &amp; "→NOTE! Case sensitive¶" &amp; "EXAMPLES:      →Formula (nabla.e is assumed to be the module's name)¶" &amp; "→=nabla.e.CountCλ( ""Mary had a little lamb"", ""a,b"")", "→", "¶")), _xlpm.Help?, OR(_xlfn.ISOMITTED(_xlpm.Text), _xlfn.ISOMITTED(_xlpm.Characters)), _xlpm.Characters, _xlfn.TEXTSPLIT(_xlpm.Characters, ","), _xlpm.Result, LEN(_xlpm.Text) - SUM(LEN(_xlfn.TEXTSPLIT(_xlpm.Text, _xlpm.Characters))), CHOOSE(_xlpm.Help? + 1, _xlpm.Result, _xlpm.Help)))</definedName>
    <definedName name="nabla.u.CountRowsλ" comment="Count numbers in each row">_xlfn.LAMBDA(_xlop.Array, _xlfn.LET(_xlpm.Help, TRIM(_xlfn.TEXTSPLIT("FUNCTION:      →CountRowsλ( Array)¶" &amp; "DESCRIPTION:   →Count numbers in each row¶" &amp; "WEBPAGE:       →https://github.com/ryanduguid/Nabla¶" &amp; "VERSION:       →18 Aug 2026¶" &amp; "PARAMETERS:    →¶" &amp; "Array          →(Required) A two dimensional array/range containing numbers to be counted.¶" &amp; "EXAMPLES:      →Formula (nabla.e is assumed to be the module's name)¶" &amp; "→=nabla.e.CountRowsλ( CHOOSE( RANDARRAY( 5, 5, 1, 5),""A"", ""B"", """", 1, 2))", "→", "¶")), _xlpm.Help?, _xlfn.ISOMITTED(_xlpm.Array), _xlpm.Result, _xlfn.BYROW(_xlpm.Array, _xlfn.LAMBDA(_xlpm.Row, COUNT(_xlpm.Row))), CHOOSE(_xlpm.Help? + 1, _xlpm.Result, _xlpm.Help)))</definedName>
    <definedName name="nabla.u.IsBetweenλ" comment="Determine if a value is between a lower and upper limit">_xlfn.LAMBDA(_xlop.Value,_xlop.Low,_xlop.Hi,_xlop.Inclusive, _xlfn.LET(_xlpm.Help, TRIM(_xlfn.TEXTSPLIT("FUNCTION:      →IsBetweenλ( Value, Low, Hi, [Inclusive])¶" &amp; "DESCRIPTION:   →Determine if a value is between a lower and upper limit.¶" &amp; "PARAMETERS:    →¶" &amp; "Value          →(Required) A value or array of values to compare.¶" &amp; "Lo             →(Required) The lower limit that the value must be greater than¶" &amp; "Hi             →(Required) The lower limit that the value must be less than¶" &amp; "Inclusive      →(Optional) If set to TRUE (default) the value can be equal to Lo and/or Hi¶" &amp; "→¶" &amp; "EXAMPLES       :→¶" &amp; "Result         →Formula¶" &amp; "FALSE          →=IsBetweenλ(1, 2, 4)¶" &amp; "TRUE           →=IsBetweenλ(2, 2, 4)¶" &amp; "FALSE          →=IsBetweenλ(2, 2, 4, FALSE)", "→", "¶")), _xlpm.Help?, OR(_xlfn.ISOMITTED(_xlpm.Value), _xlfn.ISOMITTED(_xlpm.Low), _xlfn.ISOMITTED(_xlpm.Hi)), _xlpm.Result, IF(_xlpm.Inclusive, (_xlpm.Value &gt;= _xlpm.Low) * (_xlpm.Value &lt;= _xlpm.Hi) = 1, (_xlpm.Value &gt; _xlpm.Low) * (_xlpm.Value &lt; _xlpm.Hi) = 1), CHOOSE(_xlpm.Help? + 1, _xlpm.Result, _xlpm.Help)))</definedName>
    <definedName name="nabla.u.IsInListλ" comment="Determine if a value is between a lower and upper limit">_xlfn.LAMBDA(_xlop.Value,_xlop.LIST, _xlfn.LET(_xlpm.Help, TRIM(_xlfn.TEXTSPLIT("FUNCTION:      →IsInListλ( Value, List)¶" &amp; "DESCRIPTION:   →Determine if a value is one of a list of items.¶" &amp; "PARAMETERS:    →¶" &amp; "Value          →(Required) A value or array of values to compare.¶" &amp; "List           →(Required) A list of values to check¶" &amp; "→¶" &amp; "EXAMPLES       :→¶" &amp; "Result         →Formula¶" &amp; "FALSE          →=IsInListλ(1, {2,3,4})¶" &amp; "TRUE           →=IsInListλ(1, {1,3,5})¶" &amp; "→", "¶")), _xlpm.Help?, OR(_xlfn.ISOMITTED(_xlpm.Value), _xlfn.ISOMITTED(_xlpm.LIST)), _xlpm.Result, NOT(ISNA(MATCH(_xlpm.Value, _xlpm.LIST, 0))), CHOOSE(_xlpm.Help? + 1, _xlpm.Result, _xlpm.Help)))</definedName>
    <definedName name="nabla.u.MaxColsλ" comment="Get the maximum for each Column">_xlfn.LAMBDA(_xlop.Array, _xlfn.LET(_xlpm.Help, TRIM(_xlfn.TEXTSPLIT("FUNCTION:      →MaxColsλ( Array)¶" &amp; "DESCRIPTION:   →Get the minimum for each Column¶" &amp; "WEBPAGE:       →https://github.com/ryanduguid/Nabla¶" &amp; "VERSION:       →18 Aug 2026¶" &amp; "PARAMETERS:    →¶" &amp; "Array          →(Required) A two dimensional array/range containing values to find the maximum by column.¶" &amp; "EXAMPLES:      →Formula (nabla.e is assumed to be the module's name)¶" &amp; "→=nabla.e.MaxColsλ( SEQUENCE(5,5))", "→", "¶")), _xlpm.Help?, _xlfn.ISOMITTED(_xlpm.Array), _xlpm.Result, _xlfn.BYCOL(_xlpm.Array, _xlfn.LAMBDA(_xlpm.Col, MAX(_xlpm.Col))), CHOOSE(_xlpm.Help? + 1, _xlpm.Result, _xlpm.Help)))</definedName>
    <definedName name="nabla.u.MaxRowsλ" comment="Get the maximum for each row">_xlfn.LAMBDA(_xlop.Array, _xlfn.LET(_xlpm.Help, TRIM(_xlfn.TEXTSPLIT("FUNCTION:      →MaxRowsλ( Array)¶" &amp; "DESCRIPTION:   →Get the maximum of each row¶" &amp; "WEBPAGE:       →https://github.com/ryanduguid/Nabla¶" &amp; "VERSION:       →18 Aug 2026¶" &amp; "PARAMETERS:    →¶" &amp; "Array          →(Required) A two dimensional array/range containing values to find the maximum by row.¶" &amp; "EXAMPLES:      →Formula (nabla.e is assumed to be the module's name)¶" &amp; "→=nabla.e.MaxRowsλ( SEQUENCE(5,5))", "→", "¶")), _xlpm.Help?, _xlfn.ISOMITTED(_xlpm.Array), _xlpm.Result, _xlfn.BYROW(_xlpm.Array, _xlfn.LAMBDA(_xlpm.Row, MAX(_xlpm.Row))), CHOOSE(_xlpm.Help? + 1, _xlpm.Result, _xlpm.Help)))</definedName>
    <definedName name="nabla.u.MinColsλ" comment="Get the minimum for each Column">_xlfn.LAMBDA(_xlop.Array, _xlfn.LET(_xlpm.Help, TRIM(_xlfn.TEXTSPLIT("FUNCTION:      →MinColsλ( Array)¶" &amp; "DESCRIPTION:   →Get the minimum for each Column¶" &amp; "WEBPAGE:       →https://github.com/ryanduguid/Nabla¶" &amp; "VERSION:       →18 Aug 2026¶" &amp; "PARAMETERS:    →¶" &amp; "Array          →(Required) A two dimensional array/range containing values to find the minumum by column.¶" &amp; "EXAMPLES:      →Formula (nabla.e is assumed to be the module's name)¶" &amp; "→=nabla.e.MinColsλ( SEQUENCE(5,5))", "→", "¶")), _xlpm.Help?, _xlfn.ISOMITTED(_xlpm.Array), _xlpm.Result, _xlfn.BYCOL(_xlpm.Array, _xlfn.LAMBDA(_xlpm.Col, MIN(_xlpm.Col))), CHOOSE(_xlpm.Help? + 1, _xlpm.Result, _xlpm.Help)))</definedName>
    <definedName name="nabla.u.MinRowsλ" comment="Get the minimum for each row">_xlfn.LAMBDA(_xlop.Array, _xlfn.LET(_xlpm.Help, TRIM(_xlfn.TEXTSPLIT("FUNCTION:      →MinRowsλ( Array)¶" &amp; "DESCRIPTION:   →Get the minimum of each row¶" &amp; "WEBPAGE:       →https://github.com/ryanduguid/Nabla¶" &amp; "VERSION:       →18 Aug 2026¶" &amp; "PARAMETERS:    →¶" &amp; "Array          →(Required) A two dimensional array/range containing values to find the minimum by row.¶" &amp; "EXAMPLES:      →Formula (nabla.e is assumed to be the module's name)¶" &amp; "→=nabla.e.MinRowsλ( SEQUENCE(5,5))", "→", "¶")), _xlpm.Help?, _xlfn.ISOMITTED(_xlpm.Array), _xlpm.Result, _xlfn.BYROW(_xlpm.Array, _xlfn.LAMBDA(_xlpm.Row, MIN(_xlpm.Row))), CHOOSE(_xlpm.Help? + 1, _xlpm.Result, _xlpm.Help)))</definedName>
    <definedName name="nabla.u.RangeToDAλ" comment="Convert a range reference to a dynamic array reference">_xlfn.LAMBDA(_xlop.Range,_xlop.Rows,_xlop.Columns, _xlfn.LET(_xlpm.Help, TRIM(_xlfn.TEXTSPLIT("FUNCTION:          →RangeToDAλ(Range, [Rows], [Columns])¶" &amp; "DESCRIPTION:       →Convert a range reference to a dynamic array reference.¶" &amp; "SEE ALSO:      →Excel 365 now has TRIMRANGE and trim references (.:.) for this.¶" &amp; "WEBSITE:           →https://github.com/ryanduguid/Nabla¶" &amp; "PARAMETERS:        →¶" &amp; "Range              →(Required) A reference to the range to be converted.¶" &amp; "Rows               →(Optional) Number of rows for the dynamic array. Defaults to 1.¶" &amp; "Columns            →(Optional) Number of columns for the dynamic array. Defaults to 1.¶" &amp; "→¶" &amp; "EXAMPLES:          →=RangeToDAλ(A1, , ModelPeriodCount)", "→", "¶")), _xlpm.Help?, _xlfn.ISOMITTED(_xlpm.Range), _xlpm.Rows, IF(ISNUMBER(_xlpm.Rows), _xlpm.Rows, 1), _xlpm.Columns, IF(ISNUMBER(_xlpm.Columns), _xlpm.Columns, 1), _xlpm.Result, OFFSET(_xlpm.Range, 0, 0, _xlpm.Rows, _xlpm.Columns), CHOOSE(_xlpm.Help? + 1, _xlpm.Result, _xlpm.Help)))</definedName>
    <definedName name="nabla.u.SumColsλ" comment="Get the total for each Column">_xlfn.LAMBDA(_xlop.Array, _xlfn.LET(_xlpm.Help, TRIM(_xlfn.TEXTSPLIT("FUNCTION:      →SumColsλ( Array)¶" &amp; "DESCRIPTION:   →Get the total of each column¶" &amp; "WEBPAGE:       →https://github.com/ryanduguid/Nabla¶" &amp; "VERSION:       →18 Aug 2026¶" &amp; "PARAMETERS:    →¶" &amp; "Array          →(Required) A two dimensional array/range containing values to be totalled by column.¶" &amp; "EXAMPLES:      →Formula (nabla.e is assumed to be the module's name)¶" &amp; "→=nabla.e.SumColsλ( SEQUENCE(5,5))", "→", "¶")), _xlpm.Help?, _xlfn.ISOMITTED(_xlpm.Array), _xlpm.Result, _xlfn.BYCOL(_xlpm.Array, _xlfn.LAMBDA(_xlpm.Col, SUM(_xlpm.Col))), CHOOSE(_xlpm.Help? + 1, _xlpm.Result, _xlpm.Help)))</definedName>
    <definedName name="nabla.u.SumRowsλ" comment="Get the total for each row">_xlfn.LAMBDA(_xlop.Array, _xlfn.LET(_xlpm.Help, TRIM(_xlfn.TEXTSPLIT("FUNCTION:      →SumRowsλ( Array)¶" &amp; "DESCRIPTION:   →Get the total of each row¶" &amp; "WEBPAGE:       →https://github.com/ryanduguid/Nabla¶" &amp; "VERSION:       →18 Aug 2026¶" &amp; "PARAMETERS:    →¶" &amp; "Array          →(Required) A two dimensional array/range containing values to be totalled by row.¶" &amp; "EXAMPLES:      →Formula (nabla.e is assumed to be the module's name)¶" &amp; "→=nabla.e.SumRowsλ( SEQUENCE(5,5))", "→", "¶")), _xlpm.Help?, _xlfn.ISOMITTED(_xlpm.Array), _xlpm.Result, _xlfn.BYROW(_xlpm.Array, _xlfn.LAMBDA(_xlpm.Row, SUM(_xlpm.Row))), CHOOSE(_xlpm.Help? + 1, _xlpm.Result, _xlpm.Help)))</definedName>
    <definedName name="Slicer_Type">#N/A</definedName>
    <definedName name="nabla.e.Aboutλ" comment="Displays this module's repository URL and function list">TRIM(_xlfn.TEXTSPLIT( "About: →Basic functions for working with dynamic arrays. Suggested module name: nabla.e¶" &amp; "Version: →18 Aug 2026¶" &amp; "Repository: →https://github.com/ryanduguid/Nabla ¶" &amp; "→¶" &amp; "Function →Description¶" &amp; "Aboutλ →Produces this table¶" &amp; "CountCλ →Count how many of one or more characters are in a text string¶" &amp; "SumColsλ →Get the total of each column¶" &amp; "SumRowsλ →Get the total of each row¶" &amp; "AvgColsλ →Get the average of each column¶" &amp; "AvgRowsλ →Get the average of each row¶" &amp; "MinColsλ →Get the minimum of each column¶" &amp; "MinRowsλ →Get the minimum of each row¶" &amp; "MaxColsλ →Get the maximum of each column¶" &amp; "MaxRowsλ →Get the maximum of each row¶" &amp; "CountColsλ →Get the count of numbers in each column¶" &amp; "CountRowsλ →Get the count of numbers in each row¶" &amp; "CountAColsλ →Get the count of everything of each column¶" &amp; "CountARowsλ →Get the count of everything of each row¶" &amp; "IsBetweenλ →Determine if a value is between a lower and upper limit.¶" &amp; "IsInListλ →Determine if a value is one of a list of items.¶" &amp; "RangeToDAλ →Convert a range reference to a dynamic array reference", "→","¶" ) )</definedName>
    <definedName name="nabla.d.Aboutλ" comment="Displays this module's repository URL and function list">TRIM( _xlfn.TEXTSPLIT( "About: →CBSE compliant LAMBDAs dealing with dates. Suggested module name: nabla.d¶" &amp; "Version: →18 Aug 2026¶" &amp; "Repository: →https://github.com/ryanduguid/Nabla ¶" &amp; "→¶" &amp; "Function →Description¶" &amp; "Aboutλ →Produces this table¶" &amp; "CountDOWλ →Count instances of a specific day of the week between two dates¶" &amp; "IsBetweenλ →Determine if a value is between a lower and upper limit¶" &amp; "IsOccurrenceDateλ →Determine if a date passed is when a potentially repeating event happens¶" &amp; "OverLapDaysλ →Return how many days overlap two period ranges.¶" &amp; "Periodsλ →Determine the number of periods from Starts to Ends inclusive¶" &amp; "PeriodLabelλ →Creates a label for a date based on period interval¶" &amp; "ScheduleRatesλ →Schedule rates that persist until replaced in a timeline.¶" &amp; "ScheduleRatesByItemsλ →Schedule rates that persist until replaced in a timeline for each item in a list.¶" &amp; "ScheduleValuesλ →Schedules values in a timeline. ¶" &amp; "ScheduleValuesByItemsλ →Schedules values in a timeline for each item in a list.¶" &amp; "Timelineλ →Creates a horizontal list of start or end dates for a timeline¶" &amp; "FinancialYearλ →Labels dates with their Australian financial year, starting 1 July¶" &amp; "→¶" &amp; "DIAGNOSTICS →These functions diagnose problems in their associate function's arguments.¶" &amp; "→Should a function not work, it may be because there is a problem with the arguments.¶" &amp; "→Argument problems can include text where numbers should be, invalid dates, etc.¶" &amp; "→To see if you have argument problems, insert 'DV' between 'λ' and '('. ¶" &amp; "→Here is an example: CountDOWλDV( Start, End, 1). Hit enter to run diagnostics.¶" &amp; "→When finished, remove 'DV' to return the function to normal operation¶" &amp; "CountDOWλDV →¶" &amp; "IsBetweenλDV →¶" &amp; "IsOccurrenceDateλDV →¶" &amp; "OverLapDaysλDV →¶" &amp; "PeriodsλDV →¶" &amp; "PeriodLabelλDV →¶" &amp; "ScheduleRatesλDV →¶" &amp; "ScheduleRatesByItemsλDV→¶" &amp; "ScheduleValuesλDV →¶" &amp; "ScheduleValuesByItemsλDV→¶" &amp; "Timelineλ →", "→", "¶" ) )</definedName>
    <definedName name="nabla.f.DiminishingValueλ" comment="Diminishing value depreciation (ATO 200% method) for one asset or asset class.">_xlfn.LAMBDA(_xlop.Cost,_xlop.Life, _xlfn.LET(_xlpm.Help, TRIM(_xlfn.TEXTSPLIT("FUNCTION:      →DiminishingValueλ(Cost, Life)¶" &amp; "DESCRIPTION:   →Diminishing value depreciation (ATO 200% method) for one asset or asset class.¶" &amp; "WEBPAGE:       →https://github.com/ryanduguid/Nabla¶" &amp; "VERSION:       →18 Aug 2026¶" &amp; "PARAMETERS:    →¶" &amp; "Cost           →(Required) Asset's cost.¶" &amp; "Life           →(Required) Asset's effective life in years.¶" &amp; "EXAMPLES:      →¶" &amp; "→Formula (nabla.f is assumed to be the module's name)¶" &amp; "→=nabla.f.DiminishingValueλ(1000, 5)¶" &amp; "→Result¶" &amp; "→400.00,240.00,144.00,86.40,51.84", "→", "¶")), _xlpm.Help?, OR(_xlfn.ISOMITTED(_xlpm.Cost), _xlfn.ISOMITTED(_xlpm.Life)), _xlpm.Rate, 2/_xlpm.Life, _xlpm.Result, _xlpm.Cost * _xlpm.Rate * (1-_xlpm.Rate)^(_xlfn.SEQUENCE(, _xlpm.Life)-1), CHOOSE(_xlpm.Help? + 1, _xlpm.Result, _xlpm.Help)))</definedName>
    <definedName name="nabla.f.PrimeCostλ" comment="Prime cost (straight line) depreciation, ATO method, for one asset or asset class.">_xlfn.LAMBDA(_xlop.Cost,_xlop.Life, _xlfn.LET(_xlpm.Help, TRIM(_xlfn.TEXTSPLIT("FUNCTION:      →PrimeCostλ(Cost, Life)¶" &amp; "DESCRIPTION:   →Prime cost (straight line) depreciation, ATO method, for one asset or asset class.¶" &amp; "WEBPAGE:       →https://github.com/ryanduguid/Nabla¶" &amp; "VERSION:       →18 Aug 2026¶" &amp; "PARAMETERS:    →¶" &amp; "Cost           →(Required) Asset's cost.¶" &amp; "Life           →(Required) Asset's effective life in years.¶" &amp; "EXAMPLES:      →¶" &amp; "→Formula (nabla.f is assumed to be the module's name)¶" &amp; "→=nabla.f.PrimeCostλ(1000, 5)¶" &amp; "→Result¶" &amp; "→200.00,200.00,200.00,200.00,200.00", "→", "¶")), _xlpm.Help?, OR(_xlfn.ISOMITTED(_xlpm.Cost), _xlfn.ISOMITTED(_xlpm.Life)), _xlpm.Annual, _xlpm.Cost/_xlpm.Life, _xlpm.Result, _xlfn.EXPAND(_xlpm.Annual, 1, _xlpm.Life, _xlpm.Annual), CHOOSE(_xlpm.Help? + 1, _xlpm.Result, _xlpm.Help)))</definedName>
    <definedName name="nabla.f.GSTAddλ" comment="Adds GST to one or more GST-exclusive amounts.">_xlfn.LAMBDA(_xlop.Amounts,_xlop.Rate, _xlfn.LET(_xlpm.Help, TRIM(_xlfn.TEXTSPLIT("FUNCTION:      →GSTAddλ(Amounts, [Rate])¶" &amp; "DESCRIPTION:   →Adds GST to one or more GST-exclusive amounts.¶" &amp; "WEBPAGE:       →https://github.com/ryanduguid/Nabla¶" &amp; "VERSION:       →18 Aug 2026¶" &amp; "PARAMETERS:    →¶" &amp; "Amounts        →(Required) One or more GST-exclusive amounts.¶" &amp; "Rate           →(Optional: Default = 0.1) GST rate as a fraction.¶" &amp; "EXAMPLES:      →¶" &amp; "→Formula (nabla.f is assumed to be the module's name)¶" &amp; "→=nabla.f.GSTAddλ(100)¶" &amp; "→Result¶" &amp; "→110", "→", "¶")), _xlpm.Help?, _xlfn.ISOMITTED(_xlpm.Amounts), _xlpm.GSTRate, IF(_xlfn.ISOMITTED(_xlpm.Rate), 0.1, _xlpm.Rate), _xlpm.Result, _xlpm.Amounts * (1 + _xlpm.GSTRate), CHOOSE(_xlpm.Help? + 1, _xlpm.Result, _xlpm.Help)))</definedName>
    <definedName name="nabla.f.GSTExtractλ" comment="Returns the GST contained in one or more GST-inclusive amounts.">_xlfn.LAMBDA(_xlop.Amounts,_xlop.Rate, _xlfn.LET(_xlpm.Help, TRIM(_xlfn.TEXTSPLIT("FUNCTION:      →GSTExtractλ(Amounts, [Rate])¶" &amp; "DESCRIPTION:   →Returns the GST contained in one or more GST-inclusive amounts.¶" &amp; "WEBPAGE:       →https://github.com/ryanduguid/Nabla¶" &amp; "VERSION:       →18 Aug 2026¶" &amp; "PARAMETERS:    →¶" &amp; "Amounts        →(Required) One or more GST-inclusive amounts.¶" &amp; "Rate           →(Optional: Default = 0.1) GST rate as a fraction.¶" &amp; "EXAMPLES:      →¶" &amp; "→Formula (nabla.f is assumed to be the module's name)¶" &amp; "→=nabla.f.GSTExtractλ(110)¶" &amp; "→Result¶" &amp; "→10", "→", "¶")), _xlpm.Help?, _xlfn.ISOMITTED(_xlpm.Amounts), _xlpm.GSTRate, IF(_xlfn.ISOMITTED(_xlpm.Rate), 0.1, _xlpm.Rate), _xlpm.Result, _xlpm.Amounts * _xlpm.GSTRate / (1 + _xlpm.GSTRate), CHOOSE(_xlpm.Help? + 1, _xlpm.Result, _xlpm.Help)))</definedName>
    <definedName name="nabla.d.FinancialYearλ" comment="Labels dates with their Australian financial year, which starts on 1 July.">_xlfn.LAMBDA(_xlop.Dates,_xlop.StartMonth, _xlfn.LET(_xlpm.Help, TRIM(_xlfn.TEXTSPLIT("FUNCTION:      →FinancialYearλ(Dates, [StartMonth])¶" &amp; "DESCRIPTION:   →Labels dates with their Australian financial year, which starts on 1 July.¶" &amp; "WEBPAGE:       →https://github.com/ryanduguid/Nabla¶" &amp; "VERSION:       →18 Aug 2026¶" &amp; "PARAMETERS:    →¶" &amp; "Dates          →(Required) One or more dates.¶" &amp; "StartMonth     →(Optional: Default = 7) Month the financial year starts.¶" &amp; "EXAMPLES:      →¶" &amp; "→Formula (nabla.d is assumed to be the module's name)¶" &amp; "→=nabla.d.FinancialYearλ(DATE(2026,8,15))¶" &amp; "→Result¶" &amp; "→FY2027", "→", "¶")), _xlpm.Help?, _xlfn.ISOMITTED(_xlpm.Dates), _xlpm.FYStart, IF(_xlfn.ISOMITTED(_xlpm.StartMonth), 7, _xlpm.StartMonth), _xlpm.Result, "FY" &amp; TEXT(YEAR(_xlpm.Dates) + N(MONTH(_xlpm.Dates) &gt;= _xlpm.FYStart), "0000"), CHOOSE(_xlpm.Help? + 1, _xlpm.Result, _xlpm.Help)))</definedName>
  </definedNames>
  <calcPr calcId="191029" fullCalcOn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<sst xmlns="http://schemas.openxmlformats.org/spreadsheetml/2006/main" count="1857" uniqueCount="542">
  <si>
    <t>Input</t>
  </si>
  <si>
    <t xml:space="preserve"> </t>
  </si>
  <si>
    <t>Formats</t>
  </si>
  <si>
    <t>Skin</t>
  </si>
  <si>
    <t>Standard formatting</t>
  </si>
  <si>
    <t>Set</t>
  </si>
  <si>
    <t>Name</t>
  </si>
  <si>
    <t>Type</t>
  </si>
  <si>
    <t>Seq</t>
  </si>
  <si>
    <t>Format</t>
  </si>
  <si>
    <t>Style</t>
  </si>
  <si>
    <t>Align</t>
  </si>
  <si>
    <t>Border</t>
  </si>
  <si>
    <t>Font</t>
  </si>
  <si>
    <t>Number</t>
  </si>
  <si>
    <t>Patterns</t>
  </si>
  <si>
    <t>Protection</t>
  </si>
  <si>
    <t>Charts</t>
  </si>
  <si>
    <t>nabla Combo Area &amp; Line.crtx</t>
  </si>
  <si>
    <t>ChartColor</t>
  </si>
  <si>
    <t>ChartStyle</t>
  </si>
  <si>
    <t>ChartLegend</t>
  </si>
  <si>
    <t>ChartTitle</t>
  </si>
  <si>
    <t>ChartArea</t>
  </si>
  <si>
    <t>Y</t>
  </si>
  <si>
    <t>PlotArea</t>
  </si>
  <si>
    <t>AxisValuePrimaryPosition</t>
  </si>
  <si>
    <t>AxisValueSecondaryPosition</t>
  </si>
  <si>
    <t>Data</t>
  </si>
  <si>
    <t>Normal</t>
  </si>
  <si>
    <t>L</t>
  </si>
  <si>
    <t>U</t>
  </si>
  <si>
    <t>Local</t>
  </si>
  <si>
    <t>Remote</t>
  </si>
  <si>
    <t>External</t>
  </si>
  <si>
    <t>Good</t>
  </si>
  <si>
    <t>Bad</t>
  </si>
  <si>
    <t>Neutral</t>
  </si>
  <si>
    <t>Warning Text</t>
  </si>
  <si>
    <t>Explanatory Text</t>
  </si>
  <si>
    <t>Linked Cell</t>
  </si>
  <si>
    <t>Note</t>
  </si>
  <si>
    <t>Output</t>
  </si>
  <si>
    <t>Check Cell</t>
  </si>
  <si>
    <t>Forms</t>
  </si>
  <si>
    <t>Skin.jpg</t>
  </si>
  <si>
    <t>Frame</t>
  </si>
  <si>
    <t>Form</t>
  </si>
  <si>
    <t>Button</t>
  </si>
  <si>
    <t>Button Glow</t>
  </si>
  <si>
    <t>Headings</t>
  </si>
  <si>
    <t>Title</t>
  </si>
  <si>
    <t>Heading 1</t>
  </si>
  <si>
    <t>Heading 2</t>
  </si>
  <si>
    <t>Heading 3</t>
  </si>
  <si>
    <t>Heading 4</t>
  </si>
  <si>
    <t>Numbers</t>
  </si>
  <si>
    <t>Calculation</t>
  </si>
  <si>
    <t>Comma</t>
  </si>
  <si>
    <t>Comma [0]</t>
  </si>
  <si>
    <t>Subtotal</t>
  </si>
  <si>
    <t>Currency</t>
  </si>
  <si>
    <t>Currency [0]</t>
  </si>
  <si>
    <t>Total</t>
  </si>
  <si>
    <t>Percent</t>
  </si>
  <si>
    <t>TimeStamp</t>
  </si>
  <si>
    <t>Date</t>
  </si>
  <si>
    <t>Date-Short</t>
  </si>
  <si>
    <t>Time</t>
  </si>
  <si>
    <t>Duration</t>
  </si>
  <si>
    <t>Objects</t>
  </si>
  <si>
    <t>Logo</t>
  </si>
  <si>
    <t>Logo.gif</t>
  </si>
  <si>
    <t>Background</t>
  </si>
  <si>
    <t>Pivots</t>
  </si>
  <si>
    <t>PivotStyle</t>
  </si>
  <si>
    <t>PivotStyleCustom</t>
  </si>
  <si>
    <t>Whole Table</t>
  </si>
  <si>
    <t>Page field labels</t>
  </si>
  <si>
    <t>Page field values</t>
  </si>
  <si>
    <t>Column Stripe1</t>
  </si>
  <si>
    <t>Column Stripe2</t>
  </si>
  <si>
    <t>Row Stripe1</t>
  </si>
  <si>
    <t>Row Stripe2</t>
  </si>
  <si>
    <t>First column</t>
  </si>
  <si>
    <t>Header row</t>
  </si>
  <si>
    <t>First header cell</t>
  </si>
  <si>
    <t>Subtotal Column1</t>
  </si>
  <si>
    <t>Subtotal Column2</t>
  </si>
  <si>
    <t>Subtotal Column3</t>
  </si>
  <si>
    <t>Blank row</t>
  </si>
  <si>
    <t>Subtotal Row1</t>
  </si>
  <si>
    <t>Subtotal Row2</t>
  </si>
  <si>
    <t>Subtotal Row3</t>
  </si>
  <si>
    <t>Column Subheading1</t>
  </si>
  <si>
    <t>Column Subheading2</t>
  </si>
  <si>
    <t>Column Subheading3</t>
  </si>
  <si>
    <t>Row Subheading1</t>
  </si>
  <si>
    <t>Row Subheading2</t>
  </si>
  <si>
    <t>Row Subheading3</t>
  </si>
  <si>
    <t>Grand total column</t>
  </si>
  <si>
    <t>Grand total row</t>
  </si>
  <si>
    <t>Slicers</t>
  </si>
  <si>
    <t>SlicerStyle</t>
  </si>
  <si>
    <t>SlicerStyleCustom</t>
  </si>
  <si>
    <t>Selected item with data</t>
  </si>
  <si>
    <t>Hovered selected item with data</t>
  </si>
  <si>
    <t>Unselected item with data</t>
  </si>
  <si>
    <t>Hovered unselected item with data</t>
  </si>
  <si>
    <t>Selected item with no data</t>
  </si>
  <si>
    <t>Hovered selected item with no data</t>
  </si>
  <si>
    <t>Unselected item with no data</t>
  </si>
  <si>
    <t>Hovered unselected item with no data</t>
  </si>
  <si>
    <t>Tables</t>
  </si>
  <si>
    <t>TableStyle</t>
  </si>
  <si>
    <t>TableStyleCustom</t>
  </si>
  <si>
    <t>Last column</t>
  </si>
  <si>
    <t>Total Row</t>
  </si>
  <si>
    <t>Last header cell</t>
  </si>
  <si>
    <t>First total cell</t>
  </si>
  <si>
    <t>Last total cell</t>
  </si>
  <si>
    <t>Timelines</t>
  </si>
  <si>
    <t>TimelineStyle</t>
  </si>
  <si>
    <t>TimelineStyleCustom</t>
  </si>
  <si>
    <t>Period Labels 1</t>
  </si>
  <si>
    <t>Period Labels 2</t>
  </si>
  <si>
    <t>Timeline Selection Label</t>
  </si>
  <si>
    <t>Timeline Level</t>
  </si>
  <si>
    <t>Selected Timeline Time Block</t>
  </si>
  <si>
    <t>Unselected Timeline Time Block</t>
  </si>
  <si>
    <t>Selected Timeline Time Block space</t>
  </si>
  <si>
    <t>Description</t>
  </si>
  <si>
    <t>Table of Contents</t>
  </si>
  <si>
    <t>TOC</t>
  </si>
  <si>
    <t>Worksheet</t>
  </si>
  <si>
    <t>This worksheet. Click any A1 cell to return here</t>
  </si>
  <si>
    <t>Click name to go to object</t>
  </si>
  <si>
    <t>Argument</t>
  </si>
  <si>
    <t>Value</t>
  </si>
  <si>
    <t>UOM</t>
  </si>
  <si>
    <t>StartDate</t>
  </si>
  <si>
    <t>Periods</t>
  </si>
  <si>
    <t>Interval</t>
  </si>
  <si>
    <t>PeriodStarts?</t>
  </si>
  <si>
    <t>M</t>
  </si>
  <si>
    <t>date</t>
  </si>
  <si>
    <t>periods</t>
  </si>
  <si>
    <t>boolean</t>
  </si>
  <si>
    <t>D,W,M,Q,Y</t>
  </si>
  <si>
    <t>Timeline</t>
  </si>
  <si>
    <t>Starts</t>
  </si>
  <si>
    <t>Ends</t>
  </si>
  <si>
    <t>Week Day</t>
  </si>
  <si>
    <t>M,Q,Y</t>
  </si>
  <si>
    <t>Closing</t>
  </si>
  <si>
    <t>Payment Dates</t>
  </si>
  <si>
    <t>Rates</t>
  </si>
  <si>
    <t>Rent 1 Starts</t>
  </si>
  <si>
    <t>Rent 2 Starts</t>
  </si>
  <si>
    <t>Rent 1 Amount</t>
  </si>
  <si>
    <t xml:space="preserve">Rent 2 Amount </t>
  </si>
  <si>
    <t>AUD</t>
  </si>
  <si>
    <t>Rate Starts</t>
  </si>
  <si>
    <t>Rate Amount</t>
  </si>
  <si>
    <t>Ready Dates</t>
  </si>
  <si>
    <t>Units Built</t>
  </si>
  <si>
    <t>Total Units</t>
  </si>
  <si>
    <t>Rent Revenue</t>
  </si>
  <si>
    <t>nabla.d.CountDOWλ</t>
  </si>
  <si>
    <t>nabla.d.IsBetweenλ</t>
  </si>
  <si>
    <t>nabla.d.IsOccurrenceDateλ</t>
  </si>
  <si>
    <t>nabla.d.OverLapDaysλ</t>
  </si>
  <si>
    <t>nabla.d.Periodsλ</t>
  </si>
  <si>
    <t>nabla.d.PeriodLabelλ</t>
  </si>
  <si>
    <t>nabla.d.ScheduleRatesλ</t>
  </si>
  <si>
    <t>nabla.d.ScheduleRatesByItemsλ</t>
  </si>
  <si>
    <t>nabla.d.ScheduleValuesλ</t>
  </si>
  <si>
    <t>nabla.d.ScheduleValuesByItemsλ</t>
  </si>
  <si>
    <t>nabla.d.Timelineλ</t>
  </si>
  <si>
    <t>Unit Completion Schedule</t>
  </si>
  <si>
    <t>Rental Rate Schedule</t>
  </si>
  <si>
    <t>Timeline Arguments</t>
  </si>
  <si>
    <t>nabla.f.Aboutλ</t>
  </si>
  <si>
    <t>nabla.f.Amortiseλ</t>
  </si>
  <si>
    <t>nabla.f.Corkscrewλ</t>
  </si>
  <si>
    <t>nabla.f.Depreciateλ</t>
  </si>
  <si>
    <t>nabla.f.IntOnIntλ</t>
  </si>
  <si>
    <t>nabla.f.IRRλ</t>
  </si>
  <si>
    <t>nabla.f.Movementλ</t>
  </si>
  <si>
    <t>nabla.f.SumAmortiseλ</t>
  </si>
  <si>
    <t>nabla.f.SumPeriodsλ</t>
  </si>
  <si>
    <t>nabla.f.LabelAmortiseλ</t>
  </si>
  <si>
    <t>nabla.f.LabelDepreciateλ</t>
  </si>
  <si>
    <t>nabla.f.TimelineOffsetλ</t>
  </si>
  <si>
    <t>nabla.f.TimelinePositionλ</t>
  </si>
  <si>
    <t>Count instances of a specific day of the week between two dates</t>
  </si>
  <si>
    <t>Determine if a value is between a lower and upper limit</t>
  </si>
  <si>
    <t>Determine if a date passed is when a potentially repeating event happens</t>
  </si>
  <si>
    <t>Return how many days overlap two period ranges.</t>
  </si>
  <si>
    <t>Determine the number of periods from Starts to Ends inclusive</t>
  </si>
  <si>
    <t>Creates a label for a date based on period interval</t>
  </si>
  <si>
    <t>Schedule rates that persist until replaced in a timeline.</t>
  </si>
  <si>
    <t>Schedule rates that persist until replaced in a timeline for each item in a list.</t>
  </si>
  <si>
    <t>Schedules values in a timeline.</t>
  </si>
  <si>
    <t>Schedules values in a timeline for each item in a list.</t>
  </si>
  <si>
    <t>Creates a horizontal list of start or end dates for a timeline</t>
  </si>
  <si>
    <t>Creates a corkscrew amortisation schedule.</t>
  </si>
  <si>
    <t>Creates a simple corkscrew where the closing balance is the sum of independent flows plus opening balance</t>
  </si>
  <si>
    <t>Create a block of CAPEX, Opening Balance, Depreciation Values, and Book Value for each asset</t>
  </si>
  <si>
    <t>Calculate Interest on Interest. Use to determine amount needed to cover debt plus interest on debt</t>
  </si>
  <si>
    <t>Calculates IRR, correcting for when the first investment is not in the first period</t>
  </si>
  <si>
    <t>Create a row of differences from column to column</t>
  </si>
  <si>
    <t>Create totals for payments, interest, and principal portion in Amortiseλ results</t>
  </si>
  <si>
    <t>Creates totals for each row in array.</t>
  </si>
  <si>
    <t>Groups and totals all columns in a Values array by period resulting in one column for each period.</t>
  </si>
  <si>
    <t>Create row labels for Amortiseλ result</t>
  </si>
  <si>
    <t>Create row labels for Depreciateλ result</t>
  </si>
  <si>
    <t>Determines how many columns a date is offset from a timeline's first date</t>
  </si>
  <si>
    <t>Places an array or value appropriately within a model's timeline.</t>
  </si>
  <si>
    <t>Sunday</t>
  </si>
  <si>
    <t>Budget Items</t>
  </si>
  <si>
    <t>Holds budgeted item entries</t>
  </si>
  <si>
    <t>Schedule</t>
  </si>
  <si>
    <t>First Date</t>
  </si>
  <si>
    <t>Last Date</t>
  </si>
  <si>
    <t>B</t>
  </si>
  <si>
    <t>X</t>
  </si>
  <si>
    <t>Pay</t>
  </si>
  <si>
    <t>Mortgage</t>
  </si>
  <si>
    <t>Home insurance</t>
  </si>
  <si>
    <t>S</t>
  </si>
  <si>
    <t>W</t>
  </si>
  <si>
    <t>Petrol</t>
  </si>
  <si>
    <t>Q</t>
  </si>
  <si>
    <t>Strata levies</t>
  </si>
  <si>
    <t>Estimated work lunches</t>
  </si>
  <si>
    <t>Start</t>
  </si>
  <si>
    <t>End</t>
  </si>
  <si>
    <t>Daily Rate</t>
  </si>
  <si>
    <t>Dining Room set</t>
  </si>
  <si>
    <t>Living Room Set</t>
  </si>
  <si>
    <t>Rental Description</t>
  </si>
  <si>
    <t>85" 4K OLED TV</t>
  </si>
  <si>
    <t>Rental Contracts</t>
  </si>
  <si>
    <t>Contract #</t>
  </si>
  <si>
    <t>Daily Total</t>
  </si>
  <si>
    <t>Cumulative Total</t>
  </si>
  <si>
    <r>
      <t xml:space="preserve">Totals </t>
    </r>
    <r>
      <rPr>
        <b/>
        <sz val="11"/>
        <color rgb="FF2E4950"/>
        <rFont val="Aptos Narrow"/>
        <family val="2"/>
      </rPr>
      <t>↓  Dates→</t>
    </r>
  </si>
  <si>
    <t>IsOccurrenceDateλ(Dates, FirstOccurrence, [LastOccurrence], [Repeats], [Diagnostics])</t>
  </si>
  <si>
    <t>Amount</t>
  </si>
  <si>
    <t>Date 1</t>
  </si>
  <si>
    <t>Date 2</t>
  </si>
  <si>
    <t>Labels</t>
  </si>
  <si>
    <t>Intervals</t>
  </si>
  <si>
    <t>Period Ends</t>
  </si>
  <si>
    <t>Item</t>
  </si>
  <si>
    <t>Effective</t>
  </si>
  <si>
    <t>Rate</t>
  </si>
  <si>
    <t>Items</t>
  </si>
  <si>
    <t>Unit 200</t>
  </si>
  <si>
    <t>Unit 100</t>
  </si>
  <si>
    <t>Unit 300</t>
  </si>
  <si>
    <t>Unit 400</t>
  </si>
  <si>
    <t>Unit 500</t>
  </si>
  <si>
    <t>Customer</t>
  </si>
  <si>
    <t>Terms</t>
  </si>
  <si>
    <t>ACME</t>
  </si>
  <si>
    <t>Wool*Art</t>
  </si>
  <si>
    <t>Town Hall</t>
  </si>
  <si>
    <t>Issued</t>
  </si>
  <si>
    <t>Customer Terms</t>
  </si>
  <si>
    <t>ID#</t>
  </si>
  <si>
    <t>Timeline Settings</t>
  </si>
  <si>
    <t>Attribute</t>
  </si>
  <si>
    <t>Exp. Receipt</t>
  </si>
  <si>
    <t>Receivables</t>
  </si>
  <si>
    <t>Totals ↓  Starts→</t>
  </si>
  <si>
    <t>Receipts</t>
  </si>
  <si>
    <t>Customer Orders</t>
  </si>
  <si>
    <t>Ends→</t>
  </si>
  <si>
    <t>Inv.#</t>
  </si>
  <si>
    <t>Outstanding Receivables</t>
  </si>
  <si>
    <t>Open Receivables</t>
  </si>
  <si>
    <t>Sub totals</t>
  </si>
  <si>
    <t>Expected Receipts</t>
  </si>
  <si>
    <t>Principal</t>
  </si>
  <si>
    <t>APR</t>
  </si>
  <si>
    <t>Term</t>
  </si>
  <si>
    <t>Start Date</t>
  </si>
  <si>
    <t>Totals</t>
  </si>
  <si>
    <t>Renovation</t>
  </si>
  <si>
    <t>New sign</t>
  </si>
  <si>
    <t>Parking Lot</t>
  </si>
  <si>
    <t>Opening</t>
  </si>
  <si>
    <t>Closing balance</t>
  </si>
  <si>
    <t>Assets</t>
  </si>
  <si>
    <t>Asset</t>
  </si>
  <si>
    <t>Acquired</t>
  </si>
  <si>
    <t>Salvage</t>
  </si>
  <si>
    <t>Method</t>
  </si>
  <si>
    <t>SLN</t>
  </si>
  <si>
    <t>DDB</t>
  </si>
  <si>
    <t>DV</t>
  </si>
  <si>
    <t>Cutter</t>
  </si>
  <si>
    <t>Press</t>
  </si>
  <si>
    <t>CNC</t>
  </si>
  <si>
    <t>Life</t>
  </si>
  <si>
    <t>Cost</t>
  </si>
  <si>
    <t>nabla.f.Cumulativeλ</t>
  </si>
  <si>
    <t>Creates a row or column of cumulative totals from a total row or column</t>
  </si>
  <si>
    <t>Planning</t>
  </si>
  <si>
    <t>Site Prep</t>
  </si>
  <si>
    <t>Foundation</t>
  </si>
  <si>
    <t>Interest</t>
  </si>
  <si>
    <t>Total Cost</t>
  </si>
  <si>
    <t>Construction Phases</t>
  </si>
  <si>
    <t>IRR↓  Starts→</t>
  </si>
  <si>
    <t>Loans</t>
  </si>
  <si>
    <t>Jacqie Penee</t>
  </si>
  <si>
    <t>Amazonia</t>
  </si>
  <si>
    <t>Budget Item</t>
  </si>
  <si>
    <t>Loan Description</t>
  </si>
  <si>
    <t>Dates</t>
  </si>
  <si>
    <t>Offset</t>
  </si>
  <si>
    <t>Model</t>
  </si>
  <si>
    <t>Loan Schedule</t>
  </si>
  <si>
    <t>Introduction</t>
  </si>
  <si>
    <t>Navigating this Workbook</t>
  </si>
  <si>
    <t>Accessing the Functions</t>
  </si>
  <si>
    <t>Each function worksheet has green shaded cells. These cells contain the function whose name appears in the worksheet's title.</t>
  </si>
  <si>
    <t>Getting to Know the Functions</t>
  </si>
  <si>
    <t>Cover</t>
  </si>
  <si>
    <t>Workbook's Introduction</t>
  </si>
  <si>
    <t>Contains important information for first time users.</t>
  </si>
  <si>
    <t>Cell A1 of every worksheet is hyperlinked to the table of contents. So if we want to get back to the table of contents, we just click the worksheet's title. 
The first column in the table of contents contains a listing of all worksheets and every worksheet name in that column is hyperlinked to its worksheet. Thus, clicking a worksheet's name in the table of contents takes to that worksheet.
So remember, click any worksheet's title to go to the table of contents and click any worksheet name to go to the worksheet from the table of contents</t>
  </si>
  <si>
    <r>
      <t>NOTE!</t>
    </r>
    <r>
      <rPr>
        <sz val="11"/>
        <color rgb="FF000000"/>
        <rFont val="Aptos"/>
        <family val="2"/>
        <scheme val="minor"/>
      </rPr>
      <t xml:space="preserve"> Older version displayed in video</t>
    </r>
  </si>
  <si>
    <t>Dynamic models are the future of financial modelling. They respond to changes in business, competition, economics, supply chains, project deadlines and more. Excel’s dynamic arrays make this practical. But dynamic arrays are not possible in Financial Models without LAMBDA and LAMBDAs are too scary for most modellers. That’s where nabla steps in.</t>
  </si>
  <si>
    <t>nabla makes it easy for anyone, including Excel novices, to assemble expert level financial models with dynamic arrays in record time with fewer errors!</t>
  </si>
  <si>
    <t/>
  </si>
  <si>
    <t>nabla functions can be used exactly like native Excel functions because they are made from native Excel functions and nothing else. That means no special skills are required to use nabla functions and models assembled from nabla functions can be saved as normal .xlsx workbooks.</t>
  </si>
  <si>
    <t xml:space="preserve">With a few exceptions, all nabla functions have inline help. Inline help explains the function's syntax, purpose, version, and arguments. To access a function's inline help, find an empty space on a worksheet and enter = and the function's name without any arguments. </t>
  </si>
  <si>
    <t xml:space="preserve">Some nabla functions have Data Validation functions associated with them. These functions diagnose problems with arguments we present to their parent nabla function. So if a function returns an error or something unexpected, try calling its data validation routine which will attempt to diagnose any problems with the arguments. Data Validation functions are named using the function's name plus DV. As an example, we have a nabla function called Depreciateλ(). Depreciateλ's data validation function is DepreciateλDV(&lt;include arguments&gt;). </t>
  </si>
  <si>
    <t>Most worksheets have grey shaded cells which are input cells. These are meant to be played with. Try changing the inputs to see how the nabla function reacts.</t>
  </si>
  <si>
    <t xml:space="preserve"> CAPEX</t>
  </si>
  <si>
    <t xml:space="preserve"> Depreciation</t>
  </si>
  <si>
    <t xml:space="preserve"> Book Value</t>
  </si>
  <si>
    <t xml:space="preserve"> Revenue from Sale</t>
  </si>
  <si>
    <t xml:space="preserve"> Disposal Costs</t>
  </si>
  <si>
    <t>Rolling Totals</t>
  </si>
  <si>
    <t>Movement</t>
  </si>
  <si>
    <t>tblTOC</t>
  </si>
  <si>
    <t>Table</t>
  </si>
  <si>
    <t>tblBudget</t>
  </si>
  <si>
    <t>tblRent</t>
  </si>
  <si>
    <t>tblRents</t>
  </si>
  <si>
    <t>tblUnits</t>
  </si>
  <si>
    <t>tblItems</t>
  </si>
  <si>
    <t>tblCT</t>
  </si>
  <si>
    <t>tblCO</t>
  </si>
  <si>
    <t>tblLoans</t>
  </si>
  <si>
    <t>tblAssets</t>
  </si>
  <si>
    <t>tblAssets11</t>
  </si>
  <si>
    <t>nabla.f.SumDepreciateλ</t>
  </si>
  <si>
    <t>tblAssets1112</t>
  </si>
  <si>
    <t>nabla.f.SumContains</t>
  </si>
  <si>
    <t>tblAssets111214</t>
  </si>
  <si>
    <t>tblPhases</t>
  </si>
  <si>
    <t>nabla.f.RollingSumλ</t>
  </si>
  <si>
    <t>Create row totals for CAPEX, Depreciation, Book Value, Salvage Value, and Disposal costs in Depreciateλ results</t>
  </si>
  <si>
    <t>Creates a row of totals for each row in an array where its labels contain a unique letter, word, or phrase.</t>
  </si>
  <si>
    <t>Creates totals for preceding values of a set size moving from beginning to end over a row of values.</t>
  </si>
  <si>
    <t>nabla.e.SumColsλ</t>
  </si>
  <si>
    <t>nabla.e.SumRowsλ</t>
  </si>
  <si>
    <t>nabla.e.Aboutλ</t>
  </si>
  <si>
    <t>nabla.e.AvgRowsλ</t>
  </si>
  <si>
    <t>nabla.e.AvgColsλ</t>
  </si>
  <si>
    <t>nabla.e.MinRowsλ</t>
  </si>
  <si>
    <t>nabla.e.MinColsλ</t>
  </si>
  <si>
    <t>nabla.e.MaxRowsλ</t>
  </si>
  <si>
    <t>nabla.e.MaxColsλ</t>
  </si>
  <si>
    <t>About the nabla Array Essentials library</t>
  </si>
  <si>
    <t>About the nabla Financial library</t>
  </si>
  <si>
    <t>Gets the minimum of each column in an array</t>
  </si>
  <si>
    <t>Gets the average of each column in an array</t>
  </si>
  <si>
    <t>Gets the average of each row in an array</t>
  </si>
  <si>
    <t>Creates totals for each column in array.</t>
  </si>
  <si>
    <t>Gets the minimum of each row in an array</t>
  </si>
  <si>
    <t>Gets the maximum of each row in an array</t>
  </si>
  <si>
    <t>Gets the maximum of each column in an array</t>
  </si>
  <si>
    <t xml:space="preserve">This workbook contains six nabla modules: dates (nabla.d), array essentials (nabla.e), financial functions (nabla.f), financial ratios (nabla.r), utilities (nabla.u) and debt (nabla.debt). The worksheets in this workbook document each function and provides examples; thus, this workbook has many worksheets. The next section explains how to easily navigate between them. </t>
  </si>
  <si>
    <t>Characters</t>
  </si>
  <si>
    <t>Text</t>
  </si>
  <si>
    <t>Result</t>
  </si>
  <si>
    <t>Mary had a little lamb</t>
  </si>
  <si>
    <t>a,m</t>
  </si>
  <si>
    <t>M,m</t>
  </si>
  <si>
    <t>l</t>
  </si>
  <si>
    <t>had</t>
  </si>
  <si>
    <t>Comments</t>
  </si>
  <si>
    <t>Case sensitive! Upper case M is not counted</t>
  </si>
  <si>
    <t>Case sensitive! Lower case M is not counted</t>
  </si>
  <si>
    <t>The word "had" occupies 3 characters in the text</t>
  </si>
  <si>
    <t>A</t>
  </si>
  <si>
    <t/>
  </si>
  <si>
    <t>C</t>
  </si>
  <si>
    <t>nabla.e.CountCλ</t>
  </si>
  <si>
    <t>nabla.e.CountRowsλ</t>
  </si>
  <si>
    <t>nabla.e.CountColsλ</t>
  </si>
  <si>
    <t>nabla.e.CountARowsλ</t>
  </si>
  <si>
    <t>nabla.e.CountAColsλ</t>
  </si>
  <si>
    <t>Count the number of numbers in each column of an array</t>
  </si>
  <si>
    <t>Count the number of numbers in each row of an array</t>
  </si>
  <si>
    <t>Count all non-empty cells in each row of a range. NOTE! Dynamic Arrays always fill each cell.</t>
  </si>
  <si>
    <t>Count all non-empty cells in each column of a range. NOTE! Dynamic Arrays always fill each cell.</t>
  </si>
  <si>
    <t>Count the number of times one or more characters appear in a string</t>
  </si>
  <si>
    <t xml:space="preserve"> Ends→</t>
  </si>
  <si>
    <t>Onboarding</t>
  </si>
  <si>
    <t>Inputs ↓ Periods→</t>
  </si>
  <si>
    <t>Inflation factor</t>
  </si>
  <si>
    <t>Interest Rates</t>
  </si>
  <si>
    <t>nabla.e.IsBetweenλ</t>
  </si>
  <si>
    <t>tblOnBoarding</t>
  </si>
  <si>
    <t>nabla.e.RangeToDAλ</t>
  </si>
  <si>
    <t>Convert a static range into a dynamic array</t>
  </si>
  <si>
    <t>Click any name below to jump to its worksheet</t>
  </si>
  <si>
    <t>nabla Introduction</t>
  </si>
  <si>
    <t/>
  </si>
  <si>
    <t/>
  </si>
  <si>
    <t/>
  </si>
  <si>
    <t/>
  </si>
  <si>
    <t/>
  </si>
  <si>
    <t/>
  </si>
  <si>
    <t/>
  </si>
  <si>
    <t/>
  </si>
  <si>
    <t>Create a row that reverses input values in the next period</t>
  </si>
  <si>
    <t>Reversal</t>
  </si>
  <si>
    <t>nabla.f.Reversalλ</t>
  </si>
  <si>
    <t>Create a row that reverses input values in the next period.</t>
  </si>
  <si>
    <t>DB</t>
  </si>
  <si>
    <t>Table used for data validation</t>
  </si>
  <si>
    <t>Straight Line</t>
  </si>
  <si>
    <t>Declining Balance</t>
  </si>
  <si>
    <t>Double Declining Balance</t>
  </si>
  <si>
    <t>SYD</t>
  </si>
  <si>
    <t>Sum of Years</t>
  </si>
  <si>
    <t>VDB</t>
  </si>
  <si>
    <t>Variable Declining</t>
  </si>
  <si>
    <t>Diminishing value (ATO)</t>
  </si>
  <si>
    <t>Data Validation Methods</t>
  </si>
  <si>
    <t>Liquidity Ratios</t>
  </si>
  <si>
    <t>Leverage Ratios</t>
  </si>
  <si>
    <t>Solvency Ratios</t>
  </si>
  <si>
    <t>Efficiency Ratios</t>
  </si>
  <si>
    <t>Profitability Margins &amp; Ratios</t>
  </si>
  <si>
    <t>Market Value Ratios</t>
  </si>
  <si>
    <t>Data Validation</t>
  </si>
  <si>
    <t>tblMethods</t>
  </si>
  <si>
    <t>nabla.r.FinancialRatios</t>
  </si>
  <si>
    <t>Three dozen financial Ratios</t>
  </si>
  <si>
    <t>Function</t>
  </si>
  <si>
    <t>Aboutλ</t>
  </si>
  <si>
    <t>Produces this table</t>
  </si>
  <si>
    <t>CurrentRatioλ</t>
  </si>
  <si>
    <t>Measures ability to pay short-term obligations</t>
  </si>
  <si>
    <t>QuickRatioλ</t>
  </si>
  <si>
    <t>Measures ability to meet short-term obligations</t>
  </si>
  <si>
    <t>CashRatioλ</t>
  </si>
  <si>
    <t>Evaluates ability to repay short-term debt w/cash or near-cash resources</t>
  </si>
  <si>
    <t>Measures how readily current liabilities are covered by cash flows generated from operations.</t>
  </si>
  <si>
    <t>ReceivablesTurnoverRatioλ</t>
  </si>
  <si>
    <t>Indicates effectiveness in collecting outstanding balances from clients and managing line of credit process</t>
  </si>
  <si>
    <t>InventoryTurnoverRatioλ</t>
  </si>
  <si>
    <t>Shows how many times a company turned over its inventory relative to its cost of goods sold</t>
  </si>
  <si>
    <t>WorkingCapitalTurnoverRatioλ</t>
  </si>
  <si>
    <t>Working Capital Turnover Ratio measures how efficiently a company is using its working capital to support sales and growth</t>
  </si>
  <si>
    <t>DebtRatioλ</t>
  </si>
  <si>
    <t>Measures the extent of a company's leverage</t>
  </si>
  <si>
    <t>DSCRλ</t>
  </si>
  <si>
    <t>Debt service coverage Ratio measures a firm’s available cash flow to pay its current debt obligations</t>
  </si>
  <si>
    <t>DebtToCapitalRatioλ</t>
  </si>
  <si>
    <t>Gives analysts and investors a better idea of a company's financial structure and whether or not the company is a suitable investment</t>
  </si>
  <si>
    <t>EquityMultiplierλ</t>
  </si>
  <si>
    <t>Measures the portion of a company’s assets financed by shareholders'equity rather than by debt</t>
  </si>
  <si>
    <t>DebtToEquityRatioλ</t>
  </si>
  <si>
    <t>Measures the degree to which a company is financing operations with debt rather than its own resources.</t>
  </si>
  <si>
    <t>DebtToAssetRatioλ</t>
  </si>
  <si>
    <t>Analysts can compare one company's leverage with that of other companies in the same industry.</t>
  </si>
  <si>
    <t>InterestCoverageRatioλ</t>
  </si>
  <si>
    <t>Determines how easily a company can pay interest on its outstanding debt</t>
  </si>
  <si>
    <t>EquityRatioλ</t>
  </si>
  <si>
    <t>Measures the long-term solvency of a company by comparing its shareholders’ equity to its total assets</t>
  </si>
  <si>
    <t>AssetTurnoverRatioλ</t>
  </si>
  <si>
    <t>Measures the value of a company's sales or revenues relative to the value of its assets.</t>
  </si>
  <si>
    <t>DSIRatioλ</t>
  </si>
  <si>
    <t>Days Sales in Inventory Ratio (aka Average age of inventory indicates the average time in days that a company takes to turn its inventory</t>
  </si>
  <si>
    <t>OperatingRatioλ</t>
  </si>
  <si>
    <t>Shows how efficient management is at keeping costs low while generating revenue</t>
  </si>
  <si>
    <t>GrossMarginλ</t>
  </si>
  <si>
    <t>Shows how much profit a company makes after paying off its Cost of Goods Sold</t>
  </si>
  <si>
    <t>EBITDAMarginλ</t>
  </si>
  <si>
    <t>Measures a company's operating profit as a percentage of its revenue</t>
  </si>
  <si>
    <t>OperatingMarginλ</t>
  </si>
  <si>
    <t>Measures how much profit a company makes on a dollar of sales after paying for variable costs of production, such as wages and raw materials, but before paying interest or tax</t>
  </si>
  <si>
    <t>PretaxMarginλ</t>
  </si>
  <si>
    <t>Measures the operating efficiency of a company</t>
  </si>
  <si>
    <t>NetProfitMarginλ</t>
  </si>
  <si>
    <t>Measures how much net income or profit a company generates as a percentage of its revenue.</t>
  </si>
  <si>
    <t>CashFlowMarginλ</t>
  </si>
  <si>
    <t>Cash Flow Margin is a trusted metric of a company’s profitability and efficiency and its earnings quality</t>
  </si>
  <si>
    <t>ROAλ</t>
  </si>
  <si>
    <t>*Return on Assets Indicates how profitable a company is in relation to its total assets</t>
  </si>
  <si>
    <t>ROEλ</t>
  </si>
  <si>
    <t>*Return on equity is a measure of financial performance</t>
  </si>
  <si>
    <t>ROIλ</t>
  </si>
  <si>
    <t>Return on Investment ratio measures the profitability of an investment by comparing the gain or loss to its cost</t>
  </si>
  <si>
    <t>ROICλ</t>
  </si>
  <si>
    <t>Return on Invested capital assesses a company’s efficiency in allocating capital to profitable investments</t>
  </si>
  <si>
    <t>PriceEarningsRatioλ</t>
  </si>
  <si>
    <t>*Price-earnings Ratio measures a company's share price relative to its earnings per share</t>
  </si>
  <si>
    <t>PriceToBookRatioλ</t>
  </si>
  <si>
    <t>Many investors use the price-to-book ratio (P/B ratio) to compare a firm's market capitalisation to its book value and locate undervalued companies.</t>
  </si>
  <si>
    <t>PriceToSalesRatioλ</t>
  </si>
  <si>
    <t>Price to Sales (P/S) Ratio is an indicator of the value that financial markets have placed on each dollar of a company's sales or revenues</t>
  </si>
  <si>
    <t>PriceToCashRatioλ</t>
  </si>
  <si>
    <t>Price to Cash (P/CF) Ratio is a stock valuation indicator or multiple that measures the value of a stock’s price relative to its operating cash flow per share</t>
  </si>
  <si>
    <t>BVPSλ</t>
  </si>
  <si>
    <t>Book value per share ratio is an indicator of the value of a company’s stock</t>
  </si>
  <si>
    <t>CAPERatioλ</t>
  </si>
  <si>
    <t>Measure that uses real earnings per share (EPS) over a 10-year period to smooth out fluctuations in corporate profits that occur over different periods of a business cycle (aka Shiller PE Ratio)</t>
  </si>
  <si>
    <t>DividendPayoutRatioλ</t>
  </si>
  <si>
    <t>Dividend Payout Ratio is the percentage of earnings paid to shareholders via dividends</t>
  </si>
  <si>
    <t>DividendYieldRatioλ</t>
  </si>
  <si>
    <t>Dividend yield ratio shows how much a company pays out in dividends</t>
  </si>
  <si>
    <t>EPSλ</t>
  </si>
  <si>
    <t>Earnings per share measures profitability indicating how much profit each outstanding share of common stock has earned</t>
  </si>
  <si>
    <t>RetentionRatioλ</t>
  </si>
  <si>
    <t>Retention Ratio is the proportion of earnings kept back in the business as retained earnings</t>
  </si>
  <si>
    <t>*</t>
  </si>
  <si>
    <t>These are considered 'Key Ratios'</t>
  </si>
  <si>
    <t>This is a library of nabla functions for simplifying financial model development, especially models using dynamic arrays, and especially for Excel novices. It needs Excel with LAMBDA and dynamic arrays: Microsoft 365, or Excel 2024 and later. Where Excel 365 has since gained a native equivalent, the function's inline help says so on a SEE ALSO line (checked August 2026).</t>
  </si>
  <si>
    <t>PC</t>
  </si>
  <si>
    <t>Prime cost (ATO)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</si>
</sst>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quot;$&quot;#,##0_);[Red]\(&quot;$&quot;#,##0\)"/>
    <numFmt numFmtId="165" formatCode="&quot;$&quot;#,##0.00_);[Red]\(&quot;$&quot;#,##0.00\)"/>
    <numFmt numFmtId="166" formatCode="_(* #,##0_);_(* \(#,##0\);_(* &quot;-&quot;??_);_(@_)"/>
    <numFmt numFmtId="167" formatCode="#,##0.0%_);[Red]\(#,##0.0%\)"/>
    <numFmt numFmtId="168" formatCode="dd/mm/yyyy\ h:mm"/>
    <numFmt numFmtId="169" formatCode="d\-mmm\-yyyy"/>
    <numFmt numFmtId="170" formatCode="h:mm;@"/>
    <numFmt numFmtId="171" formatCode="dd/mm/yyyy"/>
    <numFmt numFmtId="172" formatCode="#,###;#,###;\-"/>
    <numFmt numFmtId="173" formatCode="#,###;[Red]\(#,###\);\-"/>
    <numFmt numFmtId="174" formatCode="#,##0.00%_);[Red]\(#,##0.00%\)"/>
    <numFmt numFmtId="175" formatCode="#,##0.00000_);[Red]\(#,##0.00000\)"/>
  </numFmts>
  <fonts count="64" x14ac:knownFonts="1">
    <font>
      <sz val="11"/>
      <color rgb="FF000000"/>
      <name val="Aptos"/>
      <family val="2"/>
      <scheme val="minor"/>
    </font>
    <font>
      <sz val="11"/>
      <color theme="1"/>
      <name val="Aptos"/>
      <family val="2"/>
      <scheme val="minor"/>
    </font>
    <font>
      <b/>
      <sz val="11"/>
      <color rgb="FFFA7D00"/>
      <name val="Aptos"/>
      <family val="2"/>
      <scheme val="minor"/>
    </font>
    <font>
      <b/>
      <sz val="11"/>
      <color theme="1"/>
      <name val="Aptos"/>
      <family val="2"/>
      <scheme val="minor"/>
    </font>
    <font>
      <b/>
      <sz val="11"/>
      <color rgb="FF2E4950"/>
      <name val="Aptos"/>
      <family val="2"/>
      <scheme val="minor"/>
    </font>
    <font>
      <b/>
      <sz val="16"/>
      <color rgb="FF000000"/>
      <name val="Aptos"/>
      <family val="2"/>
      <scheme val="minor"/>
    </font>
    <font>
      <sz val="11"/>
      <color rgb="FF0000C0"/>
      <name val="Aptos"/>
      <family val="2"/>
      <scheme val="minor"/>
    </font>
    <font>
      <sz val="11"/>
      <color rgb="FF00C000"/>
      <name val="Aptos"/>
      <family val="2"/>
      <scheme val="minor"/>
    </font>
    <font>
      <sz val="11"/>
      <color rgb="FFC00000"/>
      <name val="Aptos"/>
      <family val="2"/>
      <scheme val="minor"/>
    </font>
    <font>
      <sz val="11"/>
      <color rgb="FF006600"/>
      <name val="Aptos"/>
      <family val="3"/>
      <scheme val="minor"/>
    </font>
    <font>
      <sz val="11"/>
      <color rgb="FFC00000"/>
      <name val="Aptos"/>
      <family val="3"/>
      <scheme val="minor"/>
    </font>
    <font>
      <sz val="11"/>
      <color rgb="FF800000"/>
      <name val="Aptos"/>
      <family val="3"/>
      <scheme val="minor"/>
    </font>
    <font>
      <i/>
      <sz val="11"/>
      <color theme="1" tint="0.499984740745262"/>
      <name val="Aptos"/>
      <family val="2"/>
      <scheme val="minor"/>
    </font>
    <font>
      <u/>
      <sz val="11"/>
      <color rgb="FF0000FF"/>
      <name val="Aptos"/>
      <family val="3"/>
      <scheme val="minor"/>
    </font>
    <font>
      <b/>
      <sz val="11"/>
      <color rgb="FFC00000"/>
      <name val="Aptos"/>
      <family val="2"/>
      <scheme val="minor"/>
    </font>
    <font>
      <sz val="9"/>
      <color theme="1"/>
      <name val="Consolas"/>
      <family val="3"/>
    </font>
    <font>
      <sz val="11"/>
      <color theme="0"/>
      <name val="Aptos"/>
      <family val="3"/>
      <scheme val="minor"/>
    </font>
    <font>
      <b/>
      <sz val="36"/>
      <color theme="4"/>
      <name val="Roboto Condensed"/>
    </font>
    <font>
      <b/>
      <sz val="20"/>
      <color theme="4"/>
      <name val="Roboto Condensed"/>
    </font>
    <font>
      <b/>
      <sz val="16"/>
      <color theme="4"/>
      <name val="Roboto Condensed"/>
    </font>
    <font>
      <b/>
      <i/>
      <u/>
      <sz val="12"/>
      <color theme="4"/>
      <name val="Roboto Condensed"/>
    </font>
    <font>
      <b/>
      <sz val="11"/>
      <color rgb="FF000000"/>
      <name val="Aptos"/>
      <family val="2"/>
      <scheme val="minor"/>
    </font>
    <font>
      <sz val="11"/>
      <color rgb="FF000000"/>
      <name val="Aptos"/>
      <family val="2"/>
    </font>
    <font>
      <b/>
      <sz val="11"/>
      <name val="Aptos"/>
      <family val="2"/>
      <scheme val="minor"/>
    </font>
    <font>
      <sz val="11"/>
      <name val="Aptos"/>
      <family val="2"/>
    </font>
    <font>
      <sz val="11"/>
      <color rgb="FF000000"/>
      <name val="Aptos"/>
      <family val="2"/>
      <scheme val="minor"/>
    </font>
    <font>
      <sz val="11"/>
      <name val="Aptos"/>
      <family val="3"/>
      <scheme val="minor"/>
    </font>
    <font>
      <sz val="11"/>
      <color theme="0" tint="-0.14999847407452621"/>
      <name val="Aptos"/>
      <family val="3"/>
      <scheme val="minor"/>
    </font>
    <font>
      <sz val="11"/>
      <color theme="0" tint="-0.34998626667073579"/>
      <name val="Aptos"/>
      <family val="2"/>
      <scheme val="minor"/>
    </font>
    <font>
      <sz val="11"/>
      <color theme="0" tint="-0.34998626667073579"/>
      <name val="Aptos"/>
      <family val="3"/>
      <scheme val="minor"/>
    </font>
    <font>
      <sz val="11"/>
      <color rgb="FFFFFFFF"/>
      <name val="Aptos"/>
      <family val="2"/>
      <scheme val="minor"/>
    </font>
    <font>
      <b/>
      <sz val="11"/>
      <color theme="4"/>
      <name val="Roboto Condensed"/>
    </font>
    <font>
      <b/>
      <i/>
      <sz val="11"/>
      <color theme="4"/>
      <name val="Aptos"/>
      <family val="2"/>
      <scheme val="minor"/>
    </font>
    <font>
      <i/>
      <sz val="11"/>
      <color indexed="8"/>
      <name val="Aptos"/>
      <family val="2"/>
      <scheme val="minor"/>
    </font>
    <font>
      <b/>
      <sz val="11"/>
      <color theme="4"/>
      <name val="Aptos"/>
      <family val="2"/>
      <scheme val="minor"/>
    </font>
    <font>
      <b/>
      <i/>
      <sz val="11"/>
      <color indexed="8"/>
      <name val="Aptos"/>
      <family val="2"/>
      <scheme val="minor"/>
    </font>
    <font>
      <b/>
      <sz val="11"/>
      <color rgb="FF000000"/>
      <name val="Aptos"/>
      <family val="2"/>
    </font>
    <font>
      <sz val="11"/>
      <color rgb="FF006600"/>
      <name val="Aptos"/>
      <family val="2"/>
      <scheme val="minor"/>
    </font>
    <font>
      <sz val="11"/>
      <color rgb="FF800000"/>
      <name val="Aptos"/>
      <family val="2"/>
      <scheme val="minor"/>
    </font>
    <font>
      <i/>
      <sz val="11"/>
      <color rgb="FF808080"/>
      <name val="Aptos"/>
      <family val="2"/>
      <scheme val="minor"/>
    </font>
    <font>
      <u/>
      <sz val="11"/>
      <color rgb="FF0000FF"/>
      <name val="Aptos"/>
      <family val="2"/>
      <scheme val="minor"/>
    </font>
    <font>
      <b/>
      <sz val="36"/>
      <color rgb="FF3F656F"/>
      <name val="Roboto Condensed"/>
    </font>
    <font>
      <b/>
      <sz val="20"/>
      <color rgb="FF3F656F"/>
      <name val="Roboto Condensed"/>
    </font>
    <font>
      <b/>
      <sz val="16"/>
      <color rgb="FF3F656F"/>
      <name val="Roboto Condensed"/>
    </font>
    <font>
      <b/>
      <i/>
      <u/>
      <sz val="12"/>
      <color rgb="FF3F656F"/>
      <name val="Roboto Condensed"/>
    </font>
    <font>
      <u/>
      <sz val="11"/>
      <color theme="10"/>
      <name val="Aptos"/>
      <family val="2"/>
      <scheme val="minor"/>
    </font>
    <font>
      <u/>
      <sz val="11"/>
      <color theme="11"/>
      <name val="Aptos"/>
      <family val="2"/>
      <scheme val="minor"/>
    </font>
    <font>
      <sz val="10"/>
      <color rgb="FFFFFFFF"/>
      <name val="Aptos"/>
      <family val="2"/>
      <scheme val="minor"/>
    </font>
    <font>
      <b/>
      <sz val="11"/>
      <color rgb="FF2E4950"/>
      <name val="Aptos Narrow"/>
      <family val="2"/>
    </font>
    <font>
      <b/>
      <sz val="11"/>
      <color rgb="FF006600"/>
      <name val="Aptos"/>
      <family val="2"/>
      <scheme val="minor"/>
    </font>
    <font>
      <sz val="11"/>
      <color rgb="FF000000"/>
      <name val="Aptos"/>
      <family val="2"/>
      <scheme val="minor"/>
    </font>
    <font>
      <b/>
      <sz val="11"/>
      <color rgb="FF3F656F"/>
      <name val="Aptos"/>
      <family val="2"/>
      <scheme val="minor"/>
    </font>
    <font>
      <sz val="12"/>
      <color rgb="FF000000"/>
      <name val="Arial"/>
      <family val="2"/>
    </font>
    <font>
      <sz val="11"/>
      <color rgb="FF000000"/>
      <name val="Arial"/>
      <family val="2"/>
    </font>
    <font>
      <sz val="36"/>
      <color rgb="FF44546A"/>
      <name val="Arial"/>
      <family val="2"/>
    </font>
    <font>
      <b/>
      <sz val="12"/>
      <color rgb="FF000000"/>
      <name val="Arial"/>
      <family val="2"/>
    </font>
    <font>
      <b/>
      <sz val="36"/>
      <color rgb="FF3F656F"/>
      <name val="Bahnschrift SemiCondensed"/>
      <family val="2"/>
    </font>
    <font>
      <b/>
      <sz val="48"/>
      <color rgb="FF3F656F"/>
      <name val="Bahnschrift SemiCondensed"/>
      <family val="2"/>
    </font>
    <font>
      <i/>
      <sz val="11"/>
      <color rgb="FF808080"/>
      <name val="Bahnschrift SemiCondensed"/>
      <family val="2"/>
    </font>
    <font>
      <sz val="12"/>
      <color rgb="FF000000"/>
      <name val="Bahnschrift SemiCondensed"/>
      <family val="2"/>
    </font>
    <font>
      <sz val="11"/>
      <color rgb="FF000000"/>
      <name val="Bahnschrift SemiCondensed"/>
      <family val="2"/>
    </font>
    <font>
      <b/>
      <sz val="11"/>
      <color rgb="FF000000"/>
      <name val="Bahnschrift SemiCondensed"/>
      <family val="2"/>
    </font>
    <font>
      <sz val="11"/>
      <name val="Aptos"/>
      <family val="2"/>
      <scheme val="minor"/>
    </font>
    <font>
      <sz val="11"/>
      <color rgb="FF000000"/>
      <name val="Aptos"/>
      <family val="2"/>
      <scheme val="minor"/>
    </font>
  </fonts>
  <fills count="48">
    <fill>
      <patternFill patternType="none"/>
    </fill>
    <fill>
      <patternFill patternType="gray125"/>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indexed="65"/>
        <bgColor rgb="FF000000"/>
      </patternFill>
    </fill>
    <fill>
      <patternFill patternType="solid">
        <fgColor theme="0"/>
        <bgColor rgb="FF000000"/>
      </patternFill>
    </fill>
    <fill>
      <patternFill patternType="solid">
        <fgColor rgb="FFF8F8F8"/>
        <bgColor indexed="64"/>
      </patternFill>
    </fill>
    <fill>
      <patternFill patternType="solid">
        <fgColor theme="0" tint="-4.9989318521683403E-2"/>
        <bgColor rgb="FF000000"/>
      </patternFill>
    </fill>
    <fill>
      <patternFill patternType="solid">
        <fgColor rgb="FFCCFFCC"/>
        <bgColor rgb="FF000000"/>
      </patternFill>
    </fill>
    <fill>
      <patternFill patternType="solid">
        <fgColor rgb="FFFFCCCC"/>
        <bgColor rgb="FF000000"/>
      </patternFill>
    </fill>
    <fill>
      <patternFill patternType="solid">
        <fgColor rgb="FFFFFFCC"/>
        <bgColor rgb="FF000000"/>
      </patternFill>
    </fill>
    <fill>
      <patternFill patternType="solid">
        <fgColor theme="9" tint="0.79998168889431442"/>
        <bgColor theme="9" tint="0.79998168889431442"/>
      </patternFill>
    </fill>
    <fill>
      <patternFill patternType="solid">
        <fgColor theme="0"/>
        <bgColor indexed="64"/>
      </patternFill>
    </fill>
    <fill>
      <patternFill patternType="solid">
        <fgColor theme="5"/>
        <bgColor rgb="FF000000"/>
      </patternFill>
    </fill>
    <fill>
      <patternFill patternType="solid">
        <fgColor theme="6"/>
        <bgColor rgb="FF000000"/>
      </patternFill>
    </fill>
    <fill>
      <patternFill patternType="solid">
        <fgColor rgb="FFEFF5F7"/>
        <bgColor indexed="64"/>
      </patternFill>
    </fill>
    <fill>
      <gradientFill>
        <stop position="0">
          <color theme="0"/>
        </stop>
        <stop position="1">
          <color rgb="FFE0F0F0"/>
        </stop>
      </gradientFill>
    </fill>
    <fill>
      <patternFill patternType="solid">
        <fgColor theme="0" tint="-4.9989318521683403E-2"/>
        <bgColor indexed="64"/>
      </patternFill>
    </fill>
    <fill>
      <patternFill patternType="solid">
        <fgColor rgb="FFF8F8F8"/>
        <bgColor rgb="FF000000"/>
      </patternFill>
    </fill>
    <fill>
      <patternFill patternType="solid">
        <fgColor indexed="9"/>
        <bgColor rgb="FF000000"/>
      </patternFill>
    </fill>
    <fill>
      <patternFill patternType="solid">
        <fgColor indexed="42"/>
        <bgColor rgb="FF000000"/>
      </patternFill>
    </fill>
    <fill>
      <patternFill patternType="solid">
        <fgColor indexed="26"/>
        <bgColor rgb="FF000000"/>
      </patternFill>
    </fill>
    <fill>
      <patternFill patternType="solid">
        <fgColor rgb="FFD9E0E2"/>
      </patternFill>
    </fill>
    <fill>
      <patternFill patternType="solid">
        <fgColor rgb="FFE0ECEF"/>
      </patternFill>
    </fill>
    <fill>
      <patternFill patternType="solid">
        <fgColor rgb="FFEFF6F8"/>
      </patternFill>
    </fill>
    <fill>
      <patternFill patternType="solid">
        <fgColor rgb="FFE9DDD8"/>
      </patternFill>
    </fill>
    <fill>
      <patternFill patternType="solid">
        <fgColor rgb="FFF7E7E1"/>
      </patternFill>
    </fill>
    <fill>
      <patternFill patternType="solid">
        <fgColor rgb="FFFCF2EE"/>
      </patternFill>
    </fill>
    <fill>
      <patternFill patternType="solid">
        <fgColor rgb="FFB2C1C5"/>
      </patternFill>
    </fill>
    <fill>
      <patternFill patternType="solid">
        <fgColor rgb="FFC2D9DF"/>
      </patternFill>
    </fill>
    <fill>
      <patternFill patternType="solid">
        <fgColor rgb="FFE0EDF0"/>
      </patternFill>
    </fill>
    <fill>
      <patternFill patternType="solid">
        <fgColor rgb="FFD3BBB2"/>
      </patternFill>
    </fill>
    <fill>
      <patternFill patternType="solid">
        <fgColor rgb="FFEFCFC4"/>
      </patternFill>
    </fill>
    <fill>
      <patternFill patternType="solid">
        <fgColor rgb="FFF9E5DD"/>
      </patternFill>
    </fill>
    <fill>
      <patternFill patternType="solid">
        <fgColor rgb="FF8CA3A9"/>
      </patternFill>
    </fill>
    <fill>
      <patternFill patternType="solid">
        <fgColor rgb="FFA3C7CF"/>
      </patternFill>
    </fill>
    <fill>
      <patternFill patternType="solid">
        <fgColor rgb="FFD0E4E9"/>
      </patternFill>
    </fill>
    <fill>
      <patternFill patternType="solid">
        <fgColor rgb="FFBE9A8B"/>
      </patternFill>
    </fill>
    <fill>
      <patternFill patternType="solid">
        <fgColor rgb="FFE7B7A6"/>
      </patternFill>
    </fill>
    <fill>
      <patternFill patternType="solid">
        <fgColor rgb="FFF5D8CD"/>
      </patternFill>
    </fill>
    <fill>
      <patternFill patternType="solid">
        <fgColor theme="4"/>
        <bgColor rgb="FF000000"/>
      </patternFill>
    </fill>
    <fill>
      <patternFill patternType="solid">
        <fgColor rgb="FFEFF6F8"/>
        <bgColor rgb="FF000000"/>
      </patternFill>
    </fill>
    <fill>
      <patternFill patternType="solid">
        <fgColor rgb="FFFCF2EE"/>
        <bgColor rgb="FF000000"/>
      </patternFill>
    </fill>
    <fill>
      <patternFill patternType="solid">
        <fgColor rgb="FFEFF5F7"/>
        <bgColor rgb="FF000000"/>
      </patternFill>
    </fill>
  </fills>
  <borders count="4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theme="0"/>
      </top>
      <bottom style="thin">
        <color indexed="64"/>
      </bottom>
      <diagonal/>
    </border>
    <border>
      <left/>
      <right/>
      <top style="thin">
        <color theme="0"/>
      </top>
      <bottom/>
      <diagonal/>
    </border>
    <border>
      <left/>
      <right/>
      <top style="thin">
        <color indexed="64"/>
      </top>
      <bottom/>
      <diagonal/>
    </border>
    <border>
      <left/>
      <right/>
      <top/>
      <bottom style="thin">
        <color theme="0"/>
      </bottom>
      <diagonal/>
    </border>
    <border>
      <left/>
      <right/>
      <top style="thin">
        <color indexed="64"/>
      </top>
      <bottom style="double">
        <color indexed="64"/>
      </bottom>
      <diagonal/>
    </border>
    <border>
      <left/>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top/>
      <bottom style="thin">
        <color theme="0"/>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indexed="64"/>
      </left>
      <right/>
      <top/>
      <bottom/>
      <diagonal/>
    </border>
    <border>
      <left style="thin">
        <color theme="0"/>
      </left>
      <right style="thin">
        <color theme="0"/>
      </right>
      <top style="thin">
        <color indexed="64"/>
      </top>
      <bottom style="double">
        <color indexed="64"/>
      </bottom>
      <diagonal/>
    </border>
    <border>
      <left style="thin">
        <color rgb="FFFFFFFF"/>
      </left>
      <right style="thin">
        <color rgb="FFFFFFFF"/>
      </right>
      <top style="thin">
        <color theme="0"/>
      </top>
      <bottom style="thin">
        <color indexed="64"/>
      </bottom>
      <diagonal/>
    </border>
    <border>
      <left style="thin">
        <color rgb="FFFFFFFF"/>
      </left>
      <right style="thin">
        <color rgb="FFFFFFFF"/>
      </right>
      <top style="thin">
        <color indexed="64"/>
      </top>
      <bottom style="double">
        <color indexed="64"/>
      </bottom>
      <diagonal/>
    </border>
    <border>
      <left style="thin">
        <color rgb="FFFFFFFF"/>
      </left>
      <right style="thin">
        <color rgb="FFFFFFFF"/>
      </right>
      <top/>
      <bottom style="thin">
        <color indexed="64"/>
      </bottom>
      <diagonal/>
    </border>
    <border>
      <left style="thin">
        <color rgb="FFFFFFFF"/>
      </left>
      <right style="thin">
        <color rgb="FFFFFFFF"/>
      </right>
      <top style="thin">
        <color indexed="64"/>
      </top>
      <bottom/>
      <diagonal/>
    </border>
    <border>
      <left style="thin">
        <color theme="0"/>
      </left>
      <right/>
      <top style="thin">
        <color indexed="64"/>
      </top>
      <bottom style="double">
        <color indexed="64"/>
      </bottom>
      <diagonal/>
    </border>
    <border>
      <left/>
      <right/>
      <top style="thin">
        <color rgb="FF000000"/>
      </top>
      <bottom/>
      <diagonal/>
    </border>
    <border>
      <left/>
      <right/>
      <top style="thin">
        <color rgb="FFFFFFFF"/>
      </top>
      <bottom style="thin">
        <color rgb="FF000000"/>
      </bottom>
      <diagonal/>
    </border>
    <border>
      <left/>
      <right/>
      <top style="thin">
        <color rgb="FF000000"/>
      </top>
      <bottom style="double">
        <color rgb="FF000000"/>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top/>
      <bottom style="thin">
        <color rgb="FFFFFFFF"/>
      </bottom>
      <diagonal/>
    </border>
    <border>
      <left/>
      <right/>
      <top/>
      <bottom style="thin">
        <color rgb="FF000000"/>
      </bottom>
      <diagonal/>
    </border>
    <border>
      <left style="thin">
        <color rgb="FFFFFFFF"/>
      </left>
      <right style="thin">
        <color rgb="FFFFFFFF"/>
      </right>
      <top style="thin">
        <color rgb="FFFFFFFF"/>
      </top>
      <bottom style="thin">
        <color indexed="64"/>
      </bottom>
      <diagonal/>
    </border>
    <border>
      <left/>
      <right/>
      <top style="thin">
        <color rgb="FFFFFFFF"/>
      </top>
      <bottom/>
      <diagonal/>
    </border>
    <border>
      <left/>
      <right/>
      <top style="thin">
        <color rgb="FFFFFFFF"/>
      </top>
      <bottom style="thin">
        <color rgb="FFFFFFFF"/>
      </bottom>
      <diagonal/>
    </border>
    <border>
      <left style="thin">
        <color rgb="FFFFFFFF"/>
      </left>
      <right/>
      <top/>
      <bottom/>
      <diagonal/>
    </border>
    <border>
      <left style="thin">
        <color rgb="FFFFFFFF"/>
      </left>
      <right style="thin">
        <color rgb="FFFFFFFF"/>
      </right>
      <top style="thin">
        <color rgb="FFFFFFFF"/>
      </top>
      <bottom/>
      <diagonal/>
    </border>
    <border>
      <left style="thin">
        <color rgb="FFFFFFFF"/>
      </left>
      <right style="thin">
        <color rgb="FFFFFFFF"/>
      </right>
      <top style="thin">
        <color indexed="64"/>
      </top>
      <bottom style="thin">
        <color rgb="FFFFFFFF"/>
      </bottom>
      <diagonal/>
    </border>
    <border>
      <left/>
      <right/>
      <top/>
      <bottom style="thin">
        <color rgb="FFFFFFFF"/>
      </bottom>
      <diagonal/>
    </border>
  </borders>
  <cellStyleXfs count="59">
    <xf numFmtId="173" fontId="0" fillId="23" borderId="0" applyBorder="0" applyAlignment="0"/>
    <xf numFmtId="40" fontId="1" fillId="0" borderId="0" applyFont="0" applyFill="0" applyBorder="0" applyProtection="0">
      <alignment horizontal="right" vertical="top"/>
    </xf>
    <xf numFmtId="38" fontId="1" fillId="0" borderId="0" applyFont="0" applyFill="0" applyBorder="0" applyProtection="0">
      <alignment horizontal="right" vertical="top"/>
    </xf>
    <xf numFmtId="165" fontId="1" fillId="0" borderId="0" applyFont="0" applyFill="0" applyBorder="0" applyProtection="0">
      <alignment horizontal="right" vertical="top"/>
    </xf>
    <xf numFmtId="164" fontId="1" fillId="0" borderId="0" applyFont="0" applyFill="0" applyBorder="0" applyProtection="0">
      <alignment horizontal="right" vertical="top"/>
    </xf>
    <xf numFmtId="167" fontId="1" fillId="0" borderId="0" applyFont="0" applyFill="0" applyBorder="0" applyProtection="0">
      <alignment horizontal="right" vertical="top"/>
    </xf>
    <xf numFmtId="0" fontId="41" fillId="0" borderId="6" applyNumberFormat="0" applyFill="0" applyAlignment="0" applyProtection="0"/>
    <xf numFmtId="0" fontId="42" fillId="0" borderId="6" applyNumberFormat="0" applyFill="0" applyAlignment="0" applyProtection="0"/>
    <xf numFmtId="0" fontId="43" fillId="0" borderId="6" applyNumberFormat="0" applyFill="0" applyAlignment="0" applyProtection="0"/>
    <xf numFmtId="0" fontId="44" fillId="0" borderId="6" applyNumberFormat="0" applyFill="0" applyAlignment="0" applyProtection="0"/>
    <xf numFmtId="0" fontId="4" fillId="45" borderId="31" applyNumberFormat="0" applyAlignment="0" applyProtection="0"/>
    <xf numFmtId="0" fontId="37" fillId="24" borderId="6" applyNumberFormat="0" applyAlignment="0" applyProtection="0">
      <protection locked="0"/>
    </xf>
    <xf numFmtId="0" fontId="8" fillId="13" borderId="6" applyNumberFormat="0" applyAlignment="0" applyProtection="0">
      <protection locked="0"/>
    </xf>
    <xf numFmtId="0" fontId="38" fillId="25" borderId="6" applyNumberFormat="0" applyAlignment="0" applyProtection="0">
      <protection locked="0"/>
    </xf>
    <xf numFmtId="0" fontId="25" fillId="11" borderId="6" applyNumberFormat="0" applyAlignment="0">
      <protection locked="0"/>
    </xf>
    <xf numFmtId="0" fontId="25" fillId="9" borderId="2" applyNumberFormat="0" applyBorder="0" applyAlignment="0" applyProtection="0"/>
    <xf numFmtId="40" fontId="2" fillId="23" borderId="1" applyFont="0" applyBorder="0" applyProtection="0">
      <alignment horizontal="right" vertical="top"/>
    </xf>
    <xf numFmtId="0" fontId="40" fillId="0" borderId="3" applyNumberFormat="0" applyFill="0" applyBorder="0" applyAlignment="0" applyProtection="0"/>
    <xf numFmtId="0" fontId="14" fillId="25" borderId="4" applyNumberFormat="0" applyBorder="0" applyAlignment="0" applyProtection="0"/>
    <xf numFmtId="0" fontId="8" fillId="0" borderId="6" applyNumberFormat="0" applyFill="0" applyAlignment="0" applyProtection="0"/>
    <xf numFmtId="0" fontId="25" fillId="25" borderId="5" applyNumberFormat="0" applyBorder="0" applyAlignment="0" applyProtection="0"/>
    <xf numFmtId="0" fontId="39" fillId="0" borderId="6" applyNumberFormat="0" applyFill="0" applyAlignment="0" applyProtection="0"/>
    <xf numFmtId="0" fontId="21" fillId="0" borderId="32" applyNumberFormat="0" applyFill="0" applyAlignment="0" applyProtection="0"/>
    <xf numFmtId="0" fontId="30" fillId="2" borderId="0" applyNumberFormat="0" applyBorder="0" applyAlignment="0"/>
    <xf numFmtId="0" fontId="25" fillId="26" borderId="0" applyNumberFormat="0" applyBorder="0" applyAlignment="0"/>
    <xf numFmtId="0" fontId="25" fillId="32" borderId="0" applyNumberFormat="0" applyBorder="0" applyAlignment="0"/>
    <xf numFmtId="0" fontId="25" fillId="38" borderId="0" applyNumberFormat="0" applyBorder="0" applyAlignment="0"/>
    <xf numFmtId="0" fontId="30" fillId="3" borderId="0" applyNumberFormat="0" applyBorder="0" applyAlignment="0"/>
    <xf numFmtId="0" fontId="25" fillId="27" borderId="0" applyNumberFormat="0" applyBorder="0" applyAlignment="0"/>
    <xf numFmtId="0" fontId="25" fillId="33" borderId="0" applyNumberFormat="0" applyBorder="0" applyAlignment="0"/>
    <xf numFmtId="0" fontId="25" fillId="39" borderId="0" applyNumberFormat="0" applyBorder="0" applyAlignment="0"/>
    <xf numFmtId="0" fontId="25" fillId="4" borderId="0" applyNumberFormat="0" applyBorder="0" applyAlignment="0"/>
    <xf numFmtId="0" fontId="25" fillId="28" borderId="0" applyNumberFormat="0" applyBorder="0" applyAlignment="0"/>
    <xf numFmtId="0" fontId="25" fillId="34" borderId="0" applyNumberFormat="0" applyBorder="0" applyAlignment="0"/>
    <xf numFmtId="0" fontId="25" fillId="40" borderId="0" applyNumberFormat="0" applyBorder="0" applyAlignment="0"/>
    <xf numFmtId="0" fontId="30" fillId="5" borderId="0" applyNumberFormat="0" applyBorder="0" applyAlignment="0"/>
    <xf numFmtId="0" fontId="25" fillId="29" borderId="0" applyNumberFormat="0" applyBorder="0" applyAlignment="0"/>
    <xf numFmtId="0" fontId="25" fillId="35" borderId="0" applyNumberFormat="0" applyBorder="0" applyAlignment="0"/>
    <xf numFmtId="0" fontId="25" fillId="41" borderId="0" applyNumberFormat="0" applyBorder="0" applyAlignment="0"/>
    <xf numFmtId="0" fontId="30" fillId="6" borderId="0" applyNumberFormat="0" applyBorder="0" applyAlignment="0"/>
    <xf numFmtId="0" fontId="25" fillId="30" borderId="0" applyNumberFormat="0" applyBorder="0" applyAlignment="0"/>
    <xf numFmtId="0" fontId="25" fillId="36" borderId="0" applyNumberFormat="0" applyBorder="0" applyAlignment="0"/>
    <xf numFmtId="0" fontId="25" fillId="42" borderId="0" applyNumberFormat="0" applyBorder="0" applyAlignment="0"/>
    <xf numFmtId="0" fontId="25" fillId="7" borderId="0" applyNumberFormat="0" applyBorder="0" applyAlignment="0"/>
    <xf numFmtId="0" fontId="25" fillId="31" borderId="0" applyNumberFormat="0" applyBorder="0" applyAlignment="0"/>
    <xf numFmtId="0" fontId="25" fillId="37" borderId="0" applyNumberFormat="0" applyBorder="0" applyAlignment="0"/>
    <xf numFmtId="0" fontId="25" fillId="43" borderId="0" applyNumberFormat="0" applyBorder="0" applyAlignment="0"/>
    <xf numFmtId="0" fontId="21" fillId="23" borderId="30" applyNumberFormat="0" applyFill="0" applyAlignment="0" applyProtection="0"/>
    <xf numFmtId="0" fontId="8" fillId="23" borderId="0" applyNumberFormat="0" applyFill="0" applyBorder="0" applyAlignment="0" applyProtection="0"/>
    <xf numFmtId="168" fontId="25" fillId="23" borderId="0" applyFont="0" applyFill="0" applyBorder="0" applyProtection="0">
      <alignment horizontal="right" vertical="top"/>
    </xf>
    <xf numFmtId="0" fontId="7" fillId="23" borderId="0" applyNumberFormat="0" applyFill="0" applyBorder="0" applyAlignment="0" applyProtection="0"/>
    <xf numFmtId="0" fontId="25" fillId="22" borderId="0" applyNumberFormat="0" applyAlignment="0" applyProtection="0"/>
    <xf numFmtId="16" fontId="25" fillId="23" borderId="0" applyFont="0" applyFill="0" applyBorder="0" applyProtection="0">
      <alignment horizontal="right" vertical="top"/>
    </xf>
    <xf numFmtId="0" fontId="6" fillId="23" borderId="0" applyNumberFormat="0" applyFill="0" applyBorder="0" applyAlignment="0" applyProtection="0"/>
    <xf numFmtId="169" fontId="25" fillId="23" borderId="0" applyFont="0" applyFill="0" applyBorder="0" applyProtection="0">
      <alignment horizontal="right" vertical="top"/>
    </xf>
    <xf numFmtId="0" fontId="45" fillId="23" borderId="0" applyNumberFormat="0" applyFill="0" applyBorder="0" applyAlignment="0"/>
    <xf numFmtId="0" fontId="46" fillId="23" borderId="0" applyNumberFormat="0" applyFill="0" applyBorder="0" applyAlignment="0"/>
    <xf numFmtId="170" fontId="25" fillId="23" borderId="0" applyFont="0" applyFill="0" applyBorder="0" applyProtection="0">
      <alignment horizontal="right" vertical="top"/>
    </xf>
    <xf numFmtId="46" fontId="25" fillId="23" borderId="0" applyFont="0" applyFill="0" applyBorder="0" applyProtection="0">
      <alignment horizontal="right" vertical="top"/>
    </xf>
  </cellStyleXfs>
  <cellXfs count="319">
    <xf numFmtId="173" fontId="0" fillId="23" borderId="0" xfId="0"/>
    <xf numFmtId="169" fontId="4" fillId="45" borderId="31" xfId="10" applyNumberFormat="1" applyAlignment="1">
      <alignment horizontal="right" vertical="top"/>
    </xf>
    <xf numFmtId="173" fontId="21" fillId="23" borderId="0" xfId="0" applyFont="1"/>
    <xf numFmtId="173" fontId="0" fillId="23" borderId="0" xfId="0" applyAlignment="1">
      <alignment vertical="top"/>
    </xf>
    <xf numFmtId="173" fontId="4" fillId="23" borderId="7" xfId="0" applyFont="1" applyBorder="1" applyAlignment="1">
      <alignment horizontal="right" textRotation="90"/>
    </xf>
    <xf numFmtId="173" fontId="4" fillId="23" borderId="7" xfId="0" applyFont="1" applyBorder="1" applyAlignment="1">
      <alignment horizontal="left" textRotation="90"/>
    </xf>
    <xf numFmtId="0" fontId="25" fillId="31" borderId="0" xfId="44" applyAlignment="1">
      <alignment vertical="top"/>
    </xf>
    <xf numFmtId="0" fontId="25" fillId="31" borderId="0" xfId="44" applyAlignment="1">
      <alignment horizontal="left" vertical="top"/>
    </xf>
    <xf numFmtId="0" fontId="25" fillId="31" borderId="8" xfId="44" applyBorder="1" applyAlignment="1">
      <alignment horizontal="left" vertical="top"/>
    </xf>
    <xf numFmtId="173" fontId="0" fillId="23" borderId="0" xfId="0" applyAlignment="1">
      <alignment horizontal="left" vertical="top"/>
    </xf>
    <xf numFmtId="173" fontId="0" fillId="23" borderId="0" xfId="0" applyAlignment="1">
      <alignment horizontal="center" vertical="top"/>
    </xf>
    <xf numFmtId="166" fontId="0" fillId="23" borderId="0" xfId="0" applyNumberFormat="1" applyAlignment="1">
      <alignment horizontal="left" vertical="top"/>
    </xf>
    <xf numFmtId="166" fontId="5" fillId="23" borderId="0" xfId="0" applyNumberFormat="1" applyFont="1" applyAlignment="1">
      <alignment horizontal="left" vertical="top"/>
    </xf>
    <xf numFmtId="0" fontId="25" fillId="10" borderId="0" xfId="36" applyFill="1" applyAlignment="1">
      <alignment horizontal="left" vertical="top"/>
    </xf>
    <xf numFmtId="0" fontId="25" fillId="31" borderId="9" xfId="44" applyBorder="1" applyAlignment="1">
      <alignment horizontal="left" vertical="top"/>
    </xf>
    <xf numFmtId="173" fontId="0" fillId="11" borderId="9" xfId="0" applyFill="1" applyBorder="1" applyAlignment="1">
      <alignment horizontal="left" vertical="top"/>
    </xf>
    <xf numFmtId="173" fontId="0" fillId="23" borderId="0" xfId="0" applyAlignment="1">
      <alignment horizontal="left" vertical="top" wrapText="1"/>
    </xf>
    <xf numFmtId="173" fontId="6" fillId="23" borderId="0" xfId="0" applyFont="1" applyAlignment="1">
      <alignment horizontal="left" vertical="top"/>
    </xf>
    <xf numFmtId="173" fontId="7" fillId="23" borderId="0" xfId="0" applyFont="1" applyAlignment="1">
      <alignment horizontal="left" vertical="top"/>
    </xf>
    <xf numFmtId="173" fontId="8" fillId="23" borderId="0" xfId="0" applyFont="1" applyAlignment="1">
      <alignment horizontal="left" vertical="top"/>
    </xf>
    <xf numFmtId="173" fontId="9" fillId="12" borderId="9" xfId="0" applyFont="1" applyFill="1" applyBorder="1" applyAlignment="1">
      <alignment horizontal="left" vertical="top"/>
    </xf>
    <xf numFmtId="173" fontId="10" fillId="13" borderId="9" xfId="0" applyFont="1" applyFill="1" applyBorder="1" applyAlignment="1">
      <alignment horizontal="left" vertical="top"/>
    </xf>
    <xf numFmtId="173" fontId="11" fillId="14" borderId="9" xfId="0" applyFont="1" applyFill="1" applyBorder="1" applyAlignment="1">
      <alignment horizontal="left" vertical="top"/>
    </xf>
    <xf numFmtId="173" fontId="10" fillId="9" borderId="9" xfId="0" applyFont="1" applyFill="1" applyBorder="1" applyAlignment="1">
      <alignment horizontal="left" vertical="top"/>
    </xf>
    <xf numFmtId="173" fontId="12" fillId="9" borderId="9" xfId="0" applyFont="1" applyFill="1" applyBorder="1" applyAlignment="1">
      <alignment horizontal="left" vertical="top"/>
    </xf>
    <xf numFmtId="173" fontId="13" fillId="23" borderId="9" xfId="0" applyFont="1" applyBorder="1" applyAlignment="1">
      <alignment horizontal="left" vertical="top"/>
    </xf>
    <xf numFmtId="173" fontId="0" fillId="14" borderId="9" xfId="0" applyFill="1" applyBorder="1" applyAlignment="1">
      <alignment horizontal="left" vertical="top"/>
    </xf>
    <xf numFmtId="173" fontId="0" fillId="9" borderId="9" xfId="0" applyFill="1" applyBorder="1" applyAlignment="1">
      <alignment horizontal="left" vertical="top"/>
    </xf>
    <xf numFmtId="173" fontId="14" fillId="14" borderId="9" xfId="0" applyFont="1" applyFill="1" applyBorder="1" applyAlignment="1">
      <alignment horizontal="left" vertical="top"/>
    </xf>
    <xf numFmtId="173" fontId="15" fillId="15" borderId="0" xfId="0" applyFont="1" applyFill="1" applyAlignment="1">
      <alignment horizontal="left" vertical="top"/>
    </xf>
    <xf numFmtId="0" fontId="25" fillId="16" borderId="0" xfId="32" applyFill="1" applyAlignment="1">
      <alignment horizontal="left" vertical="top"/>
    </xf>
    <xf numFmtId="173" fontId="16" fillId="17" borderId="0" xfId="0" applyFont="1" applyFill="1" applyAlignment="1">
      <alignment horizontal="left" vertical="top"/>
    </xf>
    <xf numFmtId="173" fontId="0" fillId="18" borderId="0" xfId="0" applyFill="1" applyAlignment="1">
      <alignment horizontal="left" vertical="top"/>
    </xf>
    <xf numFmtId="173" fontId="17" fillId="23" borderId="9" xfId="0" applyFont="1" applyBorder="1" applyAlignment="1">
      <alignment horizontal="left" vertical="top"/>
    </xf>
    <xf numFmtId="173" fontId="18" fillId="23" borderId="9" xfId="0" applyFont="1" applyBorder="1" applyAlignment="1">
      <alignment horizontal="left" vertical="top"/>
    </xf>
    <xf numFmtId="173" fontId="19" fillId="23" borderId="9" xfId="0" applyFont="1" applyBorder="1" applyAlignment="1">
      <alignment horizontal="left" vertical="top"/>
    </xf>
    <xf numFmtId="173" fontId="20" fillId="23" borderId="9" xfId="0" applyFont="1" applyBorder="1" applyAlignment="1">
      <alignment horizontal="left" vertical="top"/>
    </xf>
    <xf numFmtId="0" fontId="4" fillId="28" borderId="10" xfId="32" applyFont="1" applyBorder="1" applyAlignment="1">
      <alignment horizontal="left" vertical="top"/>
    </xf>
    <xf numFmtId="40" fontId="0" fillId="23" borderId="9" xfId="0" applyNumberFormat="1" applyBorder="1" applyAlignment="1">
      <alignment horizontal="right" vertical="top"/>
    </xf>
    <xf numFmtId="40" fontId="0" fillId="23" borderId="0" xfId="0" applyNumberFormat="1" applyAlignment="1">
      <alignment horizontal="right" vertical="top"/>
    </xf>
    <xf numFmtId="38" fontId="0" fillId="23" borderId="11" xfId="0" applyNumberFormat="1" applyBorder="1" applyAlignment="1">
      <alignment horizontal="right" vertical="top"/>
    </xf>
    <xf numFmtId="40" fontId="21" fillId="23" borderId="12" xfId="0" applyNumberFormat="1" applyFont="1" applyBorder="1" applyAlignment="1">
      <alignment horizontal="right" vertical="top"/>
    </xf>
    <xf numFmtId="165" fontId="0" fillId="23" borderId="13" xfId="0" applyNumberFormat="1" applyBorder="1" applyAlignment="1">
      <alignment horizontal="right" vertical="top"/>
    </xf>
    <xf numFmtId="164" fontId="0" fillId="23" borderId="11" xfId="0" applyNumberFormat="1" applyBorder="1" applyAlignment="1">
      <alignment horizontal="right" vertical="top"/>
    </xf>
    <xf numFmtId="40" fontId="21" fillId="23" borderId="14" xfId="0" applyNumberFormat="1" applyFont="1" applyBorder="1" applyAlignment="1">
      <alignment horizontal="right" vertical="top"/>
    </xf>
    <xf numFmtId="167" fontId="0" fillId="23" borderId="15" xfId="0" applyNumberFormat="1" applyBorder="1" applyAlignment="1">
      <alignment horizontal="right" vertical="top"/>
    </xf>
    <xf numFmtId="168" fontId="0" fillId="23" borderId="15" xfId="0" applyNumberFormat="1" applyBorder="1" applyAlignment="1">
      <alignment horizontal="right" vertical="top"/>
    </xf>
    <xf numFmtId="169" fontId="0" fillId="23" borderId="11" xfId="0" applyNumberFormat="1" applyBorder="1" applyAlignment="1">
      <alignment horizontal="right" vertical="top"/>
    </xf>
    <xf numFmtId="16" fontId="0" fillId="23" borderId="16" xfId="0" applyNumberFormat="1" applyBorder="1" applyAlignment="1">
      <alignment horizontal="right" vertical="top"/>
    </xf>
    <xf numFmtId="170" fontId="0" fillId="23" borderId="0" xfId="0" applyNumberFormat="1" applyAlignment="1">
      <alignment horizontal="right" vertical="top"/>
    </xf>
    <xf numFmtId="46" fontId="0" fillId="23" borderId="9" xfId="0" applyNumberFormat="1" applyBorder="1" applyAlignment="1">
      <alignment horizontal="right" vertical="top"/>
    </xf>
    <xf numFmtId="173" fontId="0" fillId="23" borderId="6" xfId="0" applyBorder="1" applyAlignment="1">
      <alignment horizontal="left" vertical="top"/>
    </xf>
    <xf numFmtId="173" fontId="0" fillId="23" borderId="17" xfId="0" applyBorder="1" applyAlignment="1">
      <alignment horizontal="left" vertical="top"/>
    </xf>
    <xf numFmtId="173" fontId="0" fillId="23" borderId="18" xfId="0" applyBorder="1" applyAlignment="1">
      <alignment vertical="top"/>
    </xf>
    <xf numFmtId="0" fontId="22" fillId="16" borderId="9" xfId="24" applyFont="1" applyFill="1" applyBorder="1" applyAlignment="1">
      <alignment horizontal="left" vertical="top"/>
    </xf>
    <xf numFmtId="0" fontId="25" fillId="28" borderId="9" xfId="32" applyBorder="1" applyAlignment="1">
      <alignment horizontal="left" vertical="top"/>
    </xf>
    <xf numFmtId="173" fontId="23" fillId="9" borderId="9" xfId="0" applyFont="1" applyFill="1" applyBorder="1" applyAlignment="1">
      <alignment horizontal="left" vertical="top"/>
    </xf>
    <xf numFmtId="173" fontId="24" fillId="23" borderId="9" xfId="0" applyFont="1" applyBorder="1" applyAlignment="1">
      <alignment horizontal="left" vertical="top"/>
    </xf>
    <xf numFmtId="173" fontId="24" fillId="16" borderId="9" xfId="0" applyFont="1" applyFill="1" applyBorder="1" applyAlignment="1">
      <alignment horizontal="left" vertical="top"/>
    </xf>
    <xf numFmtId="0" fontId="25" fillId="30" borderId="9" xfId="40" applyBorder="1" applyAlignment="1">
      <alignment horizontal="left" vertical="top"/>
    </xf>
    <xf numFmtId="173" fontId="25" fillId="23" borderId="0" xfId="0" applyFont="1" applyAlignment="1">
      <alignment vertical="top"/>
    </xf>
    <xf numFmtId="0" fontId="25" fillId="26" borderId="9" xfId="24" applyBorder="1" applyAlignment="1">
      <alignment horizontal="left" vertical="top"/>
    </xf>
    <xf numFmtId="173" fontId="25" fillId="23" borderId="0" xfId="0" applyFont="1" applyAlignment="1">
      <alignment horizontal="center" vertical="top"/>
    </xf>
    <xf numFmtId="173" fontId="4" fillId="23" borderId="19" xfId="0" applyFont="1" applyBorder="1" applyAlignment="1">
      <alignment horizontal="left" vertical="top"/>
    </xf>
    <xf numFmtId="173" fontId="4" fillId="23" borderId="20" xfId="0" applyFont="1" applyBorder="1" applyAlignment="1">
      <alignment horizontal="left" vertical="top"/>
    </xf>
    <xf numFmtId="0" fontId="25" fillId="27" borderId="9" xfId="28" applyBorder="1" applyAlignment="1">
      <alignment horizontal="left" vertical="top"/>
    </xf>
    <xf numFmtId="173" fontId="26" fillId="9" borderId="9" xfId="0" applyFont="1" applyFill="1" applyBorder="1" applyAlignment="1">
      <alignment horizontal="left" vertical="top"/>
    </xf>
    <xf numFmtId="0" fontId="25" fillId="29" borderId="9" xfId="36" applyBorder="1" applyAlignment="1">
      <alignment horizontal="left" vertical="top"/>
    </xf>
    <xf numFmtId="173" fontId="0" fillId="23" borderId="6" xfId="0" applyBorder="1" applyAlignment="1">
      <alignment vertical="top"/>
    </xf>
    <xf numFmtId="173" fontId="0" fillId="23" borderId="21" xfId="0" applyBorder="1" applyAlignment="1">
      <alignment vertical="top"/>
    </xf>
    <xf numFmtId="173" fontId="0" fillId="23" borderId="22" xfId="0" applyBorder="1" applyAlignment="1">
      <alignment horizontal="center" vertical="top"/>
    </xf>
    <xf numFmtId="173" fontId="0" fillId="23" borderId="6" xfId="0" applyBorder="1" applyAlignment="1">
      <alignment horizontal="center" vertical="top"/>
    </xf>
    <xf numFmtId="173" fontId="4" fillId="23" borderId="9" xfId="0" applyFont="1" applyBorder="1" applyAlignment="1">
      <alignment horizontal="left" vertical="top"/>
    </xf>
    <xf numFmtId="173" fontId="4" fillId="23" borderId="23" xfId="0" applyFont="1" applyBorder="1" applyAlignment="1">
      <alignment horizontal="left" vertical="top"/>
    </xf>
    <xf numFmtId="173" fontId="0" fillId="23" borderId="20" xfId="0" applyBorder="1" applyAlignment="1">
      <alignment horizontal="left" vertical="top"/>
    </xf>
    <xf numFmtId="173" fontId="4" fillId="23" borderId="24" xfId="0" applyFont="1" applyBorder="1" applyAlignment="1">
      <alignment horizontal="left" vertical="top"/>
    </xf>
    <xf numFmtId="173" fontId="0" fillId="23" borderId="9" xfId="0" applyBorder="1" applyAlignment="1">
      <alignment horizontal="left" vertical="top"/>
    </xf>
    <xf numFmtId="0" fontId="25" fillId="28" borderId="0" xfId="32" applyAlignment="1">
      <alignment horizontal="left" vertical="top"/>
    </xf>
    <xf numFmtId="0" fontId="25" fillId="41" borderId="9" xfId="38" applyBorder="1" applyAlignment="1">
      <alignment horizontal="left" vertical="top"/>
    </xf>
    <xf numFmtId="0" fontId="30" fillId="5" borderId="0" xfId="35" applyAlignment="1">
      <alignment horizontal="left" vertical="top"/>
    </xf>
    <xf numFmtId="0" fontId="25" fillId="30" borderId="0" xfId="40" applyAlignment="1">
      <alignment horizontal="left" vertical="top"/>
    </xf>
    <xf numFmtId="0" fontId="25" fillId="36" borderId="9" xfId="41" applyBorder="1" applyAlignment="1">
      <alignment horizontal="left" vertical="top"/>
    </xf>
    <xf numFmtId="173" fontId="27" fillId="9" borderId="9" xfId="0" applyFont="1" applyFill="1" applyBorder="1" applyAlignment="1">
      <alignment horizontal="left" vertical="top"/>
    </xf>
    <xf numFmtId="173" fontId="28" fillId="23" borderId="9" xfId="0" applyFont="1" applyBorder="1" applyAlignment="1">
      <alignment horizontal="left" vertical="top"/>
    </xf>
    <xf numFmtId="173" fontId="29" fillId="9" borderId="9" xfId="0" applyFont="1" applyFill="1" applyBorder="1" applyAlignment="1">
      <alignment horizontal="left" vertical="top"/>
    </xf>
    <xf numFmtId="0" fontId="25" fillId="28" borderId="6" xfId="32" applyBorder="1" applyAlignment="1">
      <alignment horizontal="left" vertical="top"/>
    </xf>
    <xf numFmtId="0" fontId="25" fillId="33" borderId="6" xfId="29" applyBorder="1" applyAlignment="1">
      <alignment horizontal="left" vertical="top"/>
    </xf>
    <xf numFmtId="173" fontId="0" fillId="23" borderId="16" xfId="0" applyBorder="1" applyAlignment="1">
      <alignment horizontal="left" vertical="top"/>
    </xf>
    <xf numFmtId="0" fontId="31" fillId="19" borderId="25" xfId="27" applyFont="1" applyFill="1" applyBorder="1" applyAlignment="1">
      <alignment horizontal="left" vertical="top"/>
    </xf>
    <xf numFmtId="173" fontId="32" fillId="23" borderId="26" xfId="0" applyFont="1" applyBorder="1" applyAlignment="1">
      <alignment horizontal="left" vertical="top"/>
    </xf>
    <xf numFmtId="173" fontId="33" fillId="23" borderId="16" xfId="0" applyFont="1" applyBorder="1" applyAlignment="1">
      <alignment horizontal="left" vertical="top"/>
    </xf>
    <xf numFmtId="173" fontId="34" fillId="23" borderId="27" xfId="0" applyFont="1" applyBorder="1" applyAlignment="1">
      <alignment horizontal="left" vertical="top"/>
    </xf>
    <xf numFmtId="173" fontId="34" fillId="23" borderId="0" xfId="0" applyFont="1" applyAlignment="1">
      <alignment horizontal="left" vertical="top"/>
    </xf>
    <xf numFmtId="173" fontId="0" fillId="23" borderId="6" xfId="0" applyBorder="1" applyAlignment="1">
      <alignment horizontal="left" vertical="top" wrapText="1"/>
    </xf>
    <xf numFmtId="173" fontId="32" fillId="23" borderId="28" xfId="0" applyFont="1" applyBorder="1" applyAlignment="1">
      <alignment horizontal="left" vertical="top"/>
    </xf>
    <xf numFmtId="173" fontId="35" fillId="23" borderId="16" xfId="0" applyFont="1" applyBorder="1" applyAlignment="1">
      <alignment horizontal="left" vertical="top"/>
    </xf>
    <xf numFmtId="173" fontId="32" fillId="23" borderId="29" xfId="0" applyFont="1" applyBorder="1" applyAlignment="1">
      <alignment horizontal="left" vertical="top"/>
    </xf>
    <xf numFmtId="0" fontId="36" fillId="20" borderId="0" xfId="24" applyFont="1" applyFill="1" applyAlignment="1">
      <alignment horizontal="left" vertical="top"/>
    </xf>
    <xf numFmtId="0" fontId="30" fillId="3" borderId="0" xfId="27" applyAlignment="1">
      <alignment horizontal="left" vertical="top"/>
    </xf>
    <xf numFmtId="173" fontId="3" fillId="21" borderId="6" xfId="0" applyFont="1" applyFill="1" applyBorder="1" applyAlignment="1">
      <alignment horizontal="left" vertical="top"/>
    </xf>
    <xf numFmtId="0" fontId="30" fillId="5" borderId="16" xfId="35" applyBorder="1" applyAlignment="1">
      <alignment horizontal="left" vertical="top"/>
    </xf>
    <xf numFmtId="0" fontId="25" fillId="7" borderId="0" xfId="43" applyAlignment="1">
      <alignment horizontal="left" vertical="top"/>
    </xf>
    <xf numFmtId="173" fontId="4" fillId="23" borderId="7" xfId="0" applyFont="1" applyBorder="1" applyAlignment="1"/>
    <xf numFmtId="173" fontId="0" fillId="23" borderId="0" xfId="0" quotePrefix="1"/>
    <xf numFmtId="0" fontId="39" fillId="23" borderId="6" xfId="21" applyFill="1"/>
    <xf numFmtId="173" fontId="47" fillId="44" borderId="33" xfId="0" applyFont="1" applyFill="1" applyBorder="1" applyAlignment="1"/>
    <xf numFmtId="173" fontId="47" fillId="44" borderId="34" xfId="0" applyFont="1" applyFill="1" applyBorder="1" applyAlignment="1"/>
    <xf numFmtId="173" fontId="47" fillId="44" borderId="37" xfId="0" applyFont="1" applyFill="1" applyBorder="1" applyAlignment="1"/>
    <xf numFmtId="173" fontId="0" fillId="23" borderId="35" xfId="0" applyBorder="1" applyAlignment="1"/>
    <xf numFmtId="173" fontId="0" fillId="23" borderId="0" xfId="0" applyBorder="1" applyAlignment="1"/>
    <xf numFmtId="173" fontId="21" fillId="23" borderId="35" xfId="0" applyFont="1" applyBorder="1" applyAlignment="1"/>
    <xf numFmtId="173" fontId="0" fillId="23" borderId="36" xfId="0" quotePrefix="1" applyBorder="1" applyAlignment="1"/>
    <xf numFmtId="0" fontId="41" fillId="23" borderId="6" xfId="6" applyFill="1"/>
    <xf numFmtId="0" fontId="41" fillId="0" borderId="6" xfId="6"/>
    <xf numFmtId="173" fontId="0" fillId="23" borderId="0" xfId="0" applyAlignment="1">
      <alignment horizontal="right"/>
    </xf>
    <xf numFmtId="0" fontId="4" fillId="45" borderId="31" xfId="10"/>
    <xf numFmtId="0" fontId="4" fillId="45" borderId="31" xfId="10" applyAlignment="1">
      <alignment horizontal="right"/>
    </xf>
    <xf numFmtId="0" fontId="43" fillId="23" borderId="6" xfId="8" applyFill="1" applyAlignment="1">
      <alignment horizontal="left"/>
    </xf>
    <xf numFmtId="0" fontId="25" fillId="11" borderId="6" xfId="14" applyAlignment="1">
      <alignment horizontal="right"/>
      <protection locked="0"/>
    </xf>
    <xf numFmtId="169" fontId="25" fillId="11" borderId="6" xfId="54" applyFill="1" applyBorder="1" applyProtection="1">
      <alignment horizontal="right" vertical="top"/>
      <protection locked="0"/>
    </xf>
    <xf numFmtId="14" fontId="0" fillId="23" borderId="0" xfId="0" applyNumberFormat="1"/>
    <xf numFmtId="173" fontId="0" fillId="23" borderId="0" xfId="0" applyAlignment="1">
      <alignment horizontal="left" indent="1"/>
    </xf>
    <xf numFmtId="0" fontId="25" fillId="11" borderId="6" xfId="54" applyNumberFormat="1" applyFill="1" applyBorder="1" applyProtection="1">
      <alignment horizontal="right" vertical="top"/>
      <protection locked="0"/>
    </xf>
    <xf numFmtId="173" fontId="0" fillId="23" borderId="6" xfId="0" applyBorder="1" applyAlignment="1">
      <alignment horizontal="right"/>
    </xf>
    <xf numFmtId="0" fontId="25" fillId="11" borderId="6" xfId="14">
      <protection locked="0"/>
    </xf>
    <xf numFmtId="173" fontId="21" fillId="23" borderId="0" xfId="0" applyFont="1" applyAlignment="1">
      <alignment horizontal="right"/>
    </xf>
    <xf numFmtId="0" fontId="4" fillId="45" borderId="38" xfId="10" applyBorder="1" applyAlignment="1">
      <alignment horizontal="right"/>
    </xf>
    <xf numFmtId="0" fontId="21" fillId="28" borderId="0" xfId="32" applyFont="1" applyBorder="1" applyAlignment="1">
      <alignment horizontal="right"/>
    </xf>
    <xf numFmtId="169" fontId="21" fillId="28" borderId="0" xfId="54" applyFont="1" applyFill="1" applyBorder="1">
      <alignment horizontal="right" vertical="top"/>
    </xf>
    <xf numFmtId="169" fontId="4" fillId="45" borderId="38" xfId="54" applyFont="1" applyFill="1" applyBorder="1">
      <alignment horizontal="right" vertical="top"/>
    </xf>
    <xf numFmtId="0" fontId="37" fillId="24" borderId="6" xfId="11" applyNumberFormat="1" applyAlignment="1" applyProtection="1">
      <alignment horizontal="right" vertical="top"/>
    </xf>
    <xf numFmtId="0" fontId="37" fillId="24" borderId="6" xfId="11" applyProtection="1"/>
    <xf numFmtId="169" fontId="4" fillId="45" borderId="0" xfId="54" applyFont="1" applyFill="1" applyBorder="1">
      <alignment horizontal="right" vertical="top"/>
    </xf>
    <xf numFmtId="173" fontId="0" fillId="23" borderId="0" xfId="0" applyBorder="1" applyAlignment="1">
      <alignment horizontal="left" indent="1"/>
    </xf>
    <xf numFmtId="173" fontId="21" fillId="23" borderId="0" xfId="0" applyFont="1" applyBorder="1" applyAlignment="1">
      <alignment horizontal="left"/>
    </xf>
    <xf numFmtId="173" fontId="21" fillId="23" borderId="0" xfId="0" applyFont="1" applyBorder="1" applyAlignment="1">
      <alignment horizontal="right"/>
    </xf>
    <xf numFmtId="169" fontId="37" fillId="24" borderId="39" xfId="11" applyNumberFormat="1" applyBorder="1" applyAlignment="1" applyProtection="1">
      <alignment horizontal="right" vertical="top"/>
    </xf>
    <xf numFmtId="40" fontId="0" fillId="23" borderId="0" xfId="1" applyFont="1" applyFill="1" applyBorder="1">
      <alignment horizontal="right" vertical="top"/>
    </xf>
    <xf numFmtId="173" fontId="0" fillId="23" borderId="22" xfId="0" applyBorder="1" applyAlignment="1"/>
    <xf numFmtId="38" fontId="0" fillId="23" borderId="6" xfId="0" applyNumberFormat="1" applyBorder="1" applyAlignment="1">
      <alignment horizontal="right" vertical="top"/>
    </xf>
    <xf numFmtId="171" fontId="0" fillId="23" borderId="6" xfId="0" applyNumberFormat="1" applyBorder="1" applyAlignment="1">
      <alignment horizontal="right" vertical="top"/>
    </xf>
    <xf numFmtId="169" fontId="0" fillId="23" borderId="0" xfId="54" applyFont="1">
      <alignment horizontal="right" vertical="top"/>
    </xf>
    <xf numFmtId="172" fontId="37" fillId="24" borderId="6" xfId="11" applyNumberFormat="1" applyProtection="1"/>
    <xf numFmtId="38" fontId="0" fillId="23" borderId="0" xfId="0" applyNumberFormat="1" applyBorder="1" applyAlignment="1">
      <alignment horizontal="right" vertical="top"/>
    </xf>
    <xf numFmtId="171" fontId="0" fillId="23" borderId="0" xfId="0" applyNumberFormat="1" applyBorder="1" applyAlignment="1">
      <alignment horizontal="right" vertical="top"/>
    </xf>
    <xf numFmtId="172" fontId="4" fillId="45" borderId="31" xfId="10" applyNumberFormat="1" applyAlignment="1"/>
    <xf numFmtId="172" fontId="4" fillId="45" borderId="31" xfId="10" applyNumberFormat="1" applyAlignment="1">
      <alignment horizontal="right" wrapText="1"/>
    </xf>
    <xf numFmtId="172" fontId="4" fillId="45" borderId="31" xfId="10" applyNumberFormat="1" applyAlignment="1">
      <alignment horizontal="center"/>
    </xf>
    <xf numFmtId="40" fontId="0" fillId="23" borderId="0" xfId="1" applyFont="1" applyFill="1">
      <alignment horizontal="right" vertical="top"/>
    </xf>
    <xf numFmtId="172" fontId="4" fillId="45" borderId="31" xfId="10" applyNumberFormat="1"/>
    <xf numFmtId="172" fontId="21" fillId="28" borderId="0" xfId="32" applyNumberFormat="1" applyFont="1"/>
    <xf numFmtId="169" fontId="21" fillId="28" borderId="0" xfId="32" applyNumberFormat="1" applyFont="1" applyAlignment="1">
      <alignment horizontal="right" vertical="top"/>
    </xf>
    <xf numFmtId="0" fontId="39" fillId="23" borderId="40" xfId="21" applyFill="1" applyBorder="1" applyAlignment="1">
      <alignment horizontal="left"/>
    </xf>
    <xf numFmtId="0" fontId="43" fillId="23" borderId="41" xfId="8" applyFill="1" applyBorder="1" applyAlignment="1"/>
    <xf numFmtId="172" fontId="37" fillId="24" borderId="6" xfId="11" applyNumberFormat="1" applyAlignment="1" applyProtection="1">
      <alignment horizontal="right" vertical="top"/>
    </xf>
    <xf numFmtId="172" fontId="4" fillId="45" borderId="38" xfId="10" applyNumberFormat="1" applyBorder="1" applyAlignment="1">
      <alignment horizontal="right"/>
    </xf>
    <xf numFmtId="169" fontId="4" fillId="45" borderId="38" xfId="10" applyNumberFormat="1" applyBorder="1" applyAlignment="1">
      <alignment horizontal="right" vertical="top"/>
    </xf>
    <xf numFmtId="173" fontId="21" fillId="23" borderId="0" xfId="0" applyFont="1" applyBorder="1"/>
    <xf numFmtId="173" fontId="21" fillId="23" borderId="0" xfId="47" applyNumberFormat="1" applyBorder="1" applyAlignment="1">
      <alignment horizontal="right"/>
    </xf>
    <xf numFmtId="173" fontId="21" fillId="23" borderId="0" xfId="47" applyNumberFormat="1" applyBorder="1"/>
    <xf numFmtId="173" fontId="4" fillId="45" borderId="31" xfId="10" applyNumberFormat="1" applyAlignment="1">
      <alignment horizontal="right"/>
    </xf>
    <xf numFmtId="173" fontId="4" fillId="45" borderId="31" xfId="10" applyNumberFormat="1"/>
    <xf numFmtId="173" fontId="37" fillId="24" borderId="6" xfId="11" applyNumberFormat="1" applyProtection="1"/>
    <xf numFmtId="14" fontId="25" fillId="11" borderId="6" xfId="14" applyNumberFormat="1">
      <protection locked="0"/>
    </xf>
    <xf numFmtId="38" fontId="25" fillId="11" borderId="6" xfId="14" applyNumberFormat="1" applyAlignment="1">
      <alignment horizontal="right" vertical="top"/>
      <protection locked="0"/>
    </xf>
    <xf numFmtId="169" fontId="21" fillId="28" borderId="0" xfId="32" applyNumberFormat="1" applyFont="1" applyBorder="1" applyAlignment="1">
      <alignment horizontal="right" vertical="top"/>
    </xf>
    <xf numFmtId="172" fontId="4" fillId="45" borderId="31" xfId="10" applyNumberFormat="1" applyAlignment="1">
      <alignment horizontal="right"/>
    </xf>
    <xf numFmtId="173" fontId="21" fillId="23" borderId="30" xfId="47" applyNumberFormat="1"/>
    <xf numFmtId="0" fontId="0" fillId="23" borderId="0" xfId="0" applyNumberFormat="1"/>
    <xf numFmtId="0" fontId="25" fillId="23" borderId="0" xfId="0" applyNumberFormat="1" applyFont="1" applyAlignment="1">
      <alignment horizontal="right" vertical="top"/>
    </xf>
    <xf numFmtId="169" fontId="21" fillId="28" borderId="0" xfId="32" applyNumberFormat="1" applyFont="1" applyBorder="1" applyAlignment="1">
      <alignment horizontal="right"/>
    </xf>
    <xf numFmtId="173" fontId="21" fillId="23" borderId="32" xfId="22" applyNumberFormat="1" applyFill="1"/>
    <xf numFmtId="173" fontId="0" fillId="23" borderId="33" xfId="0" applyBorder="1"/>
    <xf numFmtId="173" fontId="0" fillId="23" borderId="34" xfId="0" applyBorder="1"/>
    <xf numFmtId="173" fontId="0" fillId="23" borderId="0" xfId="0" applyBorder="1"/>
    <xf numFmtId="0" fontId="4" fillId="45" borderId="0" xfId="10" applyBorder="1" applyAlignment="1">
      <alignment horizontal="left"/>
    </xf>
    <xf numFmtId="0" fontId="4" fillId="45" borderId="0" xfId="10" applyBorder="1"/>
    <xf numFmtId="38" fontId="0" fillId="23" borderId="35" xfId="0" applyNumberFormat="1" applyBorder="1" applyAlignment="1">
      <alignment horizontal="right" vertical="top"/>
    </xf>
    <xf numFmtId="38" fontId="0" fillId="23" borderId="43" xfId="0" applyNumberFormat="1" applyBorder="1" applyAlignment="1">
      <alignment horizontal="right" vertical="top"/>
    </xf>
    <xf numFmtId="10" fontId="0" fillId="23" borderId="43" xfId="0" applyNumberFormat="1" applyBorder="1"/>
    <xf numFmtId="173" fontId="0" fillId="23" borderId="43" xfId="0" applyBorder="1"/>
    <xf numFmtId="169" fontId="0" fillId="23" borderId="43" xfId="0" applyNumberFormat="1" applyBorder="1" applyAlignment="1">
      <alignment horizontal="right" vertical="top"/>
    </xf>
    <xf numFmtId="173" fontId="0" fillId="23" borderId="0" xfId="0" applyAlignment="1">
      <alignment horizontal="left"/>
    </xf>
    <xf numFmtId="40" fontId="0" fillId="23" borderId="0" xfId="1" applyFont="1" applyFill="1" applyAlignment="1">
      <alignment horizontal="left" vertical="top"/>
    </xf>
    <xf numFmtId="165" fontId="0" fillId="23" borderId="0" xfId="0" applyNumberFormat="1" applyAlignment="1">
      <alignment horizontal="left"/>
    </xf>
    <xf numFmtId="173" fontId="21" fillId="23" borderId="6" xfId="0" applyFont="1" applyBorder="1" applyAlignment="1">
      <alignment horizontal="left"/>
    </xf>
    <xf numFmtId="173" fontId="0" fillId="23" borderId="0" xfId="0" applyAlignment="1">
      <alignment horizontal="right" vertical="top"/>
    </xf>
    <xf numFmtId="173" fontId="37" fillId="24" borderId="6" xfId="11" applyNumberFormat="1" applyAlignment="1" applyProtection="1">
      <alignment horizontal="right" vertical="top"/>
    </xf>
    <xf numFmtId="173" fontId="0" fillId="23" borderId="34" xfId="0" applyBorder="1" applyAlignment="1">
      <alignment horizontal="right"/>
    </xf>
    <xf numFmtId="38" fontId="0" fillId="23" borderId="35" xfId="0" applyNumberFormat="1" applyBorder="1" applyAlignment="1">
      <alignment horizontal="left" vertical="top"/>
    </xf>
    <xf numFmtId="172" fontId="4" fillId="45" borderId="38" xfId="10" applyNumberFormat="1" applyBorder="1"/>
    <xf numFmtId="172" fontId="4" fillId="45" borderId="0" xfId="10" applyNumberFormat="1" applyBorder="1" applyAlignment="1">
      <alignment horizontal="right"/>
    </xf>
    <xf numFmtId="173" fontId="0" fillId="23" borderId="6" xfId="0" applyBorder="1"/>
    <xf numFmtId="173" fontId="0" fillId="23" borderId="0" xfId="0" applyAlignment="1">
      <alignment wrapText="1"/>
    </xf>
    <xf numFmtId="173" fontId="0" fillId="23" borderId="0" xfId="0" applyAlignment="1">
      <alignment horizontal="right" wrapText="1"/>
    </xf>
    <xf numFmtId="38" fontId="0" fillId="23" borderId="0" xfId="1" applyNumberFormat="1" applyFont="1" applyFill="1">
      <alignment horizontal="right" vertical="top"/>
    </xf>
    <xf numFmtId="14" fontId="0" fillId="23" borderId="0" xfId="1" applyNumberFormat="1" applyFont="1" applyFill="1">
      <alignment horizontal="right" vertical="top"/>
    </xf>
    <xf numFmtId="38" fontId="0" fillId="23" borderId="0" xfId="1" applyNumberFormat="1" applyFont="1" applyFill="1" applyBorder="1">
      <alignment horizontal="right" vertical="top"/>
    </xf>
    <xf numFmtId="167" fontId="0" fillId="23" borderId="0" xfId="5" applyFont="1" applyFill="1">
      <alignment horizontal="right" vertical="top"/>
    </xf>
    <xf numFmtId="173" fontId="4" fillId="45" borderId="0" xfId="10" applyNumberFormat="1" applyBorder="1"/>
    <xf numFmtId="173" fontId="4" fillId="45" borderId="0" xfId="10" applyNumberFormat="1" applyBorder="1" applyAlignment="1">
      <alignment horizontal="right"/>
    </xf>
    <xf numFmtId="167" fontId="37" fillId="24" borderId="6" xfId="11" applyNumberFormat="1" applyAlignment="1" applyProtection="1">
      <alignment horizontal="right" vertical="top"/>
    </xf>
    <xf numFmtId="173" fontId="0" fillId="23" borderId="6" xfId="0" applyBorder="1" applyAlignment="1">
      <alignment horizontal="right" vertical="top"/>
    </xf>
    <xf numFmtId="173" fontId="21" fillId="23" borderId="0" xfId="22" applyNumberFormat="1" applyFill="1" applyBorder="1"/>
    <xf numFmtId="173" fontId="49" fillId="24" borderId="44" xfId="11" applyNumberFormat="1" applyFont="1" applyBorder="1" applyProtection="1"/>
    <xf numFmtId="0" fontId="21" fillId="23" borderId="30" xfId="47" applyNumberFormat="1"/>
    <xf numFmtId="0" fontId="21" fillId="23" borderId="30" xfId="47" applyNumberFormat="1" applyAlignment="1">
      <alignment horizontal="right" vertical="top"/>
    </xf>
    <xf numFmtId="40" fontId="0" fillId="23" borderId="0" xfId="0" applyNumberFormat="1"/>
    <xf numFmtId="38" fontId="0" fillId="23" borderId="0" xfId="0" applyNumberFormat="1"/>
    <xf numFmtId="171" fontId="0" fillId="23" borderId="0" xfId="0" applyNumberFormat="1"/>
    <xf numFmtId="0" fontId="42" fillId="23" borderId="6" xfId="7" applyNumberFormat="1" applyFill="1"/>
    <xf numFmtId="173" fontId="51" fillId="47" borderId="6" xfId="0" applyFont="1" applyFill="1" applyBorder="1"/>
    <xf numFmtId="173" fontId="51" fillId="47" borderId="6" xfId="0" applyFont="1" applyFill="1" applyBorder="1" applyAlignment="1">
      <alignment horizontal="right"/>
    </xf>
    <xf numFmtId="38" fontId="50" fillId="23" borderId="43" xfId="0" applyNumberFormat="1" applyFont="1" applyBorder="1" applyAlignment="1">
      <alignment horizontal="left" vertical="top"/>
    </xf>
    <xf numFmtId="38" fontId="50" fillId="23" borderId="43" xfId="0" applyNumberFormat="1" applyFont="1" applyBorder="1" applyAlignment="1">
      <alignment horizontal="right" vertical="top"/>
    </xf>
    <xf numFmtId="10" fontId="50" fillId="23" borderId="43" xfId="0" applyNumberFormat="1" applyFont="1" applyBorder="1"/>
    <xf numFmtId="173" fontId="50" fillId="23" borderId="43" xfId="0" applyFont="1" applyBorder="1"/>
    <xf numFmtId="169" fontId="50" fillId="23" borderId="43" xfId="0" applyNumberFormat="1" applyFont="1" applyBorder="1" applyAlignment="1">
      <alignment horizontal="right" vertical="top"/>
    </xf>
    <xf numFmtId="38" fontId="50" fillId="46" borderId="43" xfId="0" applyNumberFormat="1" applyFont="1" applyFill="1" applyBorder="1" applyAlignment="1">
      <alignment horizontal="left" vertical="top"/>
    </xf>
    <xf numFmtId="38" fontId="50" fillId="46" borderId="43" xfId="0" applyNumberFormat="1" applyFont="1" applyFill="1" applyBorder="1" applyAlignment="1">
      <alignment horizontal="right" vertical="top"/>
    </xf>
    <xf numFmtId="10" fontId="50" fillId="46" borderId="43" xfId="0" applyNumberFormat="1" applyFont="1" applyFill="1" applyBorder="1"/>
    <xf numFmtId="173" fontId="50" fillId="46" borderId="43" xfId="0" applyFont="1" applyFill="1" applyBorder="1"/>
    <xf numFmtId="169" fontId="50" fillId="46" borderId="43" xfId="0" applyNumberFormat="1" applyFont="1" applyFill="1" applyBorder="1" applyAlignment="1">
      <alignment horizontal="right" vertical="top"/>
    </xf>
    <xf numFmtId="38" fontId="50" fillId="23" borderId="6" xfId="0" applyNumberFormat="1" applyFont="1" applyBorder="1" applyAlignment="1">
      <alignment horizontal="left" vertical="top"/>
    </xf>
    <xf numFmtId="38" fontId="50" fillId="23" borderId="6" xfId="0" applyNumberFormat="1" applyFont="1" applyBorder="1" applyAlignment="1">
      <alignment horizontal="right" vertical="top"/>
    </xf>
    <xf numFmtId="10" fontId="50" fillId="23" borderId="6" xfId="0" applyNumberFormat="1" applyFont="1" applyBorder="1"/>
    <xf numFmtId="173" fontId="50" fillId="23" borderId="6" xfId="0" applyFont="1" applyBorder="1"/>
    <xf numFmtId="169" fontId="50" fillId="23" borderId="6" xfId="0" applyNumberFormat="1" applyFont="1" applyBorder="1" applyAlignment="1">
      <alignment horizontal="right" vertical="top"/>
    </xf>
    <xf numFmtId="0" fontId="4" fillId="45" borderId="31" xfId="10" applyAlignment="1">
      <alignment horizontal="left"/>
    </xf>
    <xf numFmtId="173" fontId="37" fillId="24" borderId="6" xfId="11" applyNumberFormat="1" applyAlignment="1" applyProtection="1">
      <alignment horizontal="left"/>
    </xf>
    <xf numFmtId="173" fontId="21" fillId="28" borderId="0" xfId="32" applyNumberFormat="1" applyFont="1"/>
    <xf numFmtId="169" fontId="25" fillId="11" borderId="6" xfId="14" applyNumberFormat="1" applyAlignment="1">
      <alignment horizontal="right" vertical="top"/>
      <protection locked="0"/>
    </xf>
    <xf numFmtId="173" fontId="25" fillId="11" borderId="6" xfId="14" applyNumberFormat="1">
      <protection locked="0"/>
    </xf>
    <xf numFmtId="173" fontId="45" fillId="23" borderId="0" xfId="55" applyNumberFormat="1" applyAlignment="1"/>
    <xf numFmtId="173" fontId="45" fillId="23" borderId="0" xfId="55" applyNumberFormat="1" applyAlignment="1">
      <alignment horizontal="center"/>
    </xf>
    <xf numFmtId="173" fontId="0" fillId="23" borderId="22" xfId="0" applyBorder="1"/>
    <xf numFmtId="173" fontId="37" fillId="24" borderId="0" xfId="11" applyNumberFormat="1" applyBorder="1" applyProtection="1"/>
    <xf numFmtId="173" fontId="0" fillId="23" borderId="35" xfId="0" applyBorder="1" applyAlignment="1">
      <alignment horizontal="left" indent="1"/>
    </xf>
    <xf numFmtId="0" fontId="43" fillId="23" borderId="0" xfId="8" applyFill="1" applyBorder="1" applyAlignment="1">
      <alignment horizontal="left"/>
    </xf>
    <xf numFmtId="0" fontId="39" fillId="23" borderId="6" xfId="21" applyFill="1" applyAlignment="1"/>
    <xf numFmtId="0" fontId="39" fillId="23" borderId="0" xfId="21" applyFill="1" applyBorder="1" applyAlignment="1"/>
    <xf numFmtId="173" fontId="53" fillId="23" borderId="0" xfId="0" applyFont="1"/>
    <xf numFmtId="173" fontId="52" fillId="23" borderId="0" xfId="0" applyFont="1" applyAlignment="1">
      <alignment horizontal="justify" vertical="center"/>
    </xf>
    <xf numFmtId="173" fontId="55" fillId="23" borderId="0" xfId="0" applyFont="1" applyAlignment="1">
      <alignment horizontal="justify" vertical="center"/>
    </xf>
    <xf numFmtId="173" fontId="53" fillId="23" borderId="0" xfId="0" applyFont="1" applyAlignment="1">
      <alignment horizontal="justify" vertical="center"/>
    </xf>
    <xf numFmtId="173" fontId="60" fillId="23" borderId="0" xfId="0" applyFont="1"/>
    <xf numFmtId="173" fontId="59" fillId="23" borderId="0" xfId="0" applyFont="1" applyAlignment="1">
      <alignment horizontal="justify" vertical="center"/>
    </xf>
    <xf numFmtId="173" fontId="59" fillId="23" borderId="0" xfId="0" applyFont="1" applyAlignment="1">
      <alignment horizontal="justify" vertical="top" wrapText="1"/>
    </xf>
    <xf numFmtId="173" fontId="60" fillId="23" borderId="0" xfId="0" applyFont="1" applyAlignment="1">
      <alignment horizontal="justify" vertical="top" wrapText="1"/>
    </xf>
    <xf numFmtId="173" fontId="61" fillId="23" borderId="0" xfId="0" applyFont="1" applyAlignment="1">
      <alignment horizontal="justify" vertical="top" wrapText="1"/>
    </xf>
    <xf numFmtId="169" fontId="4" fillId="45" borderId="31" xfId="10" applyNumberFormat="1" applyAlignment="1">
      <alignment horizontal="left" vertical="top"/>
    </xf>
    <xf numFmtId="173" fontId="21" fillId="24" borderId="32" xfId="22" applyNumberFormat="1" applyFill="1" applyProtection="1"/>
    <xf numFmtId="169" fontId="4" fillId="45" borderId="0" xfId="10" applyNumberFormat="1" applyBorder="1" applyAlignment="1">
      <alignment horizontal="right" vertical="top"/>
    </xf>
    <xf numFmtId="173" fontId="0" fillId="23" borderId="32" xfId="0" applyBorder="1"/>
    <xf numFmtId="174" fontId="25" fillId="11" borderId="6" xfId="14" applyNumberFormat="1" applyAlignment="1">
      <alignment horizontal="right" vertical="top"/>
      <protection locked="0"/>
    </xf>
    <xf numFmtId="174" fontId="0" fillId="23" borderId="0" xfId="5" applyNumberFormat="1" applyFont="1" applyFill="1">
      <alignment horizontal="right" vertical="top"/>
    </xf>
    <xf numFmtId="174" fontId="37" fillId="24" borderId="6" xfId="11" applyNumberFormat="1" applyAlignment="1" applyProtection="1">
      <alignment horizontal="right" vertical="top"/>
    </xf>
    <xf numFmtId="0" fontId="4" fillId="45" borderId="7" xfId="10" applyBorder="1"/>
    <xf numFmtId="173" fontId="45" fillId="23" borderId="0" xfId="55" applyNumberFormat="1" applyAlignment="1">
      <alignment horizontal="justify" vertical="top" wrapText="1"/>
    </xf>
    <xf numFmtId="173" fontId="0" fillId="23" borderId="0" xfId="0" applyAlignment="1">
      <alignment horizontal="justify" vertical="center"/>
    </xf>
    <xf numFmtId="173" fontId="0" fillId="23" borderId="0" xfId="0" applyAlignment="1">
      <alignment horizontal="justify" vertical="top" wrapText="1"/>
    </xf>
    <xf numFmtId="173" fontId="62" fillId="0" borderId="6" xfId="11" applyNumberFormat="1" applyFont="1" applyFill="1" applyProtection="1"/>
    <xf numFmtId="173" fontId="63" fillId="23" borderId="0" xfId="0" applyFont="1" applyBorder="1"/>
    <xf numFmtId="173" fontId="63" fillId="46" borderId="0" xfId="0" applyFont="1" applyFill="1" applyBorder="1"/>
    <xf numFmtId="14" fontId="63" fillId="46" borderId="0" xfId="0" applyNumberFormat="1" applyFont="1" applyFill="1" applyBorder="1"/>
    <xf numFmtId="14" fontId="63" fillId="23" borderId="0" xfId="0" applyNumberFormat="1" applyFont="1" applyBorder="1"/>
    <xf numFmtId="38" fontId="63" fillId="23" borderId="0" xfId="1" applyNumberFormat="1" applyFont="1" applyFill="1" applyBorder="1">
      <alignment horizontal="right" vertical="top"/>
    </xf>
    <xf numFmtId="14" fontId="63" fillId="23" borderId="0" xfId="1" applyNumberFormat="1" applyFont="1" applyFill="1" applyBorder="1">
      <alignment horizontal="right" vertical="top"/>
    </xf>
    <xf numFmtId="165" fontId="0" fillId="23" borderId="0" xfId="3" applyFont="1" applyFill="1">
      <alignment horizontal="right" vertical="top"/>
    </xf>
    <xf numFmtId="175" fontId="0" fillId="23" borderId="0" xfId="1" applyNumberFormat="1" applyFont="1" applyFill="1">
      <alignment horizontal="right" vertical="top"/>
    </xf>
    <xf numFmtId="0" fontId="41" fillId="23" borderId="6" xfId="6" applyFill="1"/>
    <xf numFmtId="173" fontId="43" fillId="23" borderId="42" xfId="8" applyNumberFormat="1" applyFill="1" applyBorder="1"/>
    <xf numFmtId="173" fontId="43" fillId="23" borderId="0" xfId="8" applyNumberFormat="1" applyFill="1" applyBorder="1"/>
    <xf numFmtId="0" fontId="39" fillId="23" borderId="6" xfId="21" applyFill="1" applyAlignment="1"/>
    <xf numFmtId="0" fontId="39" fillId="23" borderId="0" xfId="21" applyFill="1" applyBorder="1" applyAlignment="1"/>
    <xf numFmtId="173" fontId="54" fillId="23" borderId="0" xfId="0" applyFont="1" applyAlignment="1">
      <alignment horizontal="left" vertical="center" indent="1"/>
    </xf>
    <xf numFmtId="173" fontId="58" fillId="23" borderId="6" xfId="21" applyNumberFormat="1" applyFont="1" applyFill="1" applyAlignment="1">
      <alignment horizontal="left" vertical="top" wrapText="1"/>
    </xf>
    <xf numFmtId="173" fontId="59" fillId="23" borderId="40" xfId="0" applyFont="1" applyBorder="1" applyAlignment="1">
      <alignment horizontal="left" vertical="top" wrapText="1"/>
    </xf>
    <xf numFmtId="0" fontId="56" fillId="23" borderId="6" xfId="6" applyFont="1" applyFill="1" applyAlignment="1"/>
    <xf numFmtId="0" fontId="57" fillId="23" borderId="22" xfId="6" applyFont="1" applyFill="1" applyBorder="1" applyAlignment="1"/>
    <xf numFmtId="0" fontId="39" fillId="23" borderId="6" xfId="21" applyFill="1" applyAlignment="1">
      <alignment horizontal="left"/>
    </xf>
    <xf numFmtId="0" fontId="39" fillId="23" borderId="41" xfId="21" applyFill="1" applyBorder="1" applyAlignment="1">
      <alignment horizontal="left"/>
    </xf>
    <xf numFmtId="0" fontId="39" fillId="23" borderId="22" xfId="21" applyFill="1" applyBorder="1" applyAlignment="1">
      <alignment horizontal="left"/>
    </xf>
    <xf numFmtId="0" fontId="43" fillId="23" borderId="6" xfId="8" applyFill="1" applyAlignment="1">
      <alignment horizontal="left"/>
    </xf>
    <xf numFmtId="0" fontId="39" fillId="23" borderId="45" xfId="21" applyFill="1" applyBorder="1" applyAlignment="1">
      <alignment horizontal="left"/>
    </xf>
    <xf numFmtId="0" fontId="41" fillId="23" borderId="6" xfId="6" applyFill="1" applyAlignment="1"/>
    <xf numFmtId="0" fontId="41" fillId="23" borderId="0" xfId="6" applyFill="1" applyBorder="1" applyAlignment="1"/>
    <xf numFmtId="0" fontId="39" fillId="23" borderId="41" xfId="21" applyFill="1" applyBorder="1" applyAlignment="1"/>
    <xf numFmtId="0" fontId="39" fillId="23" borderId="22" xfId="21" applyFill="1" applyBorder="1" applyAlignment="1"/>
    <xf numFmtId="173" fontId="43" fillId="23" borderId="21" xfId="8" applyNumberFormat="1" applyFill="1" applyBorder="1"/>
    <xf numFmtId="173" fontId="43" fillId="23" borderId="22" xfId="8" applyNumberFormat="1" applyFill="1" applyBorder="1"/>
    <xf numFmtId="0" fontId="39" fillId="8" borderId="6" xfId="21" applyFill="1" applyAlignment="1">
      <alignment horizontal="left" vertical="top"/>
    </xf>
    <xf numFmtId="0" fontId="43" fillId="8" borderId="6" xfId="8" applyFill="1" applyAlignment="1">
      <alignment horizontal="left" vertical="top"/>
    </xf>
    <xf numFmtId="0" fontId="41" fillId="0" borderId="6" xfId="6"/>
    <xf numFmtId="0" fontId="39" fillId="23" borderId="6" xfId="21" applyFill="1"/>
    <xf numFmtId="0" fontId="43" fillId="23" borderId="6" xfId="8" applyFill="1" applyAlignment="1"/>
    <xf numFmtId="0" fontId="43" fillId="23" borderId="41" xfId="8" applyFill="1" applyBorder="1" applyAlignment="1"/>
    <xf numFmtId="0" fontId="43" fillId="23" borderId="41" xfId="8" applyFill="1" applyBorder="1" applyAlignment="1">
      <alignment horizontal="left"/>
    </xf>
    <xf numFmtId="0" fontId="43" fillId="23" borderId="22" xfId="8" applyFill="1" applyBorder="1" applyAlignment="1">
      <alignment horizontal="left"/>
    </xf>
    <xf numFmtId="173" fontId="43" fillId="23" borderId="6" xfId="8" applyNumberFormat="1" applyFill="1" applyAlignment="1"/>
    <xf numFmtId="173" fontId="0" fillId="23" borderId="0" xfId="0" applyAlignment="1"/>
    <xf numFmtId="173" fontId="39" fillId="23" borderId="6" xfId="21" applyNumberFormat="1" applyFill="1" applyAlignment="1"/>
    <xf numFmtId="173" fontId="43" fillId="23" borderId="6" xfId="8" applyNumberFormat="1" applyFill="1"/>
    <xf numFmtId="173" fontId="43" fillId="23" borderId="0" xfId="8" applyNumberFormat="1" applyFill="1" applyBorder="1" applyAlignment="1"/>
    <xf numFmtId="173" fontId="43" fillId="23" borderId="41" xfId="8" applyNumberFormat="1" applyFill="1" applyBorder="1" applyAlignment="1"/>
    <xf numFmtId="173" fontId="43" fillId="23" borderId="22" xfId="8" applyNumberFormat="1" applyFill="1" applyBorder="1" applyAlignment="1"/>
    <xf numFmtId="173" fontId="0" fillId="23" borderId="40" xfId="0" applyBorder="1" applyAlignment="1"/>
    <xf numFmtId="173" fontId="43" fillId="23" borderId="41" xfId="8" applyNumberFormat="1" applyFill="1" applyBorder="1"/>
    <xf numFmtId="0" fontId="45" fillId="23" borderId="0" xfId="55" applyFill="1" applyBorder="1"/>
    <xf numFmtId="173" fontId="39" fillId="28" borderId="6" xfId="21" applyNumberFormat="1" applyFill="1" applyAlignment="1">
      <alignment horizontal="center"/>
    </xf>
    <xf numFmtId="173" fontId="21" fillId="28" borderId="40" xfId="32" applyNumberFormat="1" applyFont="1" applyBorder="1" applyAlignment="1">
      <alignment horizontal="center"/>
    </xf>
    <xf numFmtId="0" fontId="45" fillId="23" borderId="41" xfId="55" applyFill="1" applyBorder="1" applyAlignment="1"/>
    <xf numFmtId="0" fontId="45" fillId="23" borderId="22" xfId="55" applyFill="1" applyBorder="1" applyAlignment="1"/>
    <xf numFmtId="0" fontId="43" fillId="23" borderId="22" xfId="8" applyFill="1" applyBorder="1" applyAlignment="1"/>
    <xf numFmtId="173" fontId="45" fillId="23" borderId="0" xfId="55" applyNumberFormat="1" applyAlignment="1">
      <alignment horizontal="left"/>
    </xf>
    <xf numFmtId="173" fontId="21" fillId="23" borderId="0" xfId="0" applyFont="1" applyAlignment="1">
      <alignment horizontal="center"/>
    </xf>
    <xf numFmtId="173" fontId="45" fillId="23" borderId="0" xfId="55" applyNumberFormat="1" applyAlignment="1">
      <alignment horizontal="center"/>
    </xf>
    <xf numFmtId="173" fontId="0" fillId="23" borderId="0" xfId="0"/>
    <xf numFmtId="0" fontId="39" fillId="23" borderId="6" xfId="21" applyNumberFormat="1" applyFill="1"/>
  </cellXfs>
  <cellStyles count="59">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artArea" xfId="51" xr:uid="{5118E33D-87C1-406F-B5A8-D5F627FCA13C}"/>
    <cellStyle name="Check Cell" xfId="18" builtinId="23" customBuiltin="1"/>
    <cellStyle name="Comma" xfId="1" builtinId="3" customBuiltin="1"/>
    <cellStyle name="Comma [0]" xfId="2" builtinId="6" customBuiltin="1"/>
    <cellStyle name="Currency" xfId="3" builtinId="4" customBuiltin="1"/>
    <cellStyle name="Currency [0]" xfId="4" builtinId="7" customBuiltin="1"/>
    <cellStyle name="Date" xfId="54" xr:uid="{C72C3396-F861-493F-A49C-3DC9BC911B67}"/>
    <cellStyle name="Date-Short" xfId="52" xr:uid="{F20998F2-D795-4210-BD7B-DA6D219E4673}"/>
    <cellStyle name="Duration" xfId="58" xr:uid="{2D6F25E0-DEF8-434F-9A66-492FE8D6D266}"/>
    <cellStyle name="Explanatory Text" xfId="21" builtinId="53" customBuiltin="1"/>
    <cellStyle name="External" xfId="48" xr:uid="{AB6F9A44-62B6-4D5E-9F4F-811EBD0640C4}"/>
    <cellStyle name="Followed Hyperlink" xfId="56" builtinId="9"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55" builtinId="8" customBuiltin="1"/>
    <cellStyle name="Input" xfId="14" builtinId="20" customBuiltin="1"/>
    <cellStyle name="Linked Cell" xfId="17" builtinId="24" customBuiltin="1"/>
    <cellStyle name="Local" xfId="53" xr:uid="{17564FD6-1D87-4EF4-A221-3A4357BE08B6}"/>
    <cellStyle name="Neutral" xfId="13" builtinId="28" customBuiltin="1"/>
    <cellStyle name="Normal" xfId="0" builtinId="0" customBuiltin="1"/>
    <cellStyle name="Note" xfId="20" builtinId="10" customBuiltin="1"/>
    <cellStyle name="Output" xfId="15" builtinId="21" customBuiltin="1"/>
    <cellStyle name="Percent" xfId="5" builtinId="5" customBuiltin="1"/>
    <cellStyle name="Remote" xfId="50" xr:uid="{C83F2263-8882-4AE4-951C-14E18264FD04}"/>
    <cellStyle name="Subtotal" xfId="47" xr:uid="{1289E415-E420-43E7-8197-31B5EA30D3F5}"/>
    <cellStyle name="Time" xfId="57" xr:uid="{68A9F8F3-6EA9-4CE0-8B31-56F640772E34}"/>
    <cellStyle name="TimeStamp" xfId="49" xr:uid="{CAA88E1E-489E-410C-AF7D-817C7A8AD37B}"/>
    <cellStyle name="Title" xfId="6" builtinId="15" customBuiltin="1"/>
    <cellStyle name="Total" xfId="22" builtinId="25" customBuiltin="1"/>
    <cellStyle name="Warning Text" xfId="19" builtinId="11" customBuiltin="1"/>
  </cellStyles>
  <dxfs count="168">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ill>
        <patternFill>
          <fgColor indexed="64"/>
          <bgColor theme="8" tint="0.89999084444715716"/>
        </patternFill>
      </fill>
    </dxf>
    <dxf>
      <font>
        <b/>
        <i val="0"/>
        <strike val="0"/>
        <u val="none"/>
        <color rgb="FF2E4950"/>
        <name val="Aptos"/>
        <scheme val="minor"/>
      </font>
      <numFmt numFmtId="169" formatCode="d\-mmm\-yyyy"/>
      <fill>
        <patternFill patternType="solid">
          <fgColor rgb="FF000000"/>
          <bgColor rgb="FFEFF6F8"/>
        </patternFill>
      </fill>
      <border>
        <left/>
        <right/>
        <top/>
        <bottom style="thin">
          <color rgb="FF000000"/>
        </bottom>
      </border>
    </dxf>
    <dxf>
      <font>
        <b/>
        <i val="0"/>
        <strike val="0"/>
        <u val="none"/>
        <color rgb="FFFF0000"/>
        <name val="Aptos"/>
        <scheme val="minor"/>
      </font>
      <numFmt numFmtId="169" formatCode="d\-mmm\-yyyy"/>
      <fill>
        <patternFill patternType="solid">
          <fgColor rgb="FF000000"/>
          <bgColor rgb="FFEFF6F8"/>
        </patternFill>
      </fill>
      <border>
        <left/>
        <right/>
        <top/>
        <bottom style="thin">
          <color rgb="FF000000"/>
        </bottom>
      </border>
    </dxf>
    <dxf>
      <font>
        <b/>
        <i val="0"/>
        <strike val="0"/>
        <u val="none"/>
        <color rgb="FF2E4950"/>
        <name val="Aptos"/>
        <scheme val="minor"/>
      </font>
      <numFmt numFmtId="169" formatCode="d\-mmm\-yyyy"/>
      <fill>
        <patternFill patternType="solid">
          <fgColor rgb="FF000000"/>
          <bgColor rgb="FFEFF6F8"/>
        </patternFill>
      </fill>
      <border>
        <left/>
        <right/>
        <top/>
        <bottom/>
      </border>
    </dxf>
    <dxf>
      <font>
        <b/>
        <i val="0"/>
        <strike val="0"/>
        <u val="none"/>
        <color rgb="FFFF0000"/>
        <name val="Aptos"/>
        <scheme val="minor"/>
      </font>
      <numFmt numFmtId="169" formatCode="d\-mmm\-yyyy"/>
      <fill>
        <patternFill patternType="solid">
          <fgColor rgb="FF000000"/>
          <bgColor rgb="FFEFF6F8"/>
        </patternFill>
      </fill>
      <border>
        <left/>
        <right/>
        <top/>
        <bottom/>
      </border>
    </dxf>
    <dxf>
      <font>
        <b/>
        <i val="0"/>
        <strike val="0"/>
        <u val="none"/>
        <color rgb="FF2E4950"/>
        <name val="Aptos"/>
        <scheme val="minor"/>
      </font>
      <numFmt numFmtId="169" formatCode="d\-mmm\-yyyy"/>
      <fill>
        <patternFill patternType="solid">
          <fgColor rgb="FF000000"/>
          <bgColor rgb="FFEFF6F8"/>
        </patternFill>
      </fill>
      <border>
        <left/>
        <right/>
        <top/>
        <bottom style="thin">
          <color rgb="FF000000"/>
        </bottom>
      </border>
    </dxf>
    <dxf>
      <font>
        <b/>
        <i val="0"/>
        <strike val="0"/>
        <u val="none"/>
        <color rgb="FFFF0000"/>
        <name val="Aptos"/>
        <scheme val="minor"/>
      </font>
      <numFmt numFmtId="169" formatCode="d\-mmm\-yyyy"/>
      <fill>
        <patternFill patternType="solid">
          <fgColor rgb="FF000000"/>
          <bgColor rgb="FFEFF6F8"/>
        </patternFill>
      </fill>
      <border>
        <left/>
        <right/>
        <top/>
        <bottom style="thin">
          <color rgb="FF000000"/>
        </bottom>
      </border>
    </dxf>
    <dxf>
      <font>
        <b/>
        <i val="0"/>
        <strike val="0"/>
        <u val="none"/>
        <color rgb="FF000000"/>
        <name val="Aptos"/>
        <scheme val="minor"/>
      </font>
      <numFmt numFmtId="169" formatCode="d\-mmm\-yyyy"/>
      <fill>
        <patternFill patternType="solid">
          <fgColor rgb="FF000000"/>
          <bgColor rgb="FFEFF6F8"/>
        </patternFill>
      </fill>
      <border>
        <left/>
        <right/>
        <top/>
        <bottom/>
      </border>
    </dxf>
    <dxf>
      <font>
        <b/>
        <i val="0"/>
        <strike val="0"/>
        <u val="none"/>
        <color rgb="FFFF0000"/>
        <name val="Aptos"/>
        <scheme val="minor"/>
      </font>
      <numFmt numFmtId="169" formatCode="d\-mmm\-yyyy"/>
      <fill>
        <patternFill patternType="solid">
          <fgColor rgb="FF000000"/>
          <bgColor rgb="FFEFF6F8"/>
        </patternFill>
      </fill>
      <border>
        <left/>
        <right/>
        <top/>
        <bottom/>
      </border>
    </dxf>
    <dxf>
      <font>
        <color rgb="FFC00000"/>
      </font>
      <fill>
        <patternFill>
          <bgColor rgb="FFFFCCCC"/>
        </patternFill>
      </fill>
    </dxf>
    <dxf>
      <font>
        <b val="0"/>
        <i val="0"/>
        <strike val="0"/>
        <condense val="0"/>
        <extend val="0"/>
        <outline val="0"/>
        <shadow val="0"/>
        <u val="none"/>
        <vertAlign val="baseline"/>
        <sz val="11"/>
        <color rgb="FF000000"/>
        <name val="Aptos"/>
        <family val="2"/>
        <scheme val="minor"/>
      </font>
    </dxf>
    <dxf>
      <alignment horizontal="left" vertical="bottom" textRotation="0" wrapText="0" indent="1" justifyLastLine="0" shrinkToFit="0" readingOrder="0"/>
    </dxf>
    <dxf>
      <numFmt numFmtId="14" formatCode="0.00%"/>
      <border diagonalUp="0" diagonalDown="0">
        <left style="thin">
          <color rgb="FFFFFFFF"/>
        </left>
        <right style="thin">
          <color rgb="FFFFFFFF"/>
        </right>
        <top style="thin">
          <color rgb="FFFFFFFF"/>
        </top>
        <bottom/>
        <vertical/>
        <horizontal/>
      </border>
    </dxf>
    <dxf>
      <numFmt numFmtId="169" formatCode="d\-mmm\-yyyy"/>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numFmt numFmtId="176" formatCode="#,##0_);[Red]\(#,##0\)"/>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numFmt numFmtId="176" formatCode="#,##0_);[Red]\(#,##0\)"/>
      <alignment horizontal="right" vertical="top" textRotation="0" wrapText="0" indent="0" justifyLastLine="0" shrinkToFit="0" readingOrder="0"/>
      <border diagonalUp="0" diagonalDown="0">
        <left/>
        <right style="thin">
          <color rgb="FFFFFFFF"/>
        </right>
        <top style="thin">
          <color rgb="FFFFFFFF"/>
        </top>
        <bottom/>
        <vertical/>
        <horizontal/>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border diagonalUp="0" diagonalDown="0" outline="0">
        <left style="thin">
          <color rgb="FFFFFFFF"/>
        </left>
        <right style="thin">
          <color rgb="FFFFFFFF"/>
        </right>
        <top/>
        <bottom/>
      </border>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77" formatCode="d/m/yyyy"/>
    </dxf>
    <dxf>
      <font>
        <color rgb="FF000000"/>
      </font>
      <numFmt numFmtId="176" formatCode="#,##0_);[Red]\(#,##0\)"/>
      <fill>
        <patternFill patternType="solid">
          <fgColor rgb="FF000000"/>
          <bgColor indexed="9"/>
        </patternFill>
      </fill>
    </dxf>
    <dxf>
      <numFmt numFmtId="177" formatCode="d/m/yyyy"/>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6" formatCode="#,##0_);[Red]\(#,##0\)"/>
      <fill>
        <patternFill patternType="solid">
          <fgColor rgb="FF000000"/>
          <bgColor indexed="9"/>
        </patternFill>
      </fill>
    </dxf>
    <dxf>
      <font>
        <color rgb="FF000000"/>
      </font>
      <numFmt numFmtId="177" formatCode="d/m/yyyy"/>
      <fill>
        <patternFill patternType="solid">
          <fgColor rgb="FF000000"/>
          <bgColor indexed="9"/>
        </patternFill>
      </fill>
    </dxf>
    <dxf>
      <font>
        <color rgb="FF000000"/>
      </font>
      <numFmt numFmtId="176" formatCode="#,##0_);[Red]\(#,##0\)"/>
      <fill>
        <patternFill patternType="solid">
          <fgColor rgb="FF000000"/>
          <bgColor indexed="9"/>
        </patternFill>
      </fill>
    </dxf>
    <dxf>
      <alignment vertical="bottom" textRotation="0" wrapText="1" indent="0" justifyLastLine="0" shrinkToFit="0" readingOrder="0"/>
    </dxf>
    <dxf>
      <numFmt numFmtId="169" formatCode="d\-mmm\-yyyy"/>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border diagonalUp="0" diagonalDown="0">
        <left style="thin">
          <color rgb="FFFFFFFF"/>
        </left>
        <right style="thin">
          <color rgb="FFFFFFFF"/>
        </right>
        <top style="thin">
          <color rgb="FFFFFFFF"/>
        </top>
        <bottom/>
        <vertical/>
        <horizontal/>
      </border>
    </dxf>
    <dxf>
      <numFmt numFmtId="14" formatCode="0.00%"/>
      <border diagonalUp="0" diagonalDown="0">
        <left style="thin">
          <color rgb="FFFFFFFF"/>
        </left>
        <right style="thin">
          <color rgb="FFFFFFFF"/>
        </right>
        <top style="thin">
          <color rgb="FFFFFFFF"/>
        </top>
        <bottom/>
        <vertical/>
        <horizontal/>
      </border>
    </dxf>
    <dxf>
      <numFmt numFmtId="176" formatCode="#,##0_);[Red]\(#,##0\)"/>
      <alignment horizontal="right" vertical="top" textRotation="0" wrapText="0" indent="0" justifyLastLine="0" shrinkToFit="0" readingOrder="0"/>
      <border diagonalUp="0" diagonalDown="0" outline="0">
        <left style="thin">
          <color rgb="FFFFFFFF"/>
        </left>
        <right style="thin">
          <color rgb="FFFFFFFF"/>
        </right>
        <top style="thin">
          <color rgb="FFFFFFFF"/>
        </top>
        <bottom/>
      </border>
    </dxf>
    <dxf>
      <numFmt numFmtId="176" formatCode="#,##0_);[Red]\(#,##0\)"/>
      <alignment horizontal="left" vertical="top" textRotation="0" wrapText="0" indent="0" justifyLastLine="0" shrinkToFit="0" readingOrder="0"/>
      <border diagonalUp="0" diagonalDown="0" outline="0">
        <left/>
        <right style="thin">
          <color rgb="FFFFFFFF"/>
        </right>
        <top style="thin">
          <color rgb="FFFFFFFF"/>
        </top>
        <bottom/>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Aptos"/>
        <family val="2"/>
        <scheme val="minor"/>
      </font>
      <numFmt numFmtId="0" formatCode="General"/>
      <alignment horizontal="right" vertical="top" textRotation="0" wrapText="0" indent="0" justifyLastLine="0" shrinkToFit="0" readingOrder="0"/>
    </dxf>
    <dxf>
      <font>
        <b val="0"/>
        <i val="0"/>
        <strike val="0"/>
        <condense val="0"/>
        <extend val="0"/>
        <outline val="0"/>
        <shadow val="0"/>
        <u val="none"/>
        <vertAlign val="baseline"/>
        <sz val="11"/>
        <color rgb="FF000000"/>
        <name val="Aptos"/>
        <family val="2"/>
        <scheme val="minor"/>
      </font>
      <numFmt numFmtId="169" formatCode="d\-mmm\-yyyy"/>
    </dxf>
    <dxf>
      <font>
        <b val="0"/>
        <i val="0"/>
        <strike val="0"/>
        <condense val="0"/>
        <extend val="0"/>
        <outline val="0"/>
        <shadow val="0"/>
        <u val="none"/>
        <vertAlign val="baseline"/>
        <sz val="11"/>
        <color rgb="FF000000"/>
        <name val="Aptos"/>
        <family val="2"/>
        <scheme val="minor"/>
      </font>
      <numFmt numFmtId="0" formatCode="General"/>
      <alignment horizontal="right" vertical="top" textRotation="0" wrapText="0" indent="0" justifyLastLine="0" shrinkToFit="0" readingOrder="0"/>
    </dxf>
    <dxf>
      <font>
        <b val="0"/>
        <i val="0"/>
        <strike val="0"/>
        <condense val="0"/>
        <extend val="0"/>
        <outline val="0"/>
        <shadow val="0"/>
        <u val="none"/>
        <vertAlign val="baseline"/>
        <sz val="11"/>
        <color rgb="FF000000"/>
        <name val="Aptos"/>
        <family val="2"/>
        <scheme val="minor"/>
      </font>
      <numFmt numFmtId="169" formatCode="d\-mmm\-yyyy"/>
    </dxf>
    <dxf>
      <numFmt numFmtId="0" formatCode="General"/>
    </dxf>
    <dxf>
      <numFmt numFmtId="173" formatCode="#,###;[Red]\(#,###\);\-"/>
    </dxf>
    <dxf>
      <numFmt numFmtId="0" formatCode="General"/>
    </dxf>
    <dxf>
      <numFmt numFmtId="173" formatCode="#,###;[Red]\(#,###\);\-"/>
    </dxf>
    <dxf>
      <numFmt numFmtId="0" formatCode="General"/>
    </dxf>
    <dxf>
      <numFmt numFmtId="169" formatCode="d\-mmm\-yyyy"/>
    </dxf>
    <dxf>
      <alignment horizontal="right" vertical="bottom" textRotation="0" wrapText="0" indent="0" justifyLastLine="0" shrinkToFit="0" readingOrder="0"/>
    </dxf>
    <dxf>
      <numFmt numFmtId="177" formatCode="d/m/yyyy"/>
    </dxf>
    <dxf>
      <alignment horizontal="right" vertical="bottom" textRotation="0" wrapText="0" indent="0" justifyLastLine="0" shrinkToFit="0" readingOrder="0"/>
    </dxf>
    <dxf>
      <font>
        <b val="0"/>
        <i val="0"/>
        <strike val="0"/>
        <condense val="0"/>
        <extend val="0"/>
        <outline val="0"/>
        <shadow val="0"/>
        <u val="none"/>
        <vertAlign val="baseline"/>
        <sz val="11"/>
        <color rgb="FF000000"/>
        <name val="Aptos"/>
        <family val="2"/>
        <scheme val="minor"/>
      </font>
    </dxf>
    <dxf>
      <font>
        <b val="0"/>
        <i val="0"/>
        <strike val="0"/>
        <condense val="0"/>
        <extend val="0"/>
        <outline val="0"/>
        <shadow val="0"/>
        <u val="none"/>
        <vertAlign val="baseline"/>
        <sz val="11"/>
        <color rgb="FF000000"/>
        <name val="Aptos"/>
        <family val="2"/>
        <scheme val="minor"/>
      </font>
    </dxf>
    <dxf>
      <numFmt numFmtId="171" formatCode="dd/mm/yyyy"/>
      <alignment horizontal="right" vertical="top" textRotation="0" wrapText="0" indent="0" justifyLastLine="0" shrinkToFit="0" readingOrder="0"/>
    </dxf>
    <dxf>
      <numFmt numFmtId="171" formatCode="dd/mm/yyyy"/>
      <alignment horizontal="right" vertical="top" textRotation="0" wrapText="0" indent="0" justifyLastLine="0" shrinkToFit="0" readingOrder="0"/>
    </dxf>
    <dxf>
      <numFmt numFmtId="176" formatCode="#,##0_);[Red]\(#,##0\)"/>
      <alignment horizontal="right" vertical="top" textRotation="0" wrapText="0" indent="0" justifyLastLine="0" shrinkToFit="0" readingOrder="0"/>
    </dxf>
    <dxf>
      <alignment horizontal="general" vertical="bottom" textRotation="0" wrapText="0" indent="0" justifyLastLine="0" shrinkToFit="0" readingOrder="0"/>
      <border diagonalUp="0" diagonalDown="0">
        <left/>
        <right style="thin">
          <color rgb="FFFFFFFF"/>
        </right>
        <top style="thin">
          <color rgb="FFFFFFFF"/>
        </top>
        <bottom style="thin">
          <color rgb="FFFFFFFF"/>
        </bottom>
        <vertical/>
        <horizontal/>
      </border>
    </dxf>
    <dxf>
      <border outline="0">
        <left style="thin">
          <color rgb="FFFFFFFF"/>
        </left>
        <top style="thin">
          <color rgb="FFFFFFFF"/>
        </top>
      </border>
    </dxf>
    <dxf>
      <alignment horizontal="right"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right/>
        <top/>
        <bottom/>
      </border>
    </dxf>
    <dxf>
      <alignment horizontal="center" vertical="top" textRotation="0" wrapText="0" indent="0" justifyLastLine="0" shrinkToFit="0" readingOrder="0"/>
    </dxf>
    <dxf>
      <font>
        <b val="0"/>
        <i val="0"/>
        <strike val="0"/>
        <condense val="0"/>
        <extend val="0"/>
        <outline val="0"/>
        <shadow val="0"/>
        <u val="none"/>
        <vertAlign val="baseline"/>
        <sz val="11"/>
        <color rgb="FF000000"/>
        <name val="Aptos"/>
        <scheme val="minor"/>
      </font>
      <fill>
        <patternFill patternType="solid">
          <fgColor rgb="FF000000"/>
          <bgColor indexed="65"/>
        </patternFill>
      </fill>
      <alignment horizontal="center" vertical="top" textRotation="0" wrapText="0" indent="0" justifyLastLine="0" shrinkToFit="0" readingOrder="0"/>
      <border diagonalUp="0" diagonalDown="0" outline="0">
        <left/>
        <right/>
        <top/>
        <bottom/>
      </border>
      <protection locked="1" hidden="0"/>
    </dxf>
    <dxf>
      <alignment horizontal="center" vertical="top" textRotation="0" wrapText="0" indent="0" justifyLastLine="0" shrinkToFit="0" readingOrder="0"/>
    </dxf>
    <dxf>
      <alignment horizontal="left" vertical="top" textRotation="0" wrapText="0" indent="0" justifyLastLine="0" shrinkToFit="0" readingOrder="0"/>
      <border diagonalUp="0" diagonalDown="0" outline="0">
        <left style="thin">
          <color theme="0"/>
        </left>
        <right/>
        <top/>
        <bottom/>
      </border>
    </dxf>
    <dxf>
      <alignment horizontal="left" vertical="top" textRotation="0" wrapText="0" indent="0" justifyLastLine="0" shrinkToFit="0" readingOrder="0"/>
      <border diagonalUp="0" diagonalDown="0" outline="0">
        <left style="thin">
          <color theme="0"/>
        </left>
        <right/>
        <top style="thin">
          <color theme="0"/>
        </top>
        <bottom style="thin">
          <color theme="0"/>
        </bottom>
      </border>
    </dxf>
    <dxf>
      <alignment horizontal="left" vertical="top" textRotation="0" wrapText="1" indent="0" justifyLastLine="0" shrinkToFit="0" readingOrder="0"/>
      <border diagonalUp="0" diagonalDown="0" outline="0">
        <left/>
        <right/>
        <top/>
        <bottom/>
      </border>
    </dxf>
    <dxf>
      <alignment horizontal="left" vertical="top" textRotation="0" wrapText="1" indent="0" justifyLastLine="0" shrinkToFit="0" readingOrder="0"/>
    </dxf>
    <dxf>
      <font>
        <b val="0"/>
        <i val="0"/>
        <strike val="0"/>
        <condense val="0"/>
        <extend val="0"/>
        <outline val="0"/>
        <shadow val="0"/>
        <u val="none"/>
        <vertAlign val="baseline"/>
        <sz val="11"/>
        <color rgb="FF000000"/>
        <name val="Aptos"/>
        <scheme val="minor"/>
      </font>
      <fill>
        <patternFill patternType="solid">
          <fgColor rgb="FF000000"/>
          <bgColor indexed="65"/>
        </patternFill>
      </fill>
      <alignment horizontal="general" vertical="top" textRotation="0" wrapText="0" indent="0" justifyLastLine="0" shrinkToFit="0" readingOrder="0"/>
      <border diagonalUp="0" diagonalDown="0" outline="0">
        <left/>
        <right/>
        <top/>
        <bottom/>
      </border>
      <protection locked="1" hidden="0"/>
    </dxf>
    <dxf>
      <alignment horizontal="general" vertical="top" textRotation="0" wrapText="0" indent="0" justifyLastLine="0" shrinkToFit="0" readingOrder="0"/>
    </dxf>
    <dxf>
      <alignment horizontal="general" vertical="top" textRotation="0" wrapText="0" indent="0" justifyLastLine="0" shrinkToFit="0" readingOrder="0"/>
    </dxf>
    <dxf>
      <border>
        <bottom style="thin">
          <color indexed="64"/>
        </bottom>
      </border>
    </dxf>
    <dxf>
      <font>
        <b/>
      </font>
      <alignment vertical="bottom" wrapText="0" indent="0" justifyLastLine="0" shrinkToFit="0" readingOrder="0"/>
    </dxf>
    <dxf>
      <border diagonalUp="0" diagonalDown="0">
        <left style="thin">
          <color rgb="FFFFFFFF"/>
        </left>
        <right/>
        <top style="thin">
          <color rgb="FFFFFFFF"/>
        </top>
        <bottom/>
      </border>
    </dxf>
    <dxf>
      <border diagonalUp="0" diagonalDown="0" outline="0">
        <left/>
        <right style="thin">
          <color rgb="FFFFFFFF"/>
        </right>
        <top style="thin">
          <color rgb="FFFFFFFF"/>
        </top>
        <bottom/>
      </border>
    </dxf>
    <dxf>
      <font>
        <b/>
      </font>
      <alignment horizontal="general" vertical="bottom" textRotation="0" wrapText="0" indent="0" justifyLastLine="0" shrinkToFit="0" readingOrder="0"/>
      <border diagonalUp="0" diagonalDown="0" outline="0">
        <left/>
        <right style="thin">
          <color rgb="FFFFFFFF"/>
        </right>
        <top style="thin">
          <color rgb="FFFFFFFF"/>
        </top>
        <bottom/>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font>
        <b val="0"/>
        <i val="0"/>
        <strike val="0"/>
        <condense val="0"/>
        <extend val="0"/>
        <outline val="0"/>
        <shadow val="0"/>
        <u val="none"/>
        <vertAlign val="baseline"/>
        <sz val="10"/>
        <color rgb="FFFFFFFF"/>
        <name val="Aptos"/>
        <scheme val="minor"/>
      </font>
      <fill>
        <patternFill patternType="solid">
          <fgColor rgb="FF000000"/>
          <bgColor theme="4"/>
        </patternFill>
      </fill>
      <alignment horizontal="general" vertical="bottom" textRotation="0" wrapText="0" indent="0" justifyLastLine="0" shrinkToFit="0" readingOrder="0"/>
      <border diagonalUp="0" diagonalDown="0" outline="0">
        <left style="thin">
          <color rgb="FFFFFFFF"/>
        </left>
        <right style="thin">
          <color rgb="FFFFFFFF"/>
        </right>
        <top/>
        <bottom/>
      </border>
    </dxf>
    <dxf>
      <font>
        <b val="0"/>
        <i val="0"/>
        <strike val="0"/>
        <u val="none"/>
        <sz val="11"/>
        <color rgb="FFFFFFFF"/>
        <name val="Aptos"/>
        <scheme val="minor"/>
      </font>
      <fill>
        <patternFill patternType="solid">
          <fgColor rgb="FF000000"/>
          <bgColor theme="5"/>
        </patternFill>
      </fill>
    </dxf>
    <dxf>
      <font>
        <b/>
        <i val="0"/>
        <strike val="0"/>
        <u val="none"/>
        <sz val="11"/>
        <color rgb="FF000000"/>
        <name val="Aptos"/>
        <scheme val="none"/>
      </font>
      <fill>
        <gradientFill>
          <stop position="0">
            <color rgb="FFFFFFFF"/>
          </stop>
          <stop position="1">
            <color rgb="FFE0F0F0"/>
          </stop>
        </gradientFill>
      </fill>
      <border>
        <left/>
        <right/>
        <top/>
        <bottom/>
        <vertical/>
        <horizontal/>
      </border>
    </dxf>
    <dxf>
      <font>
        <b/>
        <i/>
        <strike val="0"/>
        <u val="none"/>
        <color rgb="FF3F656F"/>
        <name val="Aptos"/>
        <scheme val="minor"/>
      </font>
      <fill>
        <patternFill patternType="solid">
          <fgColor rgb="FF000000"/>
          <bgColor indexed="9"/>
        </patternFill>
      </fill>
      <border>
        <left style="thin">
          <color rgb="FFFFFFFF"/>
        </left>
        <right/>
        <top style="thin">
          <color rgb="FF000000"/>
        </top>
        <bottom style="double">
          <color rgb="FF000000"/>
        </bottom>
        <vertical/>
        <horizontal style="thin">
          <color rgb="FF000000"/>
        </horizontal>
      </border>
    </dxf>
    <dxf>
      <font>
        <b/>
        <i/>
        <strike val="0"/>
        <u val="none"/>
        <color rgb="FF3F656F"/>
        <name val="Aptos"/>
        <scheme val="minor"/>
      </font>
      <fill>
        <patternFill patternType="solid">
          <fgColor rgb="FF000000"/>
          <bgColor indexed="9"/>
        </patternFill>
      </fill>
      <border>
        <left style="thin">
          <color rgb="FFFFFFFF"/>
        </left>
        <right style="thin">
          <color rgb="FFFFFFFF"/>
        </right>
        <top style="thin">
          <color rgb="FF000000"/>
        </top>
        <bottom/>
        <vertical style="thin">
          <color rgb="FFFFFFFF"/>
        </vertical>
        <horizontal style="thin">
          <color rgb="FF000000"/>
        </horizontal>
      </border>
    </dxf>
    <dxf>
      <font>
        <b/>
        <i val="0"/>
        <strike val="0"/>
        <u val="none"/>
        <color rgb="FF3F656F"/>
        <name val="Aptos"/>
        <scheme val="minor"/>
      </font>
      <fill>
        <patternFill patternType="solid">
          <fgColor rgb="FF000000"/>
          <bgColor indexed="9"/>
        </patternFill>
      </fill>
      <border>
        <left style="thin">
          <color rgb="FFFFFFFF"/>
        </left>
        <right style="thin">
          <color rgb="FFFFFFFF"/>
        </right>
        <top/>
        <bottom style="thin">
          <color rgb="FF000000"/>
        </bottom>
        <vertical style="thin">
          <color rgb="FFFFFFFF"/>
        </vertical>
        <horizontal/>
      </border>
    </dxf>
    <dxf>
      <font>
        <b/>
        <i val="0"/>
        <strike val="0"/>
        <u val="none"/>
        <color rgb="FF3F656F"/>
        <name val="Aptos"/>
        <scheme val="minor"/>
      </font>
      <fill>
        <patternFill patternType="solid">
          <fgColor rgb="FF000000"/>
          <bgColor indexed="9"/>
        </patternFill>
      </fill>
      <border>
        <left style="thin">
          <color rgb="FFFFFFFF"/>
        </left>
        <right style="thin">
          <color rgb="FFFFFFFF"/>
        </right>
        <top/>
        <bottom style="thin">
          <color rgb="FF000000"/>
        </bottom>
        <vertical style="thin">
          <color rgb="FFFFFFFF"/>
        </vertical>
        <horizontal/>
      </border>
    </dxf>
    <dxf>
      <font>
        <b val="0"/>
        <i val="0"/>
        <strike val="0"/>
        <u val="none"/>
        <color rgb="FF000000"/>
        <name val="Aptos"/>
        <scheme val="minor"/>
      </font>
      <fill>
        <patternFill patternType="solid">
          <fgColor rgb="FF000000"/>
          <bgColor rgb="FFEFF6F8"/>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rgb="FFFCF2EE"/>
        </patternFill>
      </fill>
      <border>
        <left/>
        <right/>
        <top/>
        <bottom/>
        <vertical/>
        <horizontal/>
      </border>
    </dxf>
    <dxf>
      <font>
        <b val="0"/>
        <i val="0"/>
        <strike val="0"/>
        <u val="none"/>
        <color rgb="FF000000"/>
        <name val="Aptos"/>
        <scheme val="minor"/>
      </font>
      <fill>
        <patternFill patternType="solid">
          <fgColor rgb="FF000000"/>
          <bgColor indexed="9"/>
        </patternFill>
      </fill>
      <border>
        <left/>
        <right/>
        <top/>
        <bottom/>
        <vertical/>
        <horizontal/>
      </border>
    </dxf>
    <dxf>
      <font>
        <b val="0"/>
        <i val="0"/>
        <strike val="0"/>
        <u val="none"/>
        <color rgb="FF000000"/>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rgb="FFC2D9DF"/>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i/>
        <strike val="0"/>
        <u val="none"/>
        <color rgb="FF3F656F"/>
        <name val="Aptos"/>
        <scheme val="minor"/>
      </font>
      <fill>
        <patternFill patternType="solid">
          <fgColor rgb="FF000000"/>
          <bgColor indexed="9"/>
        </patternFill>
      </fill>
      <border>
        <left style="thin">
          <color rgb="FFFFFFFF"/>
        </left>
        <right style="thin">
          <color rgb="FFFFFFFF"/>
        </right>
        <top style="thin">
          <color rgb="FF000000"/>
        </top>
        <bottom style="double">
          <color rgb="FF000000"/>
        </bottom>
        <vertical style="thin">
          <color rgb="FFFFFFFF"/>
        </vertical>
        <horizontal style="thin">
          <color rgb="FF000000"/>
        </horizontal>
      </border>
    </dxf>
    <dxf>
      <font>
        <b/>
        <i val="0"/>
        <strike val="0"/>
        <u val="none"/>
        <color rgb="FF3F656F"/>
      </font>
      <fill>
        <patternFill patternType="solid">
          <fgColor rgb="FF000000"/>
          <bgColor rgb="FFEFF5F7"/>
        </patternFill>
      </fill>
      <border>
        <left style="thin">
          <color rgb="FFFFFFFF"/>
        </left>
        <right style="thin">
          <color rgb="FFFFFFFF"/>
        </right>
        <top style="thin">
          <color rgb="FFFFFFFF"/>
        </top>
        <bottom style="thin">
          <color rgb="FF000000"/>
        </bottom>
        <vertical style="thin">
          <color rgb="FFFFFFFF"/>
        </vertical>
        <horizontal style="thin">
          <color rgb="FFFFFFFF"/>
        </horizontal>
      </border>
    </dxf>
    <dxf>
      <font>
        <b val="0"/>
        <i val="0"/>
        <strike val="0"/>
        <u val="none"/>
        <color rgb="FF000000"/>
        <name val="Aptos"/>
        <scheme val="minor"/>
      </font>
      <fill>
        <patternFill patternType="solid">
          <fgColor rgb="FF000000"/>
          <bgColor indexed="9"/>
        </patternFill>
      </fill>
      <border>
        <left/>
        <right/>
        <top/>
        <bottom/>
        <vertical/>
        <horizontal/>
      </border>
    </dxf>
    <dxf>
      <font>
        <b val="0"/>
        <i val="0"/>
        <strike val="0"/>
        <u val="none"/>
        <sz val="11"/>
        <color rgb="FF000000"/>
        <name val="Aptos"/>
        <scheme val="minor"/>
      </font>
      <fill>
        <patternFill patternType="solid">
          <fgColor rgb="FF000000"/>
          <bgColor rgb="FFEFF6F8"/>
        </patternFill>
      </fill>
      <border>
        <left/>
        <right/>
        <top/>
        <bottom/>
        <vertical/>
        <horizontal/>
      </border>
    </dxf>
    <dxf>
      <font>
        <b val="0"/>
        <i val="0"/>
        <strike val="0"/>
        <u val="none"/>
        <sz val="11"/>
        <color rgb="FF000000"/>
        <name val="Aptos"/>
        <scheme val="minor"/>
      </font>
      <fill>
        <patternFill patternType="solid">
          <fgColor rgb="FF000000"/>
          <bgColor indexed="9"/>
        </patternFill>
      </fill>
      <border>
        <left/>
        <right/>
        <top/>
        <bottom/>
        <vertical/>
        <horizontal/>
      </border>
    </dxf>
    <dxf>
      <font>
        <b/>
        <i val="0"/>
        <strike val="0"/>
        <u val="none"/>
        <color rgb="FF000000"/>
        <name val="Aptos"/>
        <scheme val="minor"/>
      </font>
      <fill>
        <patternFill patternType="solid">
          <fgColor rgb="FF000000"/>
          <bgColor theme="0"/>
        </patternFill>
      </fill>
    </dxf>
    <dxf>
      <font>
        <b val="0"/>
        <i val="0"/>
        <strike val="0"/>
        <u val="none"/>
        <color rgb="FF000000"/>
        <name val="Aptos"/>
        <scheme val="minor"/>
      </font>
      <fill>
        <patternFill patternType="solid">
          <fgColor rgb="FF000000"/>
          <bgColor rgb="FFEFF6F8"/>
        </patternFill>
      </fill>
    </dxf>
    <dxf>
      <font>
        <b/>
        <i val="0"/>
        <strike val="0"/>
        <u val="none"/>
        <color rgb="FF2E4950"/>
        <name val="Aptos"/>
        <scheme val="minor"/>
      </font>
      <fill>
        <patternFill patternType="solid">
          <fgColor rgb="FF000000"/>
          <bgColor indexed="9"/>
        </patternFill>
      </fill>
    </dxf>
    <dxf>
      <font>
        <b/>
        <i val="0"/>
        <strike val="0"/>
        <u val="none"/>
        <color rgb="FF2E4950"/>
        <name val="Aptos"/>
        <scheme val="minor"/>
      </font>
      <fill>
        <patternFill patternType="solid">
          <fgColor rgb="FF000000"/>
          <bgColor indexed="9"/>
        </patternFill>
      </fill>
    </dxf>
    <dxf>
      <font>
        <b/>
        <i val="0"/>
        <strike val="0"/>
        <u val="none"/>
        <color rgb="FF2E4950"/>
        <name val="Aptos"/>
        <scheme val="minor"/>
      </font>
      <fill>
        <patternFill patternType="solid">
          <fgColor rgb="FF000000"/>
          <bgColor indexed="9"/>
        </patternFill>
      </fill>
    </dxf>
    <dxf>
      <font>
        <b/>
        <i val="0"/>
        <strike val="0"/>
        <u val="none"/>
        <color rgb="FF2E4950"/>
        <name val="Aptos"/>
        <scheme val="minor"/>
      </font>
      <fill>
        <patternFill patternType="solid">
          <fgColor rgb="FF000000"/>
          <bgColor indexed="9"/>
        </patternFill>
      </fill>
    </dxf>
    <dxf>
      <font>
        <b/>
        <i val="0"/>
        <strike val="0"/>
        <u val="none"/>
        <color rgb="FF2E4950"/>
        <name val="Aptos"/>
        <scheme val="minor"/>
      </font>
      <fill>
        <patternFill patternType="solid">
          <fgColor rgb="FF000000"/>
          <bgColor indexed="9"/>
        </patternFill>
      </fill>
    </dxf>
    <dxf>
      <font>
        <b/>
        <i val="0"/>
        <strike val="0"/>
        <u val="none"/>
        <color rgb="FF2E4950"/>
        <name val="Aptos"/>
        <scheme val="minor"/>
      </font>
      <fill>
        <patternFill patternType="solid">
          <fgColor rgb="FF000000"/>
          <bgColor indexed="9"/>
        </patternFill>
      </fill>
    </dxf>
    <dxf>
      <font>
        <b val="0"/>
        <i val="0"/>
        <strike val="0"/>
        <u val="none"/>
        <color rgb="FF000000"/>
        <name val="Aptos"/>
        <scheme val="minor"/>
      </font>
      <fill>
        <patternFill patternType="solid">
          <fgColor rgb="FF000000"/>
          <bgColor theme="0"/>
        </patternFill>
      </fill>
    </dxf>
    <dxf>
      <font>
        <b val="0"/>
        <i val="0"/>
        <strike val="0"/>
        <u val="none"/>
        <color rgb="FF000000"/>
        <name val="Aptos"/>
        <scheme val="minor"/>
      </font>
      <fill>
        <patternFill patternType="solid">
          <fgColor rgb="FF000000"/>
          <bgColor rgb="FFE9DDD8"/>
        </patternFill>
      </fill>
    </dxf>
    <dxf>
      <font>
        <b val="0"/>
        <i val="0"/>
        <strike val="0"/>
        <u val="none"/>
        <color rgb="FF000000"/>
        <name val="Aptos"/>
        <scheme val="minor"/>
      </font>
      <fill>
        <patternFill patternType="solid">
          <fgColor rgb="FF000000"/>
          <bgColor rgb="FFE9DDD8"/>
        </patternFill>
      </fill>
    </dxf>
    <dxf>
      <font>
        <b val="0"/>
        <i val="0"/>
        <strike val="0"/>
        <u val="none"/>
        <color rgb="FF000000"/>
        <name val="Aptos"/>
        <scheme val="minor"/>
      </font>
      <fill>
        <patternFill patternType="solid">
          <fgColor rgb="FF000000"/>
          <bgColor rgb="FFE9DDD8"/>
        </patternFill>
      </fill>
    </dxf>
    <dxf>
      <font>
        <b val="0"/>
        <i val="0"/>
        <strike val="0"/>
        <u val="none"/>
        <color rgb="FF000000"/>
        <name val="Aptos"/>
        <scheme val="minor"/>
      </font>
      <fill>
        <patternFill patternType="solid">
          <fgColor rgb="FF000000"/>
          <bgColor rgb="FFE0ECEF"/>
        </patternFill>
      </fill>
    </dxf>
    <dxf>
      <font>
        <b val="0"/>
        <i val="0"/>
        <strike val="0"/>
        <u val="none"/>
        <color rgb="FF000000"/>
        <name val="Aptos"/>
        <scheme val="minor"/>
      </font>
      <fill>
        <patternFill patternType="solid">
          <fgColor rgb="FF000000"/>
          <bgColor rgb="FFE0ECEF"/>
        </patternFill>
      </fill>
    </dxf>
    <dxf>
      <font>
        <b val="0"/>
        <i val="0"/>
        <strike val="0"/>
        <u val="none"/>
        <color rgb="FF000000"/>
        <name val="Aptos"/>
        <scheme val="minor"/>
      </font>
      <fill>
        <patternFill patternType="solid">
          <fgColor rgb="FF000000"/>
          <bgColor rgb="FFE0ECEF"/>
        </patternFill>
      </fill>
    </dxf>
    <dxf>
      <font>
        <b/>
        <i val="0"/>
        <strike val="0"/>
        <u val="none"/>
        <color rgb="FF2E4950"/>
        <name val="Aptos"/>
        <scheme val="minor"/>
      </font>
      <fill>
        <patternFill patternType="solid">
          <fgColor rgb="FF000000"/>
          <bgColor indexed="9"/>
        </patternFill>
      </fill>
    </dxf>
    <dxf>
      <font>
        <b val="0"/>
        <i val="0"/>
        <strike val="0"/>
        <u val="none"/>
        <color rgb="FF000000"/>
        <name val="Aptos"/>
        <scheme val="minor"/>
      </font>
      <fill>
        <patternFill patternType="solid">
          <fgColor rgb="FF000000"/>
          <bgColor rgb="FFEFF6F8"/>
        </patternFill>
      </fill>
    </dxf>
    <dxf>
      <font>
        <b val="0"/>
        <i val="0"/>
        <strike val="0"/>
        <u val="none"/>
        <color rgb="FF000000"/>
      </font>
      <fill>
        <patternFill patternType="solid">
          <fgColor rgb="FF000000"/>
          <bgColor indexed="9"/>
        </patternFill>
      </fill>
    </dxf>
    <dxf>
      <font>
        <b val="0"/>
        <i val="0"/>
        <strike val="0"/>
        <u val="none"/>
        <color rgb="FF000000"/>
        <name val="Aptos"/>
        <scheme val="minor"/>
      </font>
      <fill>
        <patternFill patternType="solid">
          <fgColor rgb="FF000000"/>
          <bgColor rgb="FFF7E7E1"/>
        </patternFill>
      </fill>
    </dxf>
    <dxf>
      <font>
        <b val="0"/>
        <i val="0"/>
        <strike val="0"/>
        <u val="none"/>
        <color rgb="FF000000"/>
      </font>
      <fill>
        <patternFill patternType="solid">
          <fgColor rgb="FF000000"/>
          <bgColor theme="0"/>
        </patternFill>
      </fill>
    </dxf>
    <dxf>
      <font>
        <b/>
        <i val="0"/>
        <strike val="0"/>
        <u val="none"/>
        <color rgb="FF2E4950"/>
        <name val="Aptos"/>
        <scheme val="minor"/>
      </font>
      <fill>
        <patternFill patternType="solid">
          <fgColor rgb="FF000000"/>
          <bgColor indexed="9"/>
        </patternFill>
      </fill>
      <border>
        <left style="thin">
          <color rgb="FF000000"/>
        </left>
        <right/>
        <top/>
        <bottom/>
        <vertical/>
        <horizontal/>
      </border>
    </dxf>
    <dxf>
      <font>
        <b val="0"/>
        <i val="0"/>
        <strike val="0"/>
        <u val="none"/>
        <color rgb="FF000000"/>
        <name val="Aptos"/>
        <scheme val="minor"/>
      </font>
      <fill>
        <patternFill patternType="solid">
          <fgColor rgb="FF000000"/>
          <bgColor rgb="FFD9E0E2"/>
        </patternFill>
      </fill>
    </dxf>
    <dxf>
      <font>
        <b/>
        <i val="0"/>
        <strike val="0"/>
        <u val="none"/>
        <color rgb="FF2E4950"/>
        <name val="Aptos"/>
        <scheme val="minor"/>
      </font>
      <fill>
        <patternFill patternType="solid">
          <fgColor rgb="FF000000"/>
          <bgColor indexed="9"/>
        </patternFill>
      </fill>
      <border>
        <left style="thin">
          <color rgb="FFFFFFFF"/>
        </left>
        <right style="thin">
          <color rgb="FFFFFFFF"/>
        </right>
        <top style="thin">
          <color rgb="FF000000"/>
        </top>
        <bottom style="double">
          <color rgb="FF000000"/>
        </bottom>
        <vertical style="thin">
          <color rgb="FFFFFFFF"/>
        </vertical>
        <horizontal style="thin">
          <color rgb="FF000000"/>
        </horizontal>
      </border>
    </dxf>
    <dxf>
      <font>
        <b/>
        <i val="0"/>
        <strike val="0"/>
        <u val="none"/>
        <color rgb="FF2E4950"/>
        <name val="Aptos"/>
        <scheme val="minor"/>
      </font>
      <fill>
        <patternFill patternType="solid">
          <fgColor rgb="FF000000"/>
          <bgColor indexed="9"/>
        </patternFill>
      </fill>
      <border>
        <left style="thin">
          <color rgb="FFFFFFFF"/>
        </left>
        <right style="thin">
          <color rgb="FFFFFFFF"/>
        </right>
        <top style="thin">
          <color rgb="FFFFFFFF"/>
        </top>
        <bottom style="thin">
          <color rgb="FF000000"/>
        </bottom>
        <vertical style="thin">
          <color rgb="FFFFFFFF"/>
        </vertical>
        <horizontal style="thin">
          <color rgb="FFFFFFFF"/>
        </horizontal>
      </border>
    </dxf>
    <dxf>
      <font>
        <b val="0"/>
        <i val="0"/>
        <strike val="0"/>
        <u val="none"/>
        <color rgb="FF000000"/>
      </font>
      <fill>
        <patternFill patternType="solid">
          <fgColor rgb="FF000000"/>
          <bgColor theme="0"/>
        </patternFill>
      </fill>
    </dxf>
  </dxfs>
  <tableStyles count="4" defaultTableStyle="TableStyleCustom" defaultPivotStyle="PivotStyleCustom">
    <tableStyle name="PivotStyleCustom" table="0" count="25" xr9:uid="{DC4C0914-95F6-489D-B89F-016C77CEF89E}">
      <tableStyleElement type="wholeTable" dxfId="167"/>
      <tableStyleElement type="headerRow" dxfId="166"/>
      <tableStyleElement type="totalRow" dxfId="165"/>
      <tableStyleElement type="firstColumn" dxfId="164"/>
      <tableStyleElement type="lastColumn" dxfId="163"/>
      <tableStyleElement type="firstRowStripe" dxfId="162"/>
      <tableStyleElement type="secondRowStripe" dxfId="161"/>
      <tableStyleElement type="firstColumnStripe" dxfId="160"/>
      <tableStyleElement type="secondColumnStripe" dxfId="159"/>
      <tableStyleElement type="firstHeaderCell" dxfId="158"/>
      <tableStyleElement type="firstSubtotalColumn" dxfId="157"/>
      <tableStyleElement type="secondSubtotalColumn" dxfId="156"/>
      <tableStyleElement type="thirdSubtotalColumn" dxfId="155"/>
      <tableStyleElement type="firstSubtotalRow" dxfId="154"/>
      <tableStyleElement type="secondSubtotalRow" dxfId="153"/>
      <tableStyleElement type="thirdSubtotalRow" dxfId="152"/>
      <tableStyleElement type="blankRow" dxfId="151"/>
      <tableStyleElement type="firstColumnSubheading" dxfId="150"/>
      <tableStyleElement type="secondColumnSubheading" dxfId="149"/>
      <tableStyleElement type="thirdColumnSubheading" dxfId="148"/>
      <tableStyleElement type="firstRowSubheading" dxfId="147"/>
      <tableStyleElement type="secondRowSubheading" dxfId="146"/>
      <tableStyleElement type="thirdRowSubheading" dxfId="145"/>
      <tableStyleElement type="pageFieldLabels" dxfId="144"/>
      <tableStyleElement type="pageFieldValues" dxfId="143"/>
    </tableStyle>
    <tableStyle name="SlicerStyleCustom" pivot="0" table="0" count="10" xr9:uid="{5583AEBA-1008-475D-89EE-D361CCD569FA}">
      <tableStyleElement type="wholeTable" dxfId="142"/>
      <tableStyleElement type="headerRow" dxfId="141"/>
    </tableStyle>
    <tableStyle name="TableStyleCustom" pivot="0" count="13" xr9:uid="{82219DB9-28E2-4769-B17E-6F2684D96709}">
      <tableStyleElement type="wholeTable" dxfId="140"/>
      <tableStyleElement type="headerRow" dxfId="139"/>
      <tableStyleElement type="totalRow" dxfId="138"/>
      <tableStyleElement type="firstColumn" dxfId="137"/>
      <tableStyleElement type="lastColumn" dxfId="136"/>
      <tableStyleElement type="firstRowStripe" dxfId="135"/>
      <tableStyleElement type="secondRowStripe" dxfId="134"/>
      <tableStyleElement type="firstColumnStripe" dxfId="133"/>
      <tableStyleElement type="secondColumnStripe" dxfId="132"/>
      <tableStyleElement type="firstHeaderCell" dxfId="131"/>
      <tableStyleElement type="lastHeaderCell" dxfId="130"/>
      <tableStyleElement type="firstTotalCell" dxfId="129"/>
      <tableStyleElement type="lastTotalCell" dxfId="128"/>
    </tableStyle>
    <tableStyle name="TimelineStyleCustom" pivot="0" table="0" count="9" xr9:uid="{0053D245-5C8F-45C9-BD89-9660704DE07B}">
      <tableStyleElement type="wholeTable" dxfId="127"/>
      <tableStyleElement type="headerRow" dxfId="126"/>
    </tableStyle>
  </tableStyles>
  <colors>
    <mruColors>
      <color rgb="FFFFFFCC"/>
      <color rgb="FFFFCCCC"/>
    </mruColors>
  </colors>
  <extLst>
    <ext xmlns:x14="http://schemas.microsoft.com/office/spreadsheetml/2009/9/main" uri="{46F421CA-312F-682f-3DD2-61675219B42D}">
      <x14:dxfs count="8">
        <dxf>
          <font>
            <b val="0"/>
            <i val="0"/>
            <strike val="0"/>
            <u val="none"/>
            <sz val="11"/>
            <color rgb="FFA6A6A6"/>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A6A6A6"/>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FFFFFF"/>
            <name val="Aptos"/>
            <scheme val="minor"/>
          </font>
          <fill>
            <patternFill patternType="solid">
              <fgColor rgb="FF000000"/>
              <bgColor theme="7"/>
            </patternFill>
          </fill>
          <border>
            <left/>
            <right/>
            <top/>
            <bottom/>
            <vertical/>
            <horizontal/>
          </border>
        </dxf>
        <dxf>
          <font>
            <b val="0"/>
            <i val="0"/>
            <strike val="0"/>
            <u val="none"/>
            <sz val="11"/>
            <color rgb="FF000000"/>
            <name val="Aptos"/>
            <scheme val="minor"/>
          </font>
          <fill>
            <patternFill patternType="solid">
              <fgColor rgb="FF000000"/>
              <bgColor rgb="FFEFCFC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D9D9D9"/>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000000"/>
            <name val="Aptos"/>
            <scheme val="minor"/>
          </font>
          <fill>
            <patternFill patternType="solid">
              <fgColor rgb="FF000000"/>
              <bgColor rgb="FFBE9A8B"/>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D9D9D9"/>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000000"/>
            <name val="Aptos"/>
            <scheme val="minor"/>
          </font>
          <fill>
            <patternFill patternType="solid">
              <fgColor rgb="FF000000"/>
              <bgColor rgb="FFF7E7E1"/>
            </patternFill>
          </fill>
          <border>
            <left/>
            <right/>
            <top/>
            <bottom/>
            <vertical/>
            <horizontal/>
          </border>
        </dxf>
      </x14:dxfs>
    </ext>
    <ext xmlns:x14="http://schemas.microsoft.com/office/spreadsheetml/2009/9/main" uri="{EB79DEF2-80B8-43e5-95BD-54CBDDF9020C}">
      <x14:slicerStyles defaultSlicerStyle="SlicerStyleCustom">
        <x14:slicerStyle name="SlicerStyl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rgb="FF000000"/>
              <bgColor theme="9"/>
            </patternFill>
          </fill>
        </dxf>
        <dxf>
          <fill>
            <patternFill patternType="solid">
              <fgColor rgb="FF000000"/>
              <bgColor indexed="9"/>
            </patternFill>
          </fill>
          <border>
            <left style="thin">
              <color rgb="FFFFFFFF"/>
            </left>
            <right/>
            <top style="thin">
              <color rgb="FFFFFFFF"/>
            </top>
            <bottom style="thin">
              <color rgb="FFFFFFFF"/>
            </bottom>
            <vertical/>
            <horizontal style="thin">
              <color rgb="FFFFFFFF"/>
            </horizontal>
          </border>
        </dxf>
        <dxf>
          <fill>
            <patternFill patternType="solid">
              <fgColor rgb="FF000000"/>
              <bgColor theme="7"/>
            </patternFill>
          </fill>
          <border>
            <left style="thin">
              <color rgb="FFFFFFFF"/>
            </left>
            <right/>
            <top style="thin">
              <color rgb="FFFFFFFF"/>
            </top>
            <bottom style="thin">
              <color rgb="FFFFFFFF"/>
            </bottom>
            <vertical/>
            <horizontal style="thin">
              <color rgb="FFFFFFFF"/>
            </horizontal>
          </border>
        </dxf>
        <dxf>
          <font>
            <b/>
            <i val="0"/>
            <strike val="0"/>
            <u val="none"/>
            <sz val="11"/>
            <color rgb="FF000000"/>
            <name val="Aptos"/>
            <scheme val="minor"/>
          </font>
        </dxf>
        <dxf>
          <font>
            <b/>
            <i val="0"/>
            <strike val="0"/>
            <u val="none"/>
            <sz val="11"/>
            <color rgb="FF000000"/>
            <name val="Aptos"/>
            <scheme val="minor"/>
          </font>
        </dxf>
        <dxf>
          <font>
            <b val="0"/>
            <i val="0"/>
            <strike val="0"/>
            <u val="none"/>
            <sz val="11"/>
            <color rgb="FF000000"/>
            <name val="Aptos"/>
            <scheme val="minor"/>
          </font>
        </dxf>
        <dxf>
          <font>
            <b val="0"/>
            <i val="0"/>
            <strike val="0"/>
            <u val="none"/>
            <sz val="11"/>
            <color rgb="FF000000"/>
            <name val="Aptos"/>
            <scheme val="minor"/>
          </font>
        </dxf>
      </x15:dxfs>
    </ext>
    <ext xmlns:x15="http://schemas.microsoft.com/office/spreadsheetml/2010/11/main" uri="{9260A510-F301-46a8-8635-F512D64BE5F5}">
      <x15:timelineStyles defaultTimelineStyle="TimelineStyleCustom">
        <x15:timelineStyle name="TimelineStyleCustom">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microsoft.com/office/2007/relationships/slicerCache" Target="slicerCaches/slicerCach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absolute">
    <xdr:from>
      <xdr:col>3</xdr:col>
      <xdr:colOff>0</xdr:colOff>
      <xdr:row>0</xdr:row>
      <xdr:rowOff>0</xdr:rowOff>
    </xdr:from>
    <xdr:to>
      <xdr:col>4</xdr:col>
      <xdr:colOff>0</xdr:colOff>
      <xdr:row>1</xdr:row>
      <xdr:rowOff>76200</xdr:rowOff>
    </xdr:to>
    <mc:AlternateContent xmlns:mc="http://schemas.openxmlformats.org/markup-compatibility/2006" xmlns:sle15="http://schemas.microsoft.com/office/drawing/2012/slicer">
      <mc:Choice Requires="sle15">
        <xdr:graphicFrame macro="">
          <xdr:nvGraphicFramePr>
            <xdr:cNvPr id="2" name="slcType">
              <a:extLst>
                <a:ext uri="{FF2B5EF4-FFF2-40B4-BE49-F238E27FC236}">
                  <a16:creationId xmlns:a16="http://schemas.microsoft.com/office/drawing/2014/main" id="{73304CF3-E9B0-6BED-B016-F6FC47A90747}"/>
                </a:ext>
              </a:extLst>
            </xdr:cNvPr>
            <xdr:cNvGraphicFramePr/>
          </xdr:nvGraphicFramePr>
          <xdr:xfrm>
            <a:off x="0" y="0"/>
            <a:ext cx="0" cy="0"/>
          </xdr:xfrm>
          <a:graphic>
            <a:graphicData uri="http://schemas.microsoft.com/office/drawing/2010/slicer">
              <sle:slicer xmlns:sle="http://schemas.microsoft.com/office/drawing/2010/slicer" name="slcType"/>
            </a:graphicData>
          </a:graphic>
        </xdr:graphicFrame>
      </mc:Choice>
      <mc:Fallback xmlns="">
        <xdr:sp macro="" textlink="">
          <xdr:nvSpPr>
            <xdr:cNvPr id="0" name=""/>
            <xdr:cNvSpPr>
              <a:spLocks noTextEdit="1"/>
            </xdr:cNvSpPr>
          </xdr:nvSpPr>
          <xdr:spPr>
            <a:xfrm>
              <a:off x="4221480" y="0"/>
              <a:ext cx="5196840" cy="10287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160020</xdr:colOff>
      <xdr:row>11</xdr:row>
      <xdr:rowOff>114300</xdr:rowOff>
    </xdr:from>
    <xdr:to>
      <xdr:col>13</xdr:col>
      <xdr:colOff>396240</xdr:colOff>
      <xdr:row>15</xdr:row>
      <xdr:rowOff>144780</xdr:rowOff>
    </xdr:to>
    <xdr:sp macro="" textlink="">
      <xdr:nvSpPr>
        <xdr:cNvPr id="2" name="Rectangle: Rounded Corners 1">
          <a:extLst>
            <a:ext uri="{FF2B5EF4-FFF2-40B4-BE49-F238E27FC236}">
              <a16:creationId xmlns:a16="http://schemas.microsoft.com/office/drawing/2014/main" id="{F24ED3E2-4799-35B3-8701-0DC5B3085DCF}"/>
            </a:ext>
          </a:extLst>
        </xdr:cNvPr>
        <xdr:cNvSpPr/>
      </xdr:nvSpPr>
      <xdr:spPr>
        <a:xfrm>
          <a:off x="4084320" y="2522220"/>
          <a:ext cx="5730240" cy="762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One use for</a:t>
          </a:r>
          <a:r>
            <a:rPr lang="en-AU" sz="1200" b="0" baseline="0"/>
            <a:t> this function is calculating overtime expenses or revenue generation when a production, logistics  or retail operation must work Saturdays to meet seasonal demands</a:t>
          </a:r>
          <a:r>
            <a:rPr lang="en-AU" sz="1200" b="1" baseline="0"/>
            <a:t>. </a:t>
          </a:r>
          <a:endParaRPr lang="en-AU"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792480</xdr:colOff>
      <xdr:row>11</xdr:row>
      <xdr:rowOff>68580</xdr:rowOff>
    </xdr:from>
    <xdr:to>
      <xdr:col>13</xdr:col>
      <xdr:colOff>693420</xdr:colOff>
      <xdr:row>20</xdr:row>
      <xdr:rowOff>121920</xdr:rowOff>
    </xdr:to>
    <xdr:sp macro="" textlink="">
      <xdr:nvSpPr>
        <xdr:cNvPr id="2" name="Rectangle: Rounded Corners 1">
          <a:extLst>
            <a:ext uri="{FF2B5EF4-FFF2-40B4-BE49-F238E27FC236}">
              <a16:creationId xmlns:a16="http://schemas.microsoft.com/office/drawing/2014/main" id="{FC31E747-439B-45B4-9BB4-2595CC802440}"/>
            </a:ext>
          </a:extLst>
        </xdr:cNvPr>
        <xdr:cNvSpPr/>
      </xdr:nvSpPr>
      <xdr:spPr>
        <a:xfrm>
          <a:off x="4419600" y="2293620"/>
          <a:ext cx="6728460" cy="16992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function feels</a:t>
          </a:r>
          <a:r>
            <a:rPr lang="en-AU" sz="1200" b="0" baseline="0"/>
            <a:t> like the function Microsoft forgot. It is a relatively trivial function but one often needed.</a:t>
          </a:r>
        </a:p>
        <a:p>
          <a:pPr algn="l"/>
          <a:endParaRPr lang="en-AU" sz="1200" b="0" baseline="0"/>
        </a:p>
        <a:p>
          <a:pPr algn="l"/>
          <a:r>
            <a:rPr lang="en-AU" sz="1200" b="1"/>
            <a:t>IsBetween</a:t>
          </a:r>
          <a:r>
            <a:rPr lang="el-GR" sz="1200" b="1"/>
            <a:t>λ</a:t>
          </a:r>
          <a:r>
            <a:rPr lang="en-AU" sz="1200" b="1"/>
            <a:t>() </a:t>
          </a:r>
          <a:r>
            <a:rPr lang="en-AU" sz="1200" b="0"/>
            <a:t>creates an</a:t>
          </a:r>
          <a:r>
            <a:rPr lang="en-AU" sz="1200" b="0" baseline="0"/>
            <a:t> array of TRUE/FALSE which we can convert to flags by wrapping it in the </a:t>
          </a:r>
          <a:r>
            <a:rPr lang="en-AU" sz="1200" b="1" baseline="0"/>
            <a:t>N() </a:t>
          </a:r>
          <a:r>
            <a:rPr lang="en-AU" sz="1200" b="0" baseline="0"/>
            <a:t>function like so:</a:t>
          </a:r>
          <a:br>
            <a:rPr lang="en-AU" sz="1200" b="0" baseline="0"/>
          </a:b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t>=</a:t>
          </a:r>
          <a:r>
            <a:rPr lang="en-AU" sz="1200" b="1" baseline="0"/>
            <a:t>N(</a:t>
          </a:r>
          <a:r>
            <a:rPr lang="en-AU" sz="1100" b="1">
              <a:solidFill>
                <a:schemeClr val="dk1"/>
              </a:solidFill>
              <a:effectLst/>
              <a:latin typeface="+mn-lt"/>
              <a:ea typeface="+mn-ea"/>
              <a:cs typeface="+mn-cs"/>
            </a:rPr>
            <a:t>IsBetween</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Values, Low, High, Inclusive</a:t>
          </a:r>
          <a:r>
            <a:rPr lang="en-AU" sz="1200" b="1"/>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320040</xdr:colOff>
      <xdr:row>19</xdr:row>
      <xdr:rowOff>15240</xdr:rowOff>
    </xdr:from>
    <xdr:to>
      <xdr:col>17</xdr:col>
      <xdr:colOff>647700</xdr:colOff>
      <xdr:row>30</xdr:row>
      <xdr:rowOff>0</xdr:rowOff>
    </xdr:to>
    <xdr:sp macro="" textlink="">
      <xdr:nvSpPr>
        <xdr:cNvPr id="2" name="Rectangle: Rounded Corners 1">
          <a:extLst>
            <a:ext uri="{FF2B5EF4-FFF2-40B4-BE49-F238E27FC236}">
              <a16:creationId xmlns:a16="http://schemas.microsoft.com/office/drawing/2014/main" id="{B6201D21-6E4F-4428-9F66-A68A61EDA45B}"/>
            </a:ext>
          </a:extLst>
        </xdr:cNvPr>
        <xdr:cNvSpPr/>
      </xdr:nvSpPr>
      <xdr:spPr>
        <a:xfrm>
          <a:off x="7376160" y="3886200"/>
          <a:ext cx="6751320" cy="19964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In this example</a:t>
          </a:r>
          <a:r>
            <a:rPr lang="en-AU" sz="1200" b="0" baseline="0"/>
            <a:t> we have budget items that repeat throughout the year at different intervals</a:t>
          </a:r>
          <a:r>
            <a:rPr lang="en-AU" sz="1200" b="1" baseline="0"/>
            <a:t>. </a:t>
          </a:r>
        </a:p>
        <a:p>
          <a:pPr algn="l"/>
          <a:endParaRPr lang="en-AU" sz="1200" b="1" baseline="0"/>
        </a:p>
        <a:p>
          <a:pPr algn="l"/>
          <a:r>
            <a:rPr lang="en-AU" sz="1200" b="1" baseline="0"/>
            <a:t>IsOccurrenceDate</a:t>
          </a:r>
          <a:r>
            <a:rPr lang="el-GR" sz="1200" b="1" baseline="0"/>
            <a:t>λ()</a:t>
          </a:r>
          <a:r>
            <a:rPr lang="en-AU" sz="1200" b="0" baseline="0"/>
            <a:t> creates an array of </a:t>
          </a:r>
          <a:r>
            <a:rPr lang="en-AU" sz="1200" b="1" baseline="0"/>
            <a:t>TRUE/FALSE</a:t>
          </a:r>
          <a:r>
            <a:rPr lang="en-AU" sz="1200" b="0" baseline="0"/>
            <a:t>. If we prefer, we can convert the result to 'flags' by wrapping this function in N() Like so: </a:t>
          </a:r>
        </a:p>
        <a:p>
          <a:pPr algn="l"/>
          <a:br>
            <a:rPr lang="en-AU" sz="1200" b="0" baseline="0"/>
          </a:br>
          <a:r>
            <a:rPr lang="en-AU" sz="1200" b="1" baseline="0"/>
            <a:t>N( </a:t>
          </a:r>
          <a:r>
            <a:rPr lang="en-AU" sz="1100" b="1" i="0" u="none" strike="noStrike">
              <a:solidFill>
                <a:schemeClr val="dk1"/>
              </a:solidFill>
              <a:effectLst/>
              <a:latin typeface="+mn-lt"/>
              <a:ea typeface="+mn-ea"/>
              <a:cs typeface="+mn-cs"/>
            </a:rPr>
            <a:t>IsOccurrenceDate</a:t>
          </a:r>
          <a:r>
            <a:rPr lang="el-GR" sz="1100" b="1" i="0" u="none" strike="noStrike">
              <a:solidFill>
                <a:schemeClr val="dk1"/>
              </a:solidFill>
              <a:effectLst/>
              <a:latin typeface="+mn-lt"/>
              <a:ea typeface="+mn-ea"/>
              <a:cs typeface="+mn-cs"/>
            </a:rPr>
            <a:t>λ(</a:t>
          </a:r>
          <a:r>
            <a:rPr lang="en-AU" sz="1100" b="1" i="0" u="none" strike="noStrike">
              <a:solidFill>
                <a:schemeClr val="dk1"/>
              </a:solidFill>
              <a:effectLst/>
              <a:latin typeface="+mn-lt"/>
              <a:ea typeface="+mn-ea"/>
              <a:cs typeface="+mn-cs"/>
            </a:rPr>
            <a:t>Dates, FirstOccurrence, [LastOccurrence], [Repeats])</a:t>
          </a:r>
          <a:r>
            <a:rPr lang="en-AU" sz="1200" b="1"/>
            <a:t> </a:t>
          </a:r>
          <a:r>
            <a:rPr lang="en-AU" sz="1200" b="1" baseline="0"/>
            <a:t>)</a:t>
          </a:r>
          <a:br>
            <a:rPr lang="en-AU" sz="1200" b="1" baseline="0"/>
          </a:br>
          <a:br>
            <a:rPr lang="en-AU" sz="1200" b="1" baseline="0"/>
          </a:br>
          <a:r>
            <a:rPr lang="en-AU" sz="1200" b="0" baseline="0"/>
            <a:t>In this example we multiply this function's TRUE/FALSE array by the budget amount. This works because Excel converts TRUE/FALSE to 1/0 when a math operator is used (like *).</a:t>
          </a:r>
          <a:endParaRPr lang="en-AU" sz="1200" b="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541020</xdr:colOff>
      <xdr:row>8</xdr:row>
      <xdr:rowOff>114300</xdr:rowOff>
    </xdr:from>
    <xdr:to>
      <xdr:col>12</xdr:col>
      <xdr:colOff>297180</xdr:colOff>
      <xdr:row>17</xdr:row>
      <xdr:rowOff>45720</xdr:rowOff>
    </xdr:to>
    <xdr:sp macro="" textlink="">
      <xdr:nvSpPr>
        <xdr:cNvPr id="2" name="Rectangle: Rounded Corners 1">
          <a:extLst>
            <a:ext uri="{FF2B5EF4-FFF2-40B4-BE49-F238E27FC236}">
              <a16:creationId xmlns:a16="http://schemas.microsoft.com/office/drawing/2014/main" id="{095EA23D-D077-4219-8F42-2C5DBEF25014}"/>
            </a:ext>
          </a:extLst>
        </xdr:cNvPr>
        <xdr:cNvSpPr/>
      </xdr:nvSpPr>
      <xdr:spPr>
        <a:xfrm>
          <a:off x="5242560" y="1973580"/>
          <a:ext cx="5204460" cy="15773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In this example,</a:t>
          </a:r>
          <a:r>
            <a:rPr lang="en-AU" sz="1200" b="0" baseline="0"/>
            <a:t> our client owns a rental business. Customer contracts can start and end on any day. Rates are by day. Our client bills each month but only for days within the contract for that month. </a:t>
          </a:r>
          <a:br>
            <a:rPr lang="en-AU" sz="1200" b="0" baseline="0"/>
          </a:b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100" b="1" i="0">
              <a:solidFill>
                <a:schemeClr val="dk1"/>
              </a:solidFill>
              <a:effectLst/>
              <a:latin typeface="+mn-lt"/>
              <a:ea typeface="+mn-ea"/>
              <a:cs typeface="+mn-cs"/>
            </a:rPr>
            <a:t>OverLapDays</a:t>
          </a:r>
          <a:r>
            <a:rPr lang="el-GR" sz="1100" b="1" i="0">
              <a:solidFill>
                <a:schemeClr val="dk1"/>
              </a:solidFill>
              <a:effectLst/>
              <a:latin typeface="+mn-lt"/>
              <a:ea typeface="+mn-ea"/>
              <a:cs typeface="+mn-cs"/>
            </a:rPr>
            <a:t>λ()</a:t>
          </a:r>
          <a:r>
            <a:rPr lang="el-GR" sz="1100" b="1">
              <a:solidFill>
                <a:schemeClr val="dk1"/>
              </a:solidFill>
              <a:effectLst/>
              <a:latin typeface="+mn-lt"/>
              <a:ea typeface="+mn-ea"/>
              <a:cs typeface="+mn-cs"/>
            </a:rPr>
            <a:t> </a:t>
          </a:r>
          <a:r>
            <a:rPr lang="en-AU" sz="1100">
              <a:solidFill>
                <a:schemeClr val="dk1"/>
              </a:solidFill>
              <a:effectLst/>
              <a:latin typeface="+mn-lt"/>
              <a:ea typeface="+mn-ea"/>
              <a:cs typeface="+mn-cs"/>
            </a:rPr>
            <a:t>creates an array of the count of overlapping days. In this example we multiply this function's array by the </a:t>
          </a:r>
          <a:r>
            <a:rPr lang="en-AU" sz="1100" b="1">
              <a:solidFill>
                <a:schemeClr val="dk1"/>
              </a:solidFill>
              <a:effectLst/>
              <a:latin typeface="+mn-lt"/>
              <a:ea typeface="+mn-ea"/>
              <a:cs typeface="+mn-cs"/>
            </a:rPr>
            <a:t>Daily</a:t>
          </a:r>
          <a:r>
            <a:rPr lang="en-AU" sz="1100" b="1" baseline="0">
              <a:solidFill>
                <a:schemeClr val="dk1"/>
              </a:solidFill>
              <a:effectLst/>
              <a:latin typeface="+mn-lt"/>
              <a:ea typeface="+mn-ea"/>
              <a:cs typeface="+mn-cs"/>
            </a:rPr>
            <a:t> Rate</a:t>
          </a:r>
          <a:r>
            <a:rPr lang="en-AU" sz="1100" baseline="0">
              <a:solidFill>
                <a:schemeClr val="dk1"/>
              </a:solidFill>
              <a:effectLst/>
              <a:latin typeface="+mn-lt"/>
              <a:ea typeface="+mn-ea"/>
              <a:cs typeface="+mn-cs"/>
            </a:rPr>
            <a:t> to project contract revenues for each month.</a:t>
          </a:r>
          <a:endParaRPr lang="en-AU"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a:effectLst/>
          </a:endParaRPr>
        </a:p>
        <a:p>
          <a:pPr algn="l"/>
          <a:br>
            <a:rPr lang="en-AU" sz="1200" b="0" baseline="0"/>
          </a:br>
          <a:r>
            <a:rPr lang="en-AU" sz="1200" b="0" baseline="0"/>
            <a:t>This projects contract revenue for each month, billing only for days rented.</a:t>
          </a:r>
          <a:r>
            <a:rPr lang="en-AU" sz="1100" b="0" i="0" u="none" strike="noStrike">
              <a:solidFill>
                <a:schemeClr val="dk1"/>
              </a:solidFill>
              <a:effectLst/>
              <a:latin typeface="+mn-lt"/>
              <a:ea typeface="+mn-ea"/>
              <a:cs typeface="+mn-cs"/>
            </a:rPr>
            <a:t>=</a:t>
          </a:r>
          <a:endParaRPr lang="en-AU" sz="1200" b="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556260</xdr:colOff>
      <xdr:row>16</xdr:row>
      <xdr:rowOff>0</xdr:rowOff>
    </xdr:from>
    <xdr:to>
      <xdr:col>14</xdr:col>
      <xdr:colOff>274320</xdr:colOff>
      <xdr:row>20</xdr:row>
      <xdr:rowOff>121920</xdr:rowOff>
    </xdr:to>
    <xdr:sp macro="" textlink="">
      <xdr:nvSpPr>
        <xdr:cNvPr id="2" name="Rectangle: Rounded Corners 1">
          <a:extLst>
            <a:ext uri="{FF2B5EF4-FFF2-40B4-BE49-F238E27FC236}">
              <a16:creationId xmlns:a16="http://schemas.microsoft.com/office/drawing/2014/main" id="{C2AB1896-B0C0-4A1B-BBB1-B4315E233059}"/>
            </a:ext>
          </a:extLst>
        </xdr:cNvPr>
        <xdr:cNvSpPr/>
      </xdr:nvSpPr>
      <xdr:spPr>
        <a:xfrm>
          <a:off x="3931920" y="3322320"/>
          <a:ext cx="5204460" cy="8534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This</a:t>
          </a:r>
          <a:r>
            <a:rPr lang="en-AU" sz="1200" b="0" baseline="0"/>
            <a:t> is a better version of Excel's secret function DATEDIF()</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a:t>This example uses randomly</a:t>
          </a:r>
          <a:r>
            <a:rPr lang="en-AU" sz="1200" b="0" baseline="0"/>
            <a:t> generated dates and intervals.</a:t>
          </a:r>
          <a:endParaRPr lang="en-AU" sz="1200" b="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335280</xdr:colOff>
      <xdr:row>17</xdr:row>
      <xdr:rowOff>83820</xdr:rowOff>
    </xdr:from>
    <xdr:to>
      <xdr:col>12</xdr:col>
      <xdr:colOff>167640</xdr:colOff>
      <xdr:row>22</xdr:row>
      <xdr:rowOff>99060</xdr:rowOff>
    </xdr:to>
    <xdr:sp macro="" textlink="">
      <xdr:nvSpPr>
        <xdr:cNvPr id="2" name="Rectangle: Rounded Corners 1">
          <a:extLst>
            <a:ext uri="{FF2B5EF4-FFF2-40B4-BE49-F238E27FC236}">
              <a16:creationId xmlns:a16="http://schemas.microsoft.com/office/drawing/2014/main" id="{3E9CEE54-DA0A-4FC6-A201-EAE0380C7E6A}"/>
            </a:ext>
          </a:extLst>
        </xdr:cNvPr>
        <xdr:cNvSpPr/>
      </xdr:nvSpPr>
      <xdr:spPr>
        <a:xfrm>
          <a:off x="4091940" y="3589020"/>
          <a:ext cx="5204460" cy="9296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Sometimes it is convenient</a:t>
          </a:r>
          <a:r>
            <a:rPr lang="en-AU" sz="1200" b="0" baseline="0"/>
            <a:t> to convert dates to text based labels for sorting or reporting.</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t>This example shows how various dates can be represented with this function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457200</xdr:colOff>
      <xdr:row>7</xdr:row>
      <xdr:rowOff>175260</xdr:rowOff>
    </xdr:from>
    <xdr:to>
      <xdr:col>14</xdr:col>
      <xdr:colOff>487680</xdr:colOff>
      <xdr:row>16</xdr:row>
      <xdr:rowOff>99060</xdr:rowOff>
    </xdr:to>
    <xdr:sp macro="" textlink="">
      <xdr:nvSpPr>
        <xdr:cNvPr id="2" name="Rectangle: Rounded Corners 1">
          <a:extLst>
            <a:ext uri="{FF2B5EF4-FFF2-40B4-BE49-F238E27FC236}">
              <a16:creationId xmlns:a16="http://schemas.microsoft.com/office/drawing/2014/main" id="{03713B4D-FCA4-4096-BE90-5AF866FCAD68}"/>
            </a:ext>
          </a:extLst>
        </xdr:cNvPr>
        <xdr:cNvSpPr/>
      </xdr:nvSpPr>
      <xdr:spPr>
        <a:xfrm>
          <a:off x="6042660" y="1851660"/>
          <a:ext cx="5951220" cy="15697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schedules</a:t>
          </a:r>
          <a:r>
            <a:rPr lang="en-AU" sz="1200" b="0" baseline="0"/>
            <a:t> rates in a timeline. We specify the timeline and when rates start with associate rate amounts. The rate amount continues in the timeline until another rate replaces it.</a:t>
          </a:r>
        </a:p>
        <a:p>
          <a:pPr algn="l"/>
          <a:endParaRPr lang="en-AU" sz="1200" b="0" baseline="0"/>
        </a:p>
        <a:p>
          <a:pPr algn="l"/>
          <a:r>
            <a:rPr lang="en-AU" sz="1200" b="0" baseline="0"/>
            <a:t>In the 'Rentals' section we have </a:t>
          </a:r>
          <a:r>
            <a:rPr lang="en-AU" sz="1200" b="0" u="sng" baseline="0"/>
            <a:t>Rental Rates Schedule</a:t>
          </a:r>
          <a:r>
            <a:rPr lang="en-AU" sz="1200" b="0" baseline="0"/>
            <a:t> and a </a:t>
          </a:r>
          <a:r>
            <a:rPr lang="en-AU" sz="1200" b="0" i="0" u="sng" baseline="0"/>
            <a:t>Unit Completion Schedule</a:t>
          </a:r>
          <a:r>
            <a:rPr lang="en-AU" sz="1200" b="0" i="0" u="none" baseline="0"/>
            <a:t>.</a:t>
          </a:r>
          <a:r>
            <a:rPr lang="en-AU" sz="1200" b="0" u="none" baseline="0"/>
            <a:t> </a:t>
          </a:r>
          <a:r>
            <a:rPr lang="en-AU" sz="1200" b="0" baseline="0"/>
            <a:t>This same nabla function is used to calculate rates and number of units over time which we can then multiply to determine the potential revenue generation.</a:t>
          </a:r>
        </a:p>
      </xdr:txBody>
    </xdr:sp>
    <xdr:clientData/>
  </xdr:twoCellAnchor>
  <xdr:twoCellAnchor>
    <xdr:from>
      <xdr:col>4</xdr:col>
      <xdr:colOff>579120</xdr:colOff>
      <xdr:row>30</xdr:row>
      <xdr:rowOff>137160</xdr:rowOff>
    </xdr:from>
    <xdr:to>
      <xdr:col>15</xdr:col>
      <xdr:colOff>99060</xdr:colOff>
      <xdr:row>33</xdr:row>
      <xdr:rowOff>144780</xdr:rowOff>
    </xdr:to>
    <xdr:sp macro="" textlink="">
      <xdr:nvSpPr>
        <xdr:cNvPr id="3" name="Rectangle: Rounded Corners 2">
          <a:extLst>
            <a:ext uri="{FF2B5EF4-FFF2-40B4-BE49-F238E27FC236}">
              <a16:creationId xmlns:a16="http://schemas.microsoft.com/office/drawing/2014/main" id="{5C0C4548-8562-44EE-A246-655152F306BB}"/>
            </a:ext>
          </a:extLst>
        </xdr:cNvPr>
        <xdr:cNvSpPr/>
      </xdr:nvSpPr>
      <xdr:spPr>
        <a:xfrm>
          <a:off x="3863340" y="6187440"/>
          <a:ext cx="8587740" cy="6400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section we have </a:t>
          </a:r>
          <a:r>
            <a:rPr lang="en-AU" sz="1200" b="0" u="sng" baseline="0"/>
            <a:t>Rental Rates Schedule</a:t>
          </a:r>
          <a:r>
            <a:rPr lang="en-AU" sz="1200" b="0" baseline="0"/>
            <a:t> and a </a:t>
          </a:r>
          <a:r>
            <a:rPr lang="en-AU" sz="1200" b="0" i="0" u="sng" baseline="0"/>
            <a:t>Unit Completion Schedule</a:t>
          </a:r>
          <a:r>
            <a:rPr lang="en-AU" sz="1200" b="0" i="0" u="none" baseline="0"/>
            <a:t>.</a:t>
          </a:r>
          <a:r>
            <a:rPr lang="en-AU" sz="1200" b="0" u="none" baseline="0"/>
            <a:t> </a:t>
          </a:r>
          <a:r>
            <a:rPr lang="en-AU" sz="1200" b="0" baseline="0"/>
            <a:t>This same nabla function is used to calculate rates and number of units over time which we can then multiply to determine the potential revenue generation.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693420</xdr:colOff>
      <xdr:row>17</xdr:row>
      <xdr:rowOff>137160</xdr:rowOff>
    </xdr:from>
    <xdr:to>
      <xdr:col>15</xdr:col>
      <xdr:colOff>723900</xdr:colOff>
      <xdr:row>21</xdr:row>
      <xdr:rowOff>7620</xdr:rowOff>
    </xdr:to>
    <xdr:sp macro="" textlink="">
      <xdr:nvSpPr>
        <xdr:cNvPr id="2" name="Rectangle: Rounded Corners 1">
          <a:extLst>
            <a:ext uri="{FF2B5EF4-FFF2-40B4-BE49-F238E27FC236}">
              <a16:creationId xmlns:a16="http://schemas.microsoft.com/office/drawing/2014/main" id="{FD1A1611-EA43-4323-B3AE-7A7FE5DC45EB}"/>
            </a:ext>
          </a:extLst>
        </xdr:cNvPr>
        <xdr:cNvSpPr/>
      </xdr:nvSpPr>
      <xdr:spPr>
        <a:xfrm>
          <a:off x="6118860" y="3642360"/>
          <a:ext cx="5951220" cy="6019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schedules</a:t>
          </a:r>
          <a:r>
            <a:rPr lang="en-AU" sz="1200" b="0" baseline="0"/>
            <a:t> rates for several different items, each with their own rate amounts and rate schedules.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1043940</xdr:colOff>
      <xdr:row>8</xdr:row>
      <xdr:rowOff>152400</xdr:rowOff>
    </xdr:from>
    <xdr:to>
      <xdr:col>19</xdr:col>
      <xdr:colOff>129540</xdr:colOff>
      <xdr:row>15</xdr:row>
      <xdr:rowOff>22860</xdr:rowOff>
    </xdr:to>
    <xdr:sp macro="" textlink="">
      <xdr:nvSpPr>
        <xdr:cNvPr id="2" name="Rectangle: Rounded Corners 1">
          <a:extLst>
            <a:ext uri="{FF2B5EF4-FFF2-40B4-BE49-F238E27FC236}">
              <a16:creationId xmlns:a16="http://schemas.microsoft.com/office/drawing/2014/main" id="{EC4909FD-5864-4632-9A5C-193A269B7843}"/>
            </a:ext>
          </a:extLst>
        </xdr:cNvPr>
        <xdr:cNvSpPr/>
      </xdr:nvSpPr>
      <xdr:spPr>
        <a:xfrm>
          <a:off x="7368540" y="2011680"/>
          <a:ext cx="7360920" cy="11506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In this example our</a:t>
          </a:r>
          <a:r>
            <a:rPr lang="en-AU" sz="1200" b="0" baseline="0"/>
            <a:t> demand planning solution has predicted customer </a:t>
          </a:r>
          <a:r>
            <a:rPr lang="en-AU" sz="1200" b="1" baseline="0"/>
            <a:t>orders</a:t>
          </a:r>
          <a:r>
            <a:rPr lang="en-AU" sz="1200" b="0" baseline="0"/>
            <a:t>. We schedule those in the </a:t>
          </a:r>
          <a:r>
            <a:rPr lang="en-AU" sz="1200" b="1" baseline="0"/>
            <a:t>Receivables</a:t>
          </a:r>
          <a:r>
            <a:rPr lang="en-AU" sz="1200" b="0" baseline="0"/>
            <a:t> row. In the </a:t>
          </a:r>
          <a:r>
            <a:rPr lang="en-AU" sz="1200" b="1" baseline="0"/>
            <a:t>Customer Orders </a:t>
          </a:r>
          <a:r>
            <a:rPr lang="en-AU" sz="1200" b="0" baseline="0"/>
            <a:t>table we calculate when the customers will make payment based on each customer's </a:t>
          </a:r>
          <a:r>
            <a:rPr lang="en-AU" sz="1200" b="1" baseline="0"/>
            <a:t>terms</a:t>
          </a:r>
          <a:r>
            <a:rPr lang="en-AU" sz="1200" b="0" baseline="0"/>
            <a:t> (net # days). We then schedule those in the </a:t>
          </a:r>
          <a:r>
            <a:rPr lang="en-AU" sz="1200" b="1" baseline="0"/>
            <a:t>Receipts</a:t>
          </a:r>
          <a:r>
            <a:rPr lang="en-AU" sz="1200" b="0" baseline="0"/>
            <a:t> row. We subtract the </a:t>
          </a:r>
          <a:r>
            <a:rPr lang="en-AU" sz="1200" b="1" baseline="0"/>
            <a:t>Reciepts</a:t>
          </a:r>
          <a:r>
            <a:rPr lang="en-AU" sz="1200" b="0" baseline="0"/>
            <a:t> row from the </a:t>
          </a:r>
          <a:r>
            <a:rPr lang="en-AU" sz="1200" b="1" baseline="0"/>
            <a:t>Receivable</a:t>
          </a:r>
          <a:r>
            <a:rPr lang="en-AU" sz="1200" b="0" baseline="0"/>
            <a:t> row to calculate </a:t>
          </a:r>
          <a:r>
            <a:rPr lang="en-AU" sz="1200" b="1" baseline="0"/>
            <a:t>Open Receivables</a:t>
          </a:r>
          <a:r>
            <a:rPr lang="en-AU" sz="1200" b="0" baseline="0"/>
            <a:t> by period. We then calculate a cumulative total to determine </a:t>
          </a:r>
          <a:r>
            <a:rPr lang="en-AU" sz="1200" b="1" baseline="0"/>
            <a:t>Oustanding Receivables</a:t>
          </a:r>
          <a:r>
            <a:rPr lang="en-AU" sz="1200" b="0" baseline="0"/>
            <a:t>.</a:t>
          </a:r>
        </a:p>
        <a:p>
          <a:pPr algn="l"/>
          <a:endParaRPr lang="en-AU" sz="1200" b="0" baseline="0"/>
        </a:p>
        <a:p>
          <a:pPr algn="l"/>
          <a:endParaRPr lang="en-AU" sz="1200" b="0" baseline="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15240</xdr:colOff>
      <xdr:row>17</xdr:row>
      <xdr:rowOff>99060</xdr:rowOff>
    </xdr:from>
    <xdr:to>
      <xdr:col>20</xdr:col>
      <xdr:colOff>327660</xdr:colOff>
      <xdr:row>20</xdr:row>
      <xdr:rowOff>0</xdr:rowOff>
    </xdr:to>
    <xdr:sp macro="" textlink="">
      <xdr:nvSpPr>
        <xdr:cNvPr id="2" name="Rectangle: Rounded Corners 1">
          <a:extLst>
            <a:ext uri="{FF2B5EF4-FFF2-40B4-BE49-F238E27FC236}">
              <a16:creationId xmlns:a16="http://schemas.microsoft.com/office/drawing/2014/main" id="{7414E842-DA5D-4231-A4B2-BAFAE79A73B3}"/>
            </a:ext>
          </a:extLst>
        </xdr:cNvPr>
        <xdr:cNvSpPr/>
      </xdr:nvSpPr>
      <xdr:spPr>
        <a:xfrm>
          <a:off x="7048500" y="3421380"/>
          <a:ext cx="7627620" cy="4495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is</a:t>
          </a:r>
          <a:r>
            <a:rPr lang="en-AU" sz="1200" b="0" baseline="0"/>
            <a:t> the same as nabla.d.ScheduleValues</a:t>
          </a:r>
          <a:r>
            <a:rPr lang="el-GR" sz="1200" b="0" baseline="0"/>
            <a:t>λ</a:t>
          </a:r>
          <a:r>
            <a:rPr lang="en-AU" sz="1200" b="0" baseline="0"/>
            <a:t>() example with the exception that each customer is on its own line.</a:t>
          </a:r>
        </a:p>
        <a:p>
          <a:pPr algn="l"/>
          <a:endParaRPr lang="en-AU" sz="1200" b="0" baseline="0"/>
        </a:p>
        <a:p>
          <a:pPr algn="l"/>
          <a:endParaRPr lang="en-AU" sz="1200" b="0" baseline="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13</xdr:row>
      <xdr:rowOff>0</xdr:rowOff>
    </xdr:from>
    <xdr:to>
      <xdr:col>16</xdr:col>
      <xdr:colOff>45720</xdr:colOff>
      <xdr:row>17</xdr:row>
      <xdr:rowOff>53340</xdr:rowOff>
    </xdr:to>
    <xdr:sp macro="" textlink="">
      <xdr:nvSpPr>
        <xdr:cNvPr id="2" name="Rectangle: Rounded Corners 1">
          <a:extLst>
            <a:ext uri="{FF2B5EF4-FFF2-40B4-BE49-F238E27FC236}">
              <a16:creationId xmlns:a16="http://schemas.microsoft.com/office/drawing/2014/main" id="{A42F58C1-8F64-49D4-9AF3-C1E451BD1E6D}"/>
            </a:ext>
          </a:extLst>
        </xdr:cNvPr>
        <xdr:cNvSpPr/>
      </xdr:nvSpPr>
      <xdr:spPr>
        <a:xfrm>
          <a:off x="4564380" y="2773680"/>
          <a:ext cx="7246620" cy="7848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The timeline is core to many models. This nabla function makes adding timelines simple. It can produce period start dates or end dates. It can accomodate any number of periods and periods can be Days, Weeks, Months, Quarters, or Years.</a:t>
          </a:r>
        </a:p>
        <a:p>
          <a:pPr algn="l"/>
          <a:endParaRPr lang="en-AU" sz="1200" b="0" baseline="0"/>
        </a:p>
        <a:p>
          <a:pPr algn="l"/>
          <a:endParaRPr lang="en-AU" sz="1200" b="0" baseline="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129540</xdr:colOff>
      <xdr:row>16</xdr:row>
      <xdr:rowOff>15240</xdr:rowOff>
    </xdr:from>
    <xdr:to>
      <xdr:col>14</xdr:col>
      <xdr:colOff>320040</xdr:colOff>
      <xdr:row>20</xdr:row>
      <xdr:rowOff>68580</xdr:rowOff>
    </xdr:to>
    <xdr:sp macro="" textlink="">
      <xdr:nvSpPr>
        <xdr:cNvPr id="2" name="Rectangle: Rounded Corners 1">
          <a:extLst>
            <a:ext uri="{FF2B5EF4-FFF2-40B4-BE49-F238E27FC236}">
              <a16:creationId xmlns:a16="http://schemas.microsoft.com/office/drawing/2014/main" id="{CA4995E5-0AD8-4CC7-B90D-940EC311CE18}"/>
            </a:ext>
          </a:extLst>
        </xdr:cNvPr>
        <xdr:cNvSpPr/>
      </xdr:nvSpPr>
      <xdr:spPr>
        <a:xfrm>
          <a:off x="3878580" y="3337560"/>
          <a:ext cx="7246620" cy="7848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example we have several small business loans scheduled. The first one starts partway through our model's first period. The last one extends beyond our model's timeline. </a:t>
          </a:r>
          <a:r>
            <a:rPr lang="en-AU" sz="1200" b="1" baseline="0"/>
            <a:t>Amortise</a:t>
          </a:r>
          <a:r>
            <a:rPr lang="el-GR" sz="1200" b="1" baseline="0"/>
            <a:t>λ</a:t>
          </a:r>
          <a:r>
            <a:rPr lang="en-AU" sz="1200" b="1" baseline="0"/>
            <a:t>() </a:t>
          </a:r>
          <a:r>
            <a:rPr lang="en-AU" sz="1200" b="0" baseline="0"/>
            <a:t>calculates the entire life of each loan and displays only those calculations that fit within the model's timeline.</a:t>
          </a:r>
        </a:p>
        <a:p>
          <a:pPr algn="l"/>
          <a:endParaRPr lang="en-AU" sz="1200" b="0" baseline="0"/>
        </a:p>
        <a:p>
          <a:pPr algn="l"/>
          <a:endParaRPr lang="en-AU" sz="1200" b="0" baseline="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18</xdr:row>
      <xdr:rowOff>99060</xdr:rowOff>
    </xdr:from>
    <xdr:to>
      <xdr:col>16</xdr:col>
      <xdr:colOff>335280</xdr:colOff>
      <xdr:row>20</xdr:row>
      <xdr:rowOff>38100</xdr:rowOff>
    </xdr:to>
    <xdr:sp macro="" textlink="">
      <xdr:nvSpPr>
        <xdr:cNvPr id="2" name="Rectangle: Rounded Corners 1">
          <a:extLst>
            <a:ext uri="{FF2B5EF4-FFF2-40B4-BE49-F238E27FC236}">
              <a16:creationId xmlns:a16="http://schemas.microsoft.com/office/drawing/2014/main" id="{2807B5FE-B821-49F1-8DFC-AAF1D6682A9D}"/>
            </a:ext>
          </a:extLst>
        </xdr:cNvPr>
        <xdr:cNvSpPr/>
      </xdr:nvSpPr>
      <xdr:spPr>
        <a:xfrm>
          <a:off x="3550920" y="3787140"/>
          <a:ext cx="81457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LabelAmortise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special purpose function for adding descriptions </a:t>
          </a:r>
          <a:r>
            <a:rPr lang="en-AU" sz="1100" b="1" baseline="0">
              <a:solidFill>
                <a:schemeClr val="dk1"/>
              </a:solidFill>
              <a:effectLst/>
              <a:latin typeface="+mn-lt"/>
              <a:ea typeface="+mn-ea"/>
              <a:cs typeface="+mn-cs"/>
            </a:rPr>
            <a:t>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results. </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38100</xdr:colOff>
      <xdr:row>18</xdr:row>
      <xdr:rowOff>30480</xdr:rowOff>
    </xdr:from>
    <xdr:to>
      <xdr:col>17</xdr:col>
      <xdr:colOff>137160</xdr:colOff>
      <xdr:row>20</xdr:row>
      <xdr:rowOff>121920</xdr:rowOff>
    </xdr:to>
    <xdr:sp macro="" textlink="">
      <xdr:nvSpPr>
        <xdr:cNvPr id="2" name="Rectangle: Rounded Corners 1">
          <a:extLst>
            <a:ext uri="{FF2B5EF4-FFF2-40B4-BE49-F238E27FC236}">
              <a16:creationId xmlns:a16="http://schemas.microsoft.com/office/drawing/2014/main" id="{0EFF9EF9-8437-4F16-8539-FD2FD4CACCF5}"/>
            </a:ext>
          </a:extLst>
        </xdr:cNvPr>
        <xdr:cNvSpPr/>
      </xdr:nvSpPr>
      <xdr:spPr>
        <a:xfrm>
          <a:off x="4053840" y="3535680"/>
          <a:ext cx="8602980" cy="4572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specific use function for adding appropriate row totals to </a:t>
          </a:r>
          <a:r>
            <a:rPr lang="en-AU" sz="1100" b="1" baseline="0">
              <a:solidFill>
                <a:schemeClr val="dk1"/>
              </a:solidFill>
              <a:effectLst/>
              <a:latin typeface="+mn-lt"/>
              <a:ea typeface="+mn-ea"/>
              <a:cs typeface="+mn-cs"/>
            </a:rPr>
            <a:t>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results.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693420</xdr:colOff>
      <xdr:row>10</xdr:row>
      <xdr:rowOff>160020</xdr:rowOff>
    </xdr:from>
    <xdr:to>
      <xdr:col>17</xdr:col>
      <xdr:colOff>228600</xdr:colOff>
      <xdr:row>21</xdr:row>
      <xdr:rowOff>99060</xdr:rowOff>
    </xdr:to>
    <xdr:sp macro="" textlink="">
      <xdr:nvSpPr>
        <xdr:cNvPr id="2" name="Rectangle: Rounded Corners 1">
          <a:extLst>
            <a:ext uri="{FF2B5EF4-FFF2-40B4-BE49-F238E27FC236}">
              <a16:creationId xmlns:a16="http://schemas.microsoft.com/office/drawing/2014/main" id="{78F044BB-CCC4-4F36-8803-1D5DB194A0DC}"/>
            </a:ext>
          </a:extLst>
        </xdr:cNvPr>
        <xdr:cNvSpPr/>
      </xdr:nvSpPr>
      <xdr:spPr>
        <a:xfrm>
          <a:off x="5334000" y="2385060"/>
          <a:ext cx="8145780" cy="19507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Simple corkscrews are a visual way to calculate cumulative balances from 'upward flows' and 'downward flows'. They are called corkscrews because when we trace how ending balances become beginning balances (see arrows below), we see a helical pattern which esembles a wine bottle corkscrew.</a:t>
          </a:r>
        </a:p>
        <a:p>
          <a:pPr algn="l"/>
          <a:endParaRPr lang="en-AU" sz="1200" b="0" baseline="0"/>
        </a:p>
        <a:p>
          <a:pPr algn="l"/>
          <a:r>
            <a:rPr lang="en-AU" sz="1200" b="0" baseline="0"/>
            <a:t>A common corkscrew is shown below. It calculates receivable balances where invoices add to receivables (upward flow), and cash receipts subtract from receivables (downward flow).</a:t>
          </a:r>
        </a:p>
        <a:p>
          <a:pPr algn="l"/>
          <a:endParaRPr lang="en-AU" sz="1200" b="0" baseline="0"/>
        </a:p>
        <a:p>
          <a:pPr algn="l"/>
          <a:r>
            <a:rPr lang="en-AU" sz="1200" b="1" baseline="0"/>
            <a:t>Corkscrew</a:t>
          </a:r>
          <a:r>
            <a:rPr lang="el-GR" sz="1200" b="1" baseline="0"/>
            <a:t>λ</a:t>
          </a:r>
          <a:r>
            <a:rPr lang="en-AU" sz="1200" b="1" baseline="0"/>
            <a:t>()</a:t>
          </a:r>
          <a:r>
            <a:rPr lang="en-AU" sz="1200" b="0" baseline="0"/>
            <a:t> is designed solely for simple corkscrews. It can accomodate upto 4 flows. Downward flows must be assigned negative values.</a:t>
          </a:r>
        </a:p>
        <a:p>
          <a:pPr algn="l"/>
          <a:endParaRPr lang="en-AU" sz="1200" b="0" baseline="0"/>
        </a:p>
        <a:p>
          <a:pPr algn="l"/>
          <a:endParaRPr lang="en-AU" sz="1200" b="0" baseline="0"/>
        </a:p>
      </xdr:txBody>
    </xdr:sp>
    <xdr:clientData/>
  </xdr:twoCellAnchor>
  <xdr:twoCellAnchor>
    <xdr:from>
      <xdr:col>6</xdr:col>
      <xdr:colOff>739140</xdr:colOff>
      <xdr:row>28</xdr:row>
      <xdr:rowOff>114300</xdr:rowOff>
    </xdr:from>
    <xdr:to>
      <xdr:col>7</xdr:col>
      <xdr:colOff>373380</xdr:colOff>
      <xdr:row>31</xdr:row>
      <xdr:rowOff>99060</xdr:rowOff>
    </xdr:to>
    <xdr:cxnSp macro="">
      <xdr:nvCxnSpPr>
        <xdr:cNvPr id="4" name="Straight Arrow Connector 3">
          <a:extLst>
            <a:ext uri="{FF2B5EF4-FFF2-40B4-BE49-F238E27FC236}">
              <a16:creationId xmlns:a16="http://schemas.microsoft.com/office/drawing/2014/main" id="{E2E6F775-2DE1-549D-644D-027A01564FF6}"/>
            </a:ext>
          </a:extLst>
        </xdr:cNvPr>
        <xdr:cNvCxnSpPr/>
      </xdr:nvCxnSpPr>
      <xdr:spPr>
        <a:xfrm flipV="1">
          <a:off x="5379720" y="5715000"/>
          <a:ext cx="396240"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754380</xdr:colOff>
      <xdr:row>28</xdr:row>
      <xdr:rowOff>114300</xdr:rowOff>
    </xdr:from>
    <xdr:to>
      <xdr:col>8</xdr:col>
      <xdr:colOff>396240</xdr:colOff>
      <xdr:row>31</xdr:row>
      <xdr:rowOff>121920</xdr:rowOff>
    </xdr:to>
    <xdr:cxnSp macro="">
      <xdr:nvCxnSpPr>
        <xdr:cNvPr id="5" name="Straight Arrow Connector 4">
          <a:extLst>
            <a:ext uri="{FF2B5EF4-FFF2-40B4-BE49-F238E27FC236}">
              <a16:creationId xmlns:a16="http://schemas.microsoft.com/office/drawing/2014/main" id="{FE81D944-F060-4C73-992A-98B6C5325D4C}"/>
            </a:ext>
          </a:extLst>
        </xdr:cNvPr>
        <xdr:cNvCxnSpPr/>
      </xdr:nvCxnSpPr>
      <xdr:spPr>
        <a:xfrm flipV="1">
          <a:off x="6156960" y="571500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754380</xdr:colOff>
      <xdr:row>28</xdr:row>
      <xdr:rowOff>106680</xdr:rowOff>
    </xdr:from>
    <xdr:to>
      <xdr:col>9</xdr:col>
      <xdr:colOff>365760</xdr:colOff>
      <xdr:row>31</xdr:row>
      <xdr:rowOff>114300</xdr:rowOff>
    </xdr:to>
    <xdr:cxnSp macro="">
      <xdr:nvCxnSpPr>
        <xdr:cNvPr id="9" name="Straight Arrow Connector 8">
          <a:extLst>
            <a:ext uri="{FF2B5EF4-FFF2-40B4-BE49-F238E27FC236}">
              <a16:creationId xmlns:a16="http://schemas.microsoft.com/office/drawing/2014/main" id="{5C5C63D1-0143-4F91-B091-EA157F4D77FE}"/>
            </a:ext>
          </a:extLst>
        </xdr:cNvPr>
        <xdr:cNvCxnSpPr/>
      </xdr:nvCxnSpPr>
      <xdr:spPr>
        <a:xfrm flipV="1">
          <a:off x="693420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769620</xdr:colOff>
      <xdr:row>28</xdr:row>
      <xdr:rowOff>106680</xdr:rowOff>
    </xdr:from>
    <xdr:to>
      <xdr:col>10</xdr:col>
      <xdr:colOff>411480</xdr:colOff>
      <xdr:row>31</xdr:row>
      <xdr:rowOff>114300</xdr:rowOff>
    </xdr:to>
    <xdr:cxnSp macro="">
      <xdr:nvCxnSpPr>
        <xdr:cNvPr id="10" name="Straight Arrow Connector 9">
          <a:extLst>
            <a:ext uri="{FF2B5EF4-FFF2-40B4-BE49-F238E27FC236}">
              <a16:creationId xmlns:a16="http://schemas.microsoft.com/office/drawing/2014/main" id="{1AC83322-5DAB-9200-7031-FDE897A14C9D}"/>
            </a:ext>
          </a:extLst>
        </xdr:cNvPr>
        <xdr:cNvCxnSpPr/>
      </xdr:nvCxnSpPr>
      <xdr:spPr>
        <a:xfrm flipV="1">
          <a:off x="775716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28</xdr:row>
      <xdr:rowOff>106680</xdr:rowOff>
    </xdr:from>
    <xdr:to>
      <xdr:col>11</xdr:col>
      <xdr:colOff>419100</xdr:colOff>
      <xdr:row>31</xdr:row>
      <xdr:rowOff>114300</xdr:rowOff>
    </xdr:to>
    <xdr:cxnSp macro="">
      <xdr:nvCxnSpPr>
        <xdr:cNvPr id="11" name="Straight Arrow Connector 10">
          <a:extLst>
            <a:ext uri="{FF2B5EF4-FFF2-40B4-BE49-F238E27FC236}">
              <a16:creationId xmlns:a16="http://schemas.microsoft.com/office/drawing/2014/main" id="{BA5C189E-29C9-E4BE-0181-DDC7BA89880C}"/>
            </a:ext>
          </a:extLst>
        </xdr:cNvPr>
        <xdr:cNvCxnSpPr/>
      </xdr:nvCxnSpPr>
      <xdr:spPr>
        <a:xfrm flipV="1">
          <a:off x="859536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731520</xdr:colOff>
      <xdr:row>28</xdr:row>
      <xdr:rowOff>106680</xdr:rowOff>
    </xdr:from>
    <xdr:to>
      <xdr:col>12</xdr:col>
      <xdr:colOff>381000</xdr:colOff>
      <xdr:row>31</xdr:row>
      <xdr:rowOff>114300</xdr:rowOff>
    </xdr:to>
    <xdr:cxnSp macro="">
      <xdr:nvCxnSpPr>
        <xdr:cNvPr id="12" name="Straight Arrow Connector 11">
          <a:extLst>
            <a:ext uri="{FF2B5EF4-FFF2-40B4-BE49-F238E27FC236}">
              <a16:creationId xmlns:a16="http://schemas.microsoft.com/office/drawing/2014/main" id="{0A550045-DDE0-C0D5-2B2D-56C702930BFB}"/>
            </a:ext>
          </a:extLst>
        </xdr:cNvPr>
        <xdr:cNvCxnSpPr/>
      </xdr:nvCxnSpPr>
      <xdr:spPr>
        <a:xfrm flipV="1">
          <a:off x="932688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28</xdr:row>
      <xdr:rowOff>106680</xdr:rowOff>
    </xdr:from>
    <xdr:to>
      <xdr:col>13</xdr:col>
      <xdr:colOff>419100</xdr:colOff>
      <xdr:row>31</xdr:row>
      <xdr:rowOff>114300</xdr:rowOff>
    </xdr:to>
    <xdr:cxnSp macro="">
      <xdr:nvCxnSpPr>
        <xdr:cNvPr id="13" name="Straight Arrow Connector 12">
          <a:extLst>
            <a:ext uri="{FF2B5EF4-FFF2-40B4-BE49-F238E27FC236}">
              <a16:creationId xmlns:a16="http://schemas.microsoft.com/office/drawing/2014/main" id="{B9AB5FD3-4F54-ED18-56B8-8E62DE50665B}"/>
            </a:ext>
          </a:extLst>
        </xdr:cNvPr>
        <xdr:cNvCxnSpPr/>
      </xdr:nvCxnSpPr>
      <xdr:spPr>
        <a:xfrm flipV="1">
          <a:off x="1008888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784860</xdr:colOff>
      <xdr:row>28</xdr:row>
      <xdr:rowOff>106680</xdr:rowOff>
    </xdr:from>
    <xdr:to>
      <xdr:col>14</xdr:col>
      <xdr:colOff>403860</xdr:colOff>
      <xdr:row>31</xdr:row>
      <xdr:rowOff>114300</xdr:rowOff>
    </xdr:to>
    <xdr:cxnSp macro="">
      <xdr:nvCxnSpPr>
        <xdr:cNvPr id="14" name="Straight Arrow Connector 13">
          <a:extLst>
            <a:ext uri="{FF2B5EF4-FFF2-40B4-BE49-F238E27FC236}">
              <a16:creationId xmlns:a16="http://schemas.microsoft.com/office/drawing/2014/main" id="{F6D76BCA-D309-800B-5668-CC349FE5131D}"/>
            </a:ext>
          </a:extLst>
        </xdr:cNvPr>
        <xdr:cNvCxnSpPr/>
      </xdr:nvCxnSpPr>
      <xdr:spPr>
        <a:xfrm flipV="1">
          <a:off x="1087374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45720</xdr:colOff>
      <xdr:row>10</xdr:row>
      <xdr:rowOff>30480</xdr:rowOff>
    </xdr:from>
    <xdr:to>
      <xdr:col>15</xdr:col>
      <xdr:colOff>548640</xdr:colOff>
      <xdr:row>15</xdr:row>
      <xdr:rowOff>167640</xdr:rowOff>
    </xdr:to>
    <xdr:sp macro="" textlink="">
      <xdr:nvSpPr>
        <xdr:cNvPr id="2" name="Rectangle: Rounded Corners 1">
          <a:extLst>
            <a:ext uri="{FF2B5EF4-FFF2-40B4-BE49-F238E27FC236}">
              <a16:creationId xmlns:a16="http://schemas.microsoft.com/office/drawing/2014/main" id="{CD0E6289-AA74-41AB-AFE3-87890DA60515}"/>
            </a:ext>
          </a:extLst>
        </xdr:cNvPr>
        <xdr:cNvSpPr/>
      </xdr:nvSpPr>
      <xdr:spPr>
        <a:xfrm>
          <a:off x="3992880" y="1706880"/>
          <a:ext cx="8602980" cy="10515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Cumulative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an alternative to corkscrews. The closing balance in a corkscrew can be calculated by suming the column above the closing balance. This is visually natural. This alternative is calculated by adding the prior period's closing balance to the current period's subtotal. This is mathematically simpler but not as visually natural as totalling numbers in a column.</a:t>
          </a:r>
          <a:br>
            <a:rPr lang="en-AU" sz="1100" b="0" baseline="0">
              <a:solidFill>
                <a:schemeClr val="dk1"/>
              </a:solidFill>
              <a:effectLst/>
              <a:latin typeface="+mn-lt"/>
              <a:ea typeface="+mn-ea"/>
              <a:cs typeface="+mn-cs"/>
            </a:rPr>
          </a:br>
          <a:endParaRPr lang="en-AU"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Cumulative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requires something missing from corkscrew calculations: </a:t>
          </a:r>
          <a:r>
            <a:rPr lang="en-AU" sz="1100" b="1" baseline="0">
              <a:solidFill>
                <a:schemeClr val="dk1"/>
              </a:solidFill>
              <a:effectLst/>
              <a:latin typeface="+mn-lt"/>
              <a:ea typeface="+mn-ea"/>
              <a:cs typeface="+mn-cs"/>
            </a:rPr>
            <a:t>period subtotals</a:t>
          </a:r>
          <a:r>
            <a:rPr lang="en-AU" sz="1100" b="0" baseline="0">
              <a:solidFill>
                <a:schemeClr val="dk1"/>
              </a:solidFill>
              <a:effectLst/>
              <a:latin typeface="+mn-lt"/>
              <a:ea typeface="+mn-ea"/>
              <a:cs typeface="+mn-cs"/>
            </a:rPr>
            <a:t>. </a:t>
          </a:r>
          <a:r>
            <a:rPr lang="en-AU" sz="1100" b="1" baseline="0">
              <a:solidFill>
                <a:schemeClr val="dk1"/>
              </a:solidFill>
              <a:effectLst/>
              <a:latin typeface="+mn-lt"/>
              <a:ea typeface="+mn-ea"/>
              <a:cs typeface="+mn-cs"/>
            </a:rPr>
            <a:t>Period </a:t>
          </a:r>
          <a:r>
            <a:rPr lang="en-AU" sz="1100" b="0" baseline="0">
              <a:solidFill>
                <a:schemeClr val="dk1"/>
              </a:solidFill>
              <a:effectLst/>
              <a:latin typeface="+mn-lt"/>
              <a:ea typeface="+mn-ea"/>
              <a:cs typeface="+mn-cs"/>
            </a:rPr>
            <a:t>are sometimes desireable. See: </a:t>
          </a:r>
          <a:r>
            <a:rPr lang="en-AU" sz="1100" b="1" baseline="0">
              <a:solidFill>
                <a:schemeClr val="dk1"/>
              </a:solidFill>
              <a:effectLst/>
              <a:latin typeface="+mn-lt"/>
              <a:ea typeface="+mn-ea"/>
              <a:cs typeface="+mn-cs"/>
            </a:rPr>
            <a:t>Movement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 </a:t>
          </a:r>
          <a:endParaRPr lang="en-AU" sz="1200" b="1" baseline="0"/>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45720</xdr:colOff>
      <xdr:row>51</xdr:row>
      <xdr:rowOff>30480</xdr:rowOff>
    </xdr:from>
    <xdr:to>
      <xdr:col>6</xdr:col>
      <xdr:colOff>411480</xdr:colOff>
      <xdr:row>65</xdr:row>
      <xdr:rowOff>68580</xdr:rowOff>
    </xdr:to>
    <xdr:sp macro="" textlink="">
      <xdr:nvSpPr>
        <xdr:cNvPr id="2" name="Rectangle: Rounded Corners 1">
          <a:extLst>
            <a:ext uri="{FF2B5EF4-FFF2-40B4-BE49-F238E27FC236}">
              <a16:creationId xmlns:a16="http://schemas.microsoft.com/office/drawing/2014/main" id="{27283608-5DEE-4FED-8F57-CFC6074CA4CB}"/>
            </a:ext>
          </a:extLst>
        </xdr:cNvPr>
        <xdr:cNvSpPr/>
      </xdr:nvSpPr>
      <xdr:spPr>
        <a:xfrm>
          <a:off x="45720" y="9921240"/>
          <a:ext cx="5036820" cy="25984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example we have several assets we need to depreciate. Each asset uses a different method. The first one predates our model's timeline. The last one extends beyond our model's timeline. </a:t>
          </a:r>
          <a:r>
            <a:rPr lang="en-AU" sz="1200" b="1" baseline="0"/>
            <a:t>Depreciate</a:t>
          </a:r>
          <a:r>
            <a:rPr lang="el-GR" sz="1200" b="1" baseline="0"/>
            <a:t>λ</a:t>
          </a:r>
          <a:r>
            <a:rPr lang="en-AU" sz="1200" b="1" baseline="0"/>
            <a:t>() </a:t>
          </a:r>
          <a:r>
            <a:rPr lang="en-AU" sz="1200" b="0" baseline="0"/>
            <a:t>calculates the entire life of each asset and displays only those calculations that fit within the model's timeline.</a:t>
          </a:r>
          <a:br>
            <a:rPr lang="en-AU" sz="1200" b="0" baseline="0"/>
          </a:br>
          <a:endParaRPr lang="en-AU" sz="1200" b="0" baseline="0"/>
        </a:p>
        <a:p>
          <a:pPr algn="l"/>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set to not leave money on the table. In the final period it writes the remaining book value down to the salvage value. Excel's DB() and DDB() functions stop short of that, understating the deduction in the last period.</a:t>
          </a:r>
        </a:p>
        <a:p>
          <a:pPr algn="l"/>
          <a:endParaRPr lang="en-AU" sz="1100" b="0" baseline="0">
            <a:solidFill>
              <a:schemeClr val="dk1"/>
            </a:solidFill>
            <a:effectLst/>
            <a:latin typeface="+mn-lt"/>
            <a:ea typeface="+mn-ea"/>
            <a:cs typeface="+mn-cs"/>
          </a:endParaRPr>
        </a:p>
        <a:p>
          <a:pPr algn="l"/>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also compensates for Excel's DB() failure to calculate depreciation when no salvage value is claimed. </a:t>
          </a:r>
          <a:br>
            <a:rPr lang="en-AU" sz="1200" b="0" baseline="0"/>
          </a:br>
          <a:endParaRPr lang="en-AU" sz="1200" b="0" baseline="0"/>
        </a:p>
        <a:p>
          <a:pPr algn="l"/>
          <a:endParaRPr lang="en-AU" sz="1200" b="0" baseline="0"/>
        </a:p>
        <a:p>
          <a:pPr algn="l"/>
          <a:endParaRPr lang="en-AU" sz="1200" b="0" baseline="0"/>
        </a:p>
      </xdr:txBody>
    </xdr:sp>
    <xdr:clientData/>
  </xdr:twoCellAnchor>
  <xdr:twoCellAnchor>
    <xdr:from>
      <xdr:col>9</xdr:col>
      <xdr:colOff>914400</xdr:colOff>
      <xdr:row>32</xdr:row>
      <xdr:rowOff>106680</xdr:rowOff>
    </xdr:from>
    <xdr:to>
      <xdr:col>21</xdr:col>
      <xdr:colOff>7620</xdr:colOff>
      <xdr:row>35</xdr:row>
      <xdr:rowOff>38100</xdr:rowOff>
    </xdr:to>
    <xdr:sp macro="" textlink="">
      <xdr:nvSpPr>
        <xdr:cNvPr id="3" name="Rectangle: Rounded Corners 2">
          <a:extLst>
            <a:ext uri="{FF2B5EF4-FFF2-40B4-BE49-F238E27FC236}">
              <a16:creationId xmlns:a16="http://schemas.microsoft.com/office/drawing/2014/main" id="{8A865D83-3460-361A-5595-86A07F6A6353}"/>
            </a:ext>
          </a:extLst>
        </xdr:cNvPr>
        <xdr:cNvSpPr/>
      </xdr:nvSpPr>
      <xdr:spPr>
        <a:xfrm>
          <a:off x="6233160" y="56235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nabla functions can spill an undetermined number of rows, it is best to place totals at top so they never have to be relocated.</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9</xdr:col>
      <xdr:colOff>868680</xdr:colOff>
      <xdr:row>22</xdr:row>
      <xdr:rowOff>53340</xdr:rowOff>
    </xdr:from>
    <xdr:to>
      <xdr:col>22</xdr:col>
      <xdr:colOff>685800</xdr:colOff>
      <xdr:row>23</xdr:row>
      <xdr:rowOff>144780</xdr:rowOff>
    </xdr:to>
    <xdr:sp macro="" textlink="">
      <xdr:nvSpPr>
        <xdr:cNvPr id="2" name="Rectangle: Rounded Corners 1">
          <a:extLst>
            <a:ext uri="{FF2B5EF4-FFF2-40B4-BE49-F238E27FC236}">
              <a16:creationId xmlns:a16="http://schemas.microsoft.com/office/drawing/2014/main" id="{AB25C5FC-34EE-4F59-A326-FE448A119B1F}"/>
            </a:ext>
          </a:extLst>
        </xdr:cNvPr>
        <xdr:cNvSpPr/>
      </xdr:nvSpPr>
      <xdr:spPr>
        <a:xfrm>
          <a:off x="6187440" y="455676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LableDepreciate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combines asset names with </a:t>
          </a:r>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's row descriptions.</a:t>
          </a:r>
          <a:endParaRPr lang="en-AU" sz="1200" b="0" baseline="0"/>
        </a:p>
      </xdr:txBody>
    </xdr:sp>
    <xdr:clientData/>
  </xdr:twoCellAnchor>
  <xdr:twoCellAnchor>
    <xdr:from>
      <xdr:col>9</xdr:col>
      <xdr:colOff>914400</xdr:colOff>
      <xdr:row>13</xdr:row>
      <xdr:rowOff>106680</xdr:rowOff>
    </xdr:from>
    <xdr:to>
      <xdr:col>23</xdr:col>
      <xdr:colOff>7620</xdr:colOff>
      <xdr:row>15</xdr:row>
      <xdr:rowOff>38100</xdr:rowOff>
    </xdr:to>
    <xdr:sp macro="" textlink="">
      <xdr:nvSpPr>
        <xdr:cNvPr id="3" name="Rectangle: Rounded Corners 2">
          <a:extLst>
            <a:ext uri="{FF2B5EF4-FFF2-40B4-BE49-F238E27FC236}">
              <a16:creationId xmlns:a16="http://schemas.microsoft.com/office/drawing/2014/main" id="{984B6AC3-71B7-4393-BB9A-CF6F5C75580D}"/>
            </a:ext>
          </a:extLst>
        </xdr:cNvPr>
        <xdr:cNvSpPr/>
      </xdr:nvSpPr>
      <xdr:spPr>
        <a:xfrm>
          <a:off x="6233160" y="56235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nabla functions can spill an undetermined number of rows, it is best to place totals at top so they never have to be relocated.</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868680</xdr:colOff>
      <xdr:row>22</xdr:row>
      <xdr:rowOff>53340</xdr:rowOff>
    </xdr:from>
    <xdr:to>
      <xdr:col>22</xdr:col>
      <xdr:colOff>685800</xdr:colOff>
      <xdr:row>23</xdr:row>
      <xdr:rowOff>144780</xdr:rowOff>
    </xdr:to>
    <xdr:sp macro="" textlink="">
      <xdr:nvSpPr>
        <xdr:cNvPr id="2" name="Rectangle: Rounded Corners 1">
          <a:extLst>
            <a:ext uri="{FF2B5EF4-FFF2-40B4-BE49-F238E27FC236}">
              <a16:creationId xmlns:a16="http://schemas.microsoft.com/office/drawing/2014/main" id="{6DDE1CA5-24A9-4CC5-A5B3-D61513D3C019}"/>
            </a:ext>
          </a:extLst>
        </xdr:cNvPr>
        <xdr:cNvSpPr/>
      </xdr:nvSpPr>
      <xdr:spPr>
        <a:xfrm>
          <a:off x="6187440" y="455676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SumDepreciate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creates row totals appropriate for </a:t>
          </a:r>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's results.</a:t>
          </a:r>
          <a:endParaRPr lang="en-AU" sz="1200" b="0" baseline="0"/>
        </a:p>
      </xdr:txBody>
    </xdr:sp>
    <xdr:clientData/>
  </xdr:twoCellAnchor>
  <xdr:twoCellAnchor>
    <xdr:from>
      <xdr:col>9</xdr:col>
      <xdr:colOff>914400</xdr:colOff>
      <xdr:row>13</xdr:row>
      <xdr:rowOff>106680</xdr:rowOff>
    </xdr:from>
    <xdr:to>
      <xdr:col>23</xdr:col>
      <xdr:colOff>7620</xdr:colOff>
      <xdr:row>15</xdr:row>
      <xdr:rowOff>38100</xdr:rowOff>
    </xdr:to>
    <xdr:sp macro="" textlink="">
      <xdr:nvSpPr>
        <xdr:cNvPr id="3" name="Rectangle: Rounded Corners 2">
          <a:extLst>
            <a:ext uri="{FF2B5EF4-FFF2-40B4-BE49-F238E27FC236}">
              <a16:creationId xmlns:a16="http://schemas.microsoft.com/office/drawing/2014/main" id="{BA510176-2AF6-46E8-AAE8-5301991CD0FF}"/>
            </a:ext>
          </a:extLst>
        </xdr:cNvPr>
        <xdr:cNvSpPr/>
      </xdr:nvSpPr>
      <xdr:spPr>
        <a:xfrm>
          <a:off x="6233160" y="28803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nabla functions can spill an undetermined number of rows, it is best to place totals at top so they never have to be relocated.</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9</xdr:col>
      <xdr:colOff>868680</xdr:colOff>
      <xdr:row>17</xdr:row>
      <xdr:rowOff>45720</xdr:rowOff>
    </xdr:from>
    <xdr:to>
      <xdr:col>22</xdr:col>
      <xdr:colOff>685800</xdr:colOff>
      <xdr:row>18</xdr:row>
      <xdr:rowOff>137160</xdr:rowOff>
    </xdr:to>
    <xdr:sp macro="" textlink="">
      <xdr:nvSpPr>
        <xdr:cNvPr id="2" name="Rectangle: Rounded Corners 1">
          <a:extLst>
            <a:ext uri="{FF2B5EF4-FFF2-40B4-BE49-F238E27FC236}">
              <a16:creationId xmlns:a16="http://schemas.microsoft.com/office/drawing/2014/main" id="{1BBBDC1E-544B-466A-A4B0-9642F85454DD}"/>
            </a:ext>
          </a:extLst>
        </xdr:cNvPr>
        <xdr:cNvSpPr/>
      </xdr:nvSpPr>
      <xdr:spPr>
        <a:xfrm>
          <a:off x="6187440" y="355092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SumContains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totals those row values where the row labels contain a unique letter, word or phrase.</a:t>
          </a:r>
          <a:endParaRPr lang="en-AU" sz="1200" b="0" baseline="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7</xdr:col>
      <xdr:colOff>693420</xdr:colOff>
      <xdr:row>9</xdr:row>
      <xdr:rowOff>106680</xdr:rowOff>
    </xdr:from>
    <xdr:to>
      <xdr:col>18</xdr:col>
      <xdr:colOff>449580</xdr:colOff>
      <xdr:row>15</xdr:row>
      <xdr:rowOff>137160</xdr:rowOff>
    </xdr:to>
    <xdr:sp macro="" textlink="">
      <xdr:nvSpPr>
        <xdr:cNvPr id="10" name="Rectangle: Rounded Corners 9">
          <a:extLst>
            <a:ext uri="{FF2B5EF4-FFF2-40B4-BE49-F238E27FC236}">
              <a16:creationId xmlns:a16="http://schemas.microsoft.com/office/drawing/2014/main" id="{1857AB08-89F3-481A-9015-B32E89E9305E}"/>
            </a:ext>
          </a:extLst>
        </xdr:cNvPr>
        <xdr:cNvSpPr/>
      </xdr:nvSpPr>
      <xdr:spPr>
        <a:xfrm>
          <a:off x="5532120" y="2148840"/>
          <a:ext cx="8404860" cy="11277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Interest during construction presents a special problem because we need to borrow enough to cover construction costs AND the interest on it, and the interest on that, and so on. </a:t>
          </a:r>
        </a:p>
        <a:p>
          <a:pPr algn="l"/>
          <a:endParaRPr lang="en-AU" sz="1200" b="0" baseline="0"/>
        </a:p>
        <a:p>
          <a:pPr algn="l"/>
          <a:r>
            <a:rPr lang="en-AU" sz="1200" b="1" baseline="0"/>
            <a:t>IntOnInt</a:t>
          </a:r>
          <a:r>
            <a:rPr lang="el-GR" sz="1200" b="1" baseline="0"/>
            <a:t>λ(</a:t>
          </a:r>
          <a:r>
            <a:rPr lang="en-AU" sz="1200" b="1" baseline="0"/>
            <a:t>) </a:t>
          </a:r>
          <a:r>
            <a:rPr lang="en-AU" sz="1200" b="0" baseline="0"/>
            <a:t>is not a complicated formula but one that is not well known. Wrapping it into a function with a name that conveys interest on interest can help prevent us from going down 'rabbit holes' that can consume a lot of time.</a:t>
          </a:r>
          <a:br>
            <a:rPr lang="en-AU" sz="1200" b="0" baseline="0"/>
          </a:br>
          <a:endParaRPr lang="en-AU" sz="1200" b="0" baseline="0"/>
        </a:p>
        <a:p>
          <a:pPr algn="l"/>
          <a:endParaRPr lang="en-AU" sz="1200" b="0" baseline="0"/>
        </a:p>
        <a:p>
          <a:pPr algn="l"/>
          <a:endParaRPr lang="en-AU" sz="1200" b="0" baseline="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182880</xdr:colOff>
      <xdr:row>15</xdr:row>
      <xdr:rowOff>106680</xdr:rowOff>
    </xdr:from>
    <xdr:to>
      <xdr:col>16</xdr:col>
      <xdr:colOff>609600</xdr:colOff>
      <xdr:row>22</xdr:row>
      <xdr:rowOff>160020</xdr:rowOff>
    </xdr:to>
    <xdr:sp macro="" textlink="">
      <xdr:nvSpPr>
        <xdr:cNvPr id="2" name="Rectangle: Rounded Corners 1">
          <a:extLst>
            <a:ext uri="{FF2B5EF4-FFF2-40B4-BE49-F238E27FC236}">
              <a16:creationId xmlns:a16="http://schemas.microsoft.com/office/drawing/2014/main" id="{B6077D12-8311-4ED3-874C-0602BC799888}"/>
            </a:ext>
          </a:extLst>
        </xdr:cNvPr>
        <xdr:cNvSpPr/>
      </xdr:nvSpPr>
      <xdr:spPr>
        <a:xfrm>
          <a:off x="4084320" y="3246120"/>
          <a:ext cx="8054340" cy="13335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This improves Excels XIRR() </a:t>
          </a:r>
          <a:r>
            <a:rPr lang="en-AU" sz="1100" b="0" baseline="0">
              <a:solidFill>
                <a:schemeClr val="dk1"/>
              </a:solidFill>
              <a:effectLst/>
              <a:latin typeface="+mn-lt"/>
              <a:ea typeface="+mn-ea"/>
              <a:cs typeface="+mn-cs"/>
            </a:rPr>
            <a:t>(internal rate of return)  </a:t>
          </a:r>
          <a:r>
            <a:rPr lang="en-AU" sz="1200" b="0" baseline="0"/>
            <a:t>function.</a:t>
          </a:r>
        </a:p>
        <a:p>
          <a:pPr algn="l"/>
          <a:br>
            <a:rPr lang="en-AU" sz="1200" b="0" baseline="0"/>
          </a:br>
          <a:r>
            <a:rPr lang="en-AU" sz="1200" b="0" baseline="0"/>
            <a:t>Microsoft replaced Excel's </a:t>
          </a:r>
          <a:r>
            <a:rPr lang="en-AU" sz="1200" b="1" baseline="0"/>
            <a:t>IRR()</a:t>
          </a:r>
          <a:r>
            <a:rPr lang="en-AU" sz="1200" b="0" baseline="0"/>
            <a:t> function with </a:t>
          </a:r>
          <a:r>
            <a:rPr lang="en-AU" sz="1200" b="1" baseline="0"/>
            <a:t>XIRR(). XIRR()</a:t>
          </a:r>
          <a:r>
            <a:rPr lang="en-AU" sz="1200" b="0" baseline="0"/>
            <a:t> is an improvement over </a:t>
          </a:r>
          <a:r>
            <a:rPr lang="en-AU" sz="1200" b="1" baseline="0"/>
            <a:t>IRR() </a:t>
          </a:r>
          <a:r>
            <a:rPr lang="en-AU" sz="1200" b="0" baseline="0"/>
            <a:t>but suffers from inconclusive results under certain circumstances and a requirement that it must start on a non-zero cell that makes it very difficult to use for many financial models. nabla's </a:t>
          </a:r>
          <a:r>
            <a:rPr lang="en-AU" sz="1200" b="1" baseline="0"/>
            <a:t>IRR</a:t>
          </a:r>
          <a:r>
            <a:rPr lang="el-GR" sz="1200" b="1" baseline="0"/>
            <a:t>λ(</a:t>
          </a:r>
          <a:r>
            <a:rPr lang="en-AU" sz="1200" b="1" baseline="0"/>
            <a:t>) </a:t>
          </a:r>
          <a:r>
            <a:rPr lang="en-AU" sz="1200" b="0" baseline="0"/>
            <a:t>solves one of those issues by selection only non-zero cash flows and their ssociated dates.</a:t>
          </a:r>
          <a:br>
            <a:rPr lang="en-AU" sz="1200" b="0" baseline="0"/>
          </a:br>
          <a:endParaRPr lang="en-AU" sz="1200" b="0" baseline="0"/>
        </a:p>
        <a:p>
          <a:pPr algn="l"/>
          <a:endParaRPr lang="en-AU" sz="1200" b="0" baseline="0"/>
        </a:p>
        <a:p>
          <a:pPr algn="l"/>
          <a:endParaRPr lang="en-AU" sz="1200" b="0" baseline="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5</xdr:col>
      <xdr:colOff>769620</xdr:colOff>
      <xdr:row>15</xdr:row>
      <xdr:rowOff>160020</xdr:rowOff>
    </xdr:from>
    <xdr:to>
      <xdr:col>18</xdr:col>
      <xdr:colOff>678180</xdr:colOff>
      <xdr:row>17</xdr:row>
      <xdr:rowOff>68580</xdr:rowOff>
    </xdr:to>
    <xdr:sp macro="" textlink="">
      <xdr:nvSpPr>
        <xdr:cNvPr id="2" name="Rectangle: Rounded Corners 1">
          <a:extLst>
            <a:ext uri="{FF2B5EF4-FFF2-40B4-BE49-F238E27FC236}">
              <a16:creationId xmlns:a16="http://schemas.microsoft.com/office/drawing/2014/main" id="{2F599FB7-D9D1-4E89-8D72-7125026C3E46}"/>
            </a:ext>
          </a:extLst>
        </xdr:cNvPr>
        <xdr:cNvSpPr/>
      </xdr:nvSpPr>
      <xdr:spPr>
        <a:xfrm>
          <a:off x="3878580" y="329946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RollingSum</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t>
          </a:r>
          <a:r>
            <a:rPr lang="en-AU" sz="1100" b="0">
              <a:solidFill>
                <a:schemeClr val="dk1"/>
              </a:solidFill>
              <a:effectLst/>
              <a:latin typeface="+mn-lt"/>
              <a:ea typeface="+mn-ea"/>
              <a:cs typeface="+mn-cs"/>
            </a:rPr>
            <a:t>Creates totals for preceding values of a set size moving from beginning to end over a row of values.</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6</xdr:col>
      <xdr:colOff>175260</xdr:colOff>
      <xdr:row>14</xdr:row>
      <xdr:rowOff>83820</xdr:rowOff>
    </xdr:from>
    <xdr:to>
      <xdr:col>17</xdr:col>
      <xdr:colOff>167640</xdr:colOff>
      <xdr:row>15</xdr:row>
      <xdr:rowOff>114300</xdr:rowOff>
    </xdr:to>
    <xdr:sp macro="" textlink="">
      <xdr:nvSpPr>
        <xdr:cNvPr id="10" name="Rectangle: Rounded Corners 9">
          <a:extLst>
            <a:ext uri="{FF2B5EF4-FFF2-40B4-BE49-F238E27FC236}">
              <a16:creationId xmlns:a16="http://schemas.microsoft.com/office/drawing/2014/main" id="{D072C2F6-2217-418D-AF1B-D6E1848F3F8D}"/>
            </a:ext>
          </a:extLst>
        </xdr:cNvPr>
        <xdr:cNvSpPr/>
      </xdr:nvSpPr>
      <xdr:spPr>
        <a:xfrm>
          <a:off x="5181600" y="3040380"/>
          <a:ext cx="8602980" cy="2971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Movement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calculates the change between values. </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5</xdr:col>
      <xdr:colOff>769620</xdr:colOff>
      <xdr:row>15</xdr:row>
      <xdr:rowOff>160020</xdr:rowOff>
    </xdr:from>
    <xdr:to>
      <xdr:col>18</xdr:col>
      <xdr:colOff>678180</xdr:colOff>
      <xdr:row>17</xdr:row>
      <xdr:rowOff>68580</xdr:rowOff>
    </xdr:to>
    <xdr:sp macro="" textlink="">
      <xdr:nvSpPr>
        <xdr:cNvPr id="2" name="Rectangle: Rounded Corners 1">
          <a:extLst>
            <a:ext uri="{FF2B5EF4-FFF2-40B4-BE49-F238E27FC236}">
              <a16:creationId xmlns:a16="http://schemas.microsoft.com/office/drawing/2014/main" id="{02553369-14E3-4196-8A5B-2589B4491A27}"/>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RollingSum</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t>
          </a:r>
          <a:r>
            <a:rPr lang="en-AU" sz="1100" b="0">
              <a:solidFill>
                <a:schemeClr val="dk1"/>
              </a:solidFill>
              <a:effectLst/>
              <a:latin typeface="+mn-lt"/>
              <a:ea typeface="+mn-ea"/>
              <a:cs typeface="+mn-cs"/>
            </a:rPr>
            <a:t>Creates totals for preceding values of a set size moving from beginning to end over a row of values.</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16</xdr:row>
      <xdr:rowOff>137160</xdr:rowOff>
    </xdr:from>
    <xdr:to>
      <xdr:col>15</xdr:col>
      <xdr:colOff>701040</xdr:colOff>
      <xdr:row>19</xdr:row>
      <xdr:rowOff>297180</xdr:rowOff>
    </xdr:to>
    <xdr:sp macro="" textlink="">
      <xdr:nvSpPr>
        <xdr:cNvPr id="2" name="Rectangle: Rounded Corners 1">
          <a:extLst>
            <a:ext uri="{FF2B5EF4-FFF2-40B4-BE49-F238E27FC236}">
              <a16:creationId xmlns:a16="http://schemas.microsoft.com/office/drawing/2014/main" id="{5D0A5F76-BA3C-4C0D-ACA7-03917C30009A}"/>
            </a:ext>
          </a:extLst>
        </xdr:cNvPr>
        <xdr:cNvSpPr/>
      </xdr:nvSpPr>
      <xdr:spPr>
        <a:xfrm>
          <a:off x="4907280" y="3459480"/>
          <a:ext cx="8145780" cy="7086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SumPeriods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totalling by reporting periods things that were schedule by day. In this example, on the left we have scheduled amounts from a list that specifies the amount, when it starts, how often it repeats. To the right of that list is a nabla function that schedules those amounts by day. Below that is </a:t>
          </a:r>
          <a:r>
            <a:rPr lang="en-AU" sz="1100" b="1" baseline="0">
              <a:solidFill>
                <a:schemeClr val="dk1"/>
              </a:solidFill>
              <a:effectLst/>
              <a:latin typeface="+mn-lt"/>
              <a:ea typeface="+mn-ea"/>
              <a:cs typeface="+mn-cs"/>
            </a:rPr>
            <a:t>SumPeriods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that totals those amounts by reporting period.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7</xdr:col>
      <xdr:colOff>190500</xdr:colOff>
      <xdr:row>13</xdr:row>
      <xdr:rowOff>30480</xdr:rowOff>
    </xdr:from>
    <xdr:to>
      <xdr:col>18</xdr:col>
      <xdr:colOff>525780</xdr:colOff>
      <xdr:row>16</xdr:row>
      <xdr:rowOff>114300</xdr:rowOff>
    </xdr:to>
    <xdr:sp macro="" textlink="">
      <xdr:nvSpPr>
        <xdr:cNvPr id="2" name="Rectangle: Rounded Corners 1">
          <a:extLst>
            <a:ext uri="{FF2B5EF4-FFF2-40B4-BE49-F238E27FC236}">
              <a16:creationId xmlns:a16="http://schemas.microsoft.com/office/drawing/2014/main" id="{6B5977F8-6DE9-45FE-BA44-B4FBF036BE49}"/>
            </a:ext>
          </a:extLst>
        </xdr:cNvPr>
        <xdr:cNvSpPr/>
      </xdr:nvSpPr>
      <xdr:spPr>
        <a:xfrm>
          <a:off x="5196840" y="2804160"/>
          <a:ext cx="8145780" cy="6324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TimelineOffset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determining a timeline's column under which a date belongs. It is used by other nabla functions as a subroutine.</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8</xdr:col>
      <xdr:colOff>91440</xdr:colOff>
      <xdr:row>13</xdr:row>
      <xdr:rowOff>0</xdr:rowOff>
    </xdr:from>
    <xdr:to>
      <xdr:col>17</xdr:col>
      <xdr:colOff>289560</xdr:colOff>
      <xdr:row>19</xdr:row>
      <xdr:rowOff>198120</xdr:rowOff>
    </xdr:to>
    <xdr:sp macro="" textlink="">
      <xdr:nvSpPr>
        <xdr:cNvPr id="2" name="Rectangle: Rounded Corners 1">
          <a:extLst>
            <a:ext uri="{FF2B5EF4-FFF2-40B4-BE49-F238E27FC236}">
              <a16:creationId xmlns:a16="http://schemas.microsoft.com/office/drawing/2014/main" id="{34EFE12C-3D90-4EC5-975E-1FBB20F526DF}"/>
            </a:ext>
          </a:extLst>
        </xdr:cNvPr>
        <xdr:cNvSpPr/>
      </xdr:nvSpPr>
      <xdr:spPr>
        <a:xfrm>
          <a:off x="6278880" y="2773680"/>
          <a:ext cx="6438900" cy="12954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places an array within the model's timeline.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In this example, we have a loan schedule. That loan starts in 2022.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Below the loan schedule is our model with its timeline. Our model starts in 2026.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takes the loan schedule and properly places it under our model's timeline.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allows us to model things like amortisation and depreciation of existing loans and assets naturally and let </a:t>
          </a: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position and crop the calculations to fit our model.</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6377940</xdr:colOff>
      <xdr:row>3</xdr:row>
      <xdr:rowOff>60960</xdr:rowOff>
    </xdr:from>
    <xdr:to>
      <xdr:col>9</xdr:col>
      <xdr:colOff>358140</xdr:colOff>
      <xdr:row>12</xdr:row>
      <xdr:rowOff>114300</xdr:rowOff>
    </xdr:to>
    <xdr:sp macro="" textlink="">
      <xdr:nvSpPr>
        <xdr:cNvPr id="2" name="Rectangle: Rounded Corners 1">
          <a:extLst>
            <a:ext uri="{FF2B5EF4-FFF2-40B4-BE49-F238E27FC236}">
              <a16:creationId xmlns:a16="http://schemas.microsoft.com/office/drawing/2014/main" id="{AED5565D-295E-47BC-A90E-1355983D1AFC}"/>
            </a:ext>
          </a:extLst>
        </xdr:cNvPr>
        <xdr:cNvSpPr/>
      </xdr:nvSpPr>
      <xdr:spPr>
        <a:xfrm>
          <a:off x="7886700" y="1005840"/>
          <a:ext cx="5090160" cy="16992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Every nabla library has an </a:t>
          </a:r>
          <a:r>
            <a:rPr lang="en-AU" sz="1200" b="1"/>
            <a:t>About</a:t>
          </a:r>
          <a:r>
            <a:rPr lang="el-GR" sz="1200" b="1"/>
            <a:t>λ</a:t>
          </a:r>
          <a:r>
            <a:rPr lang="en-AU" sz="1200" b="1"/>
            <a:t>()</a:t>
          </a:r>
          <a:r>
            <a:rPr lang="en-AU" sz="1200" b="0"/>
            <a:t> function. It lists all the functions in the library. To bring up this list, type this formula into any open space</a:t>
          </a:r>
          <a:r>
            <a:rPr lang="en-AU" sz="1200" b="0" baseline="0"/>
            <a:t> on your worksheet and hit ENTER: </a:t>
          </a:r>
          <a:r>
            <a:rPr lang="en-AU" sz="1200" b="1" baseline="0"/>
            <a:t>=nabla.e.</a:t>
          </a:r>
          <a:r>
            <a:rPr lang="en-AU" sz="1100" b="1">
              <a:solidFill>
                <a:schemeClr val="dk1"/>
              </a:solidFill>
              <a:effectLst/>
              <a:latin typeface="+mn-lt"/>
              <a:ea typeface="+mn-ea"/>
              <a:cs typeface="+mn-cs"/>
            </a:rPr>
            <a:t>About</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a:t>
          </a:r>
        </a:p>
        <a:p>
          <a:pPr algn="l"/>
          <a:endParaRPr lang="en-AU" sz="1100" b="1">
            <a:solidFill>
              <a:schemeClr val="dk1"/>
            </a:solidFill>
            <a:effectLst/>
            <a:latin typeface="+mn-lt"/>
            <a:ea typeface="+mn-ea"/>
            <a:cs typeface="+mn-cs"/>
          </a:endParaRPr>
        </a:p>
        <a:p>
          <a:pPr algn="l"/>
          <a:r>
            <a:rPr lang="en-AU" sz="1100" b="1">
              <a:solidFill>
                <a:schemeClr val="dk1"/>
              </a:solidFill>
              <a:effectLst/>
              <a:latin typeface="+mn-lt"/>
              <a:ea typeface="+mn-ea"/>
              <a:cs typeface="+mn-cs"/>
            </a:rPr>
            <a:t>NOTE!</a:t>
          </a:r>
          <a:r>
            <a:rPr lang="en-AU" sz="1100" b="0">
              <a:solidFill>
                <a:schemeClr val="dk1"/>
              </a:solidFill>
              <a:effectLst/>
              <a:latin typeface="+mn-lt"/>
              <a:ea typeface="+mn-ea"/>
              <a:cs typeface="+mn-cs"/>
            </a:rPr>
            <a:t> The</a:t>
          </a:r>
          <a:r>
            <a:rPr lang="en-AU" sz="1100" b="0" baseline="0">
              <a:solidFill>
                <a:schemeClr val="dk1"/>
              </a:solidFill>
              <a:effectLst/>
              <a:latin typeface="+mn-lt"/>
              <a:ea typeface="+mn-ea"/>
              <a:cs typeface="+mn-cs"/>
            </a:rPr>
            <a:t> prefix nabla.e is what Excel refers to as a module name. These are optional. Their purpose is to ensure that we never duplicate function names between libraries. As noted at top, every nabla library has an </a:t>
          </a:r>
          <a:r>
            <a:rPr lang="en-AU" sz="1100" b="1">
              <a:solidFill>
                <a:schemeClr val="dk1"/>
              </a:solidFill>
              <a:effectLst/>
              <a:latin typeface="+mn-lt"/>
              <a:ea typeface="+mn-ea"/>
              <a:cs typeface="+mn-cs"/>
            </a:rPr>
            <a:t>About</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 </a:t>
          </a:r>
          <a:r>
            <a:rPr lang="en-AU" sz="1100" b="0" baseline="0">
              <a:solidFill>
                <a:schemeClr val="dk1"/>
              </a:solidFill>
              <a:effectLst/>
              <a:latin typeface="+mn-lt"/>
              <a:ea typeface="+mn-ea"/>
              <a:cs typeface="+mn-cs"/>
            </a:rPr>
            <a:t>function so the only way to get </a:t>
          </a:r>
          <a:r>
            <a:rPr lang="en-AU" sz="1100" b="0" i="1" u="sng" baseline="0">
              <a:solidFill>
                <a:schemeClr val="dk1"/>
              </a:solidFill>
              <a:effectLst/>
              <a:latin typeface="+mn-lt"/>
              <a:ea typeface="+mn-ea"/>
              <a:cs typeface="+mn-cs"/>
            </a:rPr>
            <a:t>this</a:t>
          </a:r>
          <a:r>
            <a:rPr lang="en-AU" sz="1100" b="0" baseline="0">
              <a:solidFill>
                <a:schemeClr val="dk1"/>
              </a:solidFill>
              <a:effectLst/>
              <a:latin typeface="+mn-lt"/>
              <a:ea typeface="+mn-ea"/>
              <a:cs typeface="+mn-cs"/>
            </a:rPr>
            <a:t> About's information is to add the prefix nabla.e to it.</a:t>
          </a:r>
        </a:p>
        <a:p>
          <a:pPr algn="l"/>
          <a:endParaRPr lang="en-AU" sz="1200" b="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4</xdr:col>
      <xdr:colOff>53340</xdr:colOff>
      <xdr:row>15</xdr:row>
      <xdr:rowOff>144780</xdr:rowOff>
    </xdr:from>
    <xdr:to>
      <xdr:col>14</xdr:col>
      <xdr:colOff>525780</xdr:colOff>
      <xdr:row>17</xdr:row>
      <xdr:rowOff>0</xdr:rowOff>
    </xdr:to>
    <xdr:sp macro="" textlink="">
      <xdr:nvSpPr>
        <xdr:cNvPr id="2" name="Rectangle: Rounded Corners 1">
          <a:extLst>
            <a:ext uri="{FF2B5EF4-FFF2-40B4-BE49-F238E27FC236}">
              <a16:creationId xmlns:a16="http://schemas.microsoft.com/office/drawing/2014/main" id="{E64FDF27-F2E6-4E1C-9685-0FF81C7C7DAA}"/>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adding totals to all rows in an array. </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B4DA2023-3A7A-49BC-B9C8-5EC48366E427}"/>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adding totals to all columns in an array. </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3D7F6DEF-3F97-4988-AE9A-300FE7427C4B}"/>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AvgRows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averaging each row in an array. </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6F4F7CAD-C8A5-4DE8-8872-23268B98FF86}"/>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averaging columns in an array. </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717A5BF0-E9DA-492E-B220-6FE78DB47ED8}"/>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MinRows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minimum from each row in an array. </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02A25243-02FE-4C8A-AFF3-2E2F5F498933}"/>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MinCols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minimum from each column in an array. </a:t>
          </a: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17E337DE-EB4E-4065-B431-421CD28E985C}"/>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MaxRows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maximum from each row in an array.</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87D9D8C2-DF30-4989-973F-56D01A113AC8}"/>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MaxCols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maximum from each column in an array.</a:t>
          </a: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15240</xdr:colOff>
      <xdr:row>11</xdr:row>
      <xdr:rowOff>137160</xdr:rowOff>
    </xdr:from>
    <xdr:to>
      <xdr:col>18</xdr:col>
      <xdr:colOff>0</xdr:colOff>
      <xdr:row>14</xdr:row>
      <xdr:rowOff>91440</xdr:rowOff>
    </xdr:to>
    <xdr:sp macro="" textlink="">
      <xdr:nvSpPr>
        <xdr:cNvPr id="2" name="Rectangle: Rounded Corners 1">
          <a:extLst>
            <a:ext uri="{FF2B5EF4-FFF2-40B4-BE49-F238E27FC236}">
              <a16:creationId xmlns:a16="http://schemas.microsoft.com/office/drawing/2014/main" id="{E2A676B0-F0D7-457D-B503-814492DA2F43}"/>
            </a:ext>
          </a:extLst>
        </xdr:cNvPr>
        <xdr:cNvSpPr/>
      </xdr:nvSpPr>
      <xdr:spPr>
        <a:xfrm>
          <a:off x="3970020" y="2545080"/>
          <a:ext cx="9372600" cy="5867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CountARows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provided to be comprehensive, but makes little sense when applied to dynamic arrays because every element in a dynamic array will have something in it, even if it is just "". So you will notice the argument provided in the example below (not in the about) are not an array reference but a range reference.</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4</xdr:col>
      <xdr:colOff>1478280</xdr:colOff>
      <xdr:row>11</xdr:row>
      <xdr:rowOff>137160</xdr:rowOff>
    </xdr:from>
    <xdr:to>
      <xdr:col>18</xdr:col>
      <xdr:colOff>190500</xdr:colOff>
      <xdr:row>14</xdr:row>
      <xdr:rowOff>91440</xdr:rowOff>
    </xdr:to>
    <xdr:sp macro="" textlink="">
      <xdr:nvSpPr>
        <xdr:cNvPr id="2" name="Rectangle: Rounded Corners 1">
          <a:extLst>
            <a:ext uri="{FF2B5EF4-FFF2-40B4-BE49-F238E27FC236}">
              <a16:creationId xmlns:a16="http://schemas.microsoft.com/office/drawing/2014/main" id="{022D8651-AA5E-4897-B5DC-B6A81FCBDE7E}"/>
            </a:ext>
          </a:extLst>
        </xdr:cNvPr>
        <xdr:cNvSpPr/>
      </xdr:nvSpPr>
      <xdr:spPr>
        <a:xfrm>
          <a:off x="3916680" y="2545080"/>
          <a:ext cx="9616440" cy="5867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CountACols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provided to be comprehensive, but makes little sense when applied to dynamic arrays because every element in a dynamic array will have something in it, even if it is just "". So you will notice the argument provided in the example below (not in the about) are not an array reference but a range reference.</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5</xdr:col>
      <xdr:colOff>0</xdr:colOff>
      <xdr:row>12</xdr:row>
      <xdr:rowOff>144780</xdr:rowOff>
    </xdr:from>
    <xdr:to>
      <xdr:col>16</xdr:col>
      <xdr:colOff>701040</xdr:colOff>
      <xdr:row>17</xdr:row>
      <xdr:rowOff>0</xdr:rowOff>
    </xdr:to>
    <xdr:sp macro="" textlink="">
      <xdr:nvSpPr>
        <xdr:cNvPr id="2" name="Rectangle: Rounded Corners 1">
          <a:extLst>
            <a:ext uri="{FF2B5EF4-FFF2-40B4-BE49-F238E27FC236}">
              <a16:creationId xmlns:a16="http://schemas.microsoft.com/office/drawing/2014/main" id="{D652044C-6D1A-423D-AAF7-861CEB3FD011}"/>
            </a:ext>
          </a:extLst>
        </xdr:cNvPr>
        <xdr:cNvSpPr/>
      </xdr:nvSpPr>
      <xdr:spPr>
        <a:xfrm>
          <a:off x="4130040" y="2735580"/>
          <a:ext cx="9616440" cy="7696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IsBetween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the function Microsoft forgot, probably because they feel it is too trivial for its own function. Whaterver their reason is, I have always wanted this function. With LAMBDA, I can finally create it. In this example we want to put in our timeline when each customer is scheduled to onboard.</a:t>
          </a:r>
          <a:br>
            <a:rPr lang="en-AU" sz="1100" b="0" baseline="0">
              <a:solidFill>
                <a:schemeClr val="dk1"/>
              </a:solidFill>
              <a:effectLst/>
              <a:latin typeface="+mn-lt"/>
              <a:ea typeface="+mn-ea"/>
              <a:cs typeface="+mn-cs"/>
            </a:rPr>
          </a:br>
          <a:r>
            <a:rPr lang="en-AU" sz="1100" b="1" baseline="0">
              <a:solidFill>
                <a:schemeClr val="dk1"/>
              </a:solidFill>
              <a:effectLst/>
              <a:latin typeface="+mn-lt"/>
              <a:ea typeface="+mn-ea"/>
              <a:cs typeface="+mn-cs"/>
            </a:rPr>
            <a:t>NOTE!</a:t>
          </a:r>
          <a:r>
            <a:rPr lang="en-AU" sz="1100" b="0" baseline="0">
              <a:solidFill>
                <a:schemeClr val="dk1"/>
              </a:solidFill>
              <a:effectLst/>
              <a:latin typeface="+mn-lt"/>
              <a:ea typeface="+mn-ea"/>
              <a:cs typeface="+mn-cs"/>
            </a:rPr>
            <a:t> This function returns TRUE or FALSE. To convert TRUE/FALSE to 1/0 wrap this function in the N() function or preceed it wtih double minus signs (</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5</xdr:col>
      <xdr:colOff>1173480</xdr:colOff>
      <xdr:row>5</xdr:row>
      <xdr:rowOff>68580</xdr:rowOff>
    </xdr:from>
    <xdr:to>
      <xdr:col>17</xdr:col>
      <xdr:colOff>571500</xdr:colOff>
      <xdr:row>10</xdr:row>
      <xdr:rowOff>83820</xdr:rowOff>
    </xdr:to>
    <xdr:sp macro="" textlink="">
      <xdr:nvSpPr>
        <xdr:cNvPr id="2" name="Rectangle: Rounded Corners 1">
          <a:extLst>
            <a:ext uri="{FF2B5EF4-FFF2-40B4-BE49-F238E27FC236}">
              <a16:creationId xmlns:a16="http://schemas.microsoft.com/office/drawing/2014/main" id="{AEFD1C77-A194-491B-95E6-4748AB4460CA}"/>
            </a:ext>
          </a:extLst>
        </xdr:cNvPr>
        <xdr:cNvSpPr/>
      </xdr:nvSpPr>
      <xdr:spPr>
        <a:xfrm>
          <a:off x="5303520" y="1379220"/>
          <a:ext cx="9212580" cy="9296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RangeToDA</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provides a bridge between user input simplicity and dynamic array flexibility. Users find entering assumptions into crosstab formats, where values are entered under a timeline running across the top, simpler than entering them into a table. Tables and dynamic arrays are a natural fit. They both expand as needed. Traditional crosstab inputs do not expand and that can make them incompatible with dynamic array models. </a:t>
          </a:r>
          <a:r>
            <a:rPr lang="en-AU" sz="1100" b="1" baseline="0">
              <a:solidFill>
                <a:schemeClr val="dk1"/>
              </a:solidFill>
              <a:effectLst/>
              <a:latin typeface="+mn-lt"/>
              <a:ea typeface="+mn-ea"/>
              <a:cs typeface="+mn-cs"/>
            </a:rPr>
            <a:t>RangeToDA</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 </a:t>
          </a:r>
          <a:r>
            <a:rPr lang="en-AU" sz="1100" b="0" baseline="0">
              <a:solidFill>
                <a:schemeClr val="dk1"/>
              </a:solidFill>
              <a:effectLst/>
              <a:latin typeface="+mn-lt"/>
              <a:ea typeface="+mn-ea"/>
              <a:cs typeface="+mn-cs"/>
            </a:rPr>
            <a:t>makes crosstab inputs appear to dynamic arrays as dynamic ranges so we can more easily incorporate what users prefer into our dynamic array models.</a:t>
          </a:r>
        </a:p>
      </xdr:txBody>
    </xdr:sp>
    <xdr:clientData/>
  </xdr:twoCellAnchor>
  <xdr:twoCellAnchor>
    <xdr:from>
      <xdr:col>5</xdr:col>
      <xdr:colOff>1173480</xdr:colOff>
      <xdr:row>11</xdr:row>
      <xdr:rowOff>30480</xdr:rowOff>
    </xdr:from>
    <xdr:to>
      <xdr:col>15</xdr:col>
      <xdr:colOff>0</xdr:colOff>
      <xdr:row>12</xdr:row>
      <xdr:rowOff>106680</xdr:rowOff>
    </xdr:to>
    <xdr:sp macro="" textlink="">
      <xdr:nvSpPr>
        <xdr:cNvPr id="3" name="Rectangle: Rounded Corners 2">
          <a:extLst>
            <a:ext uri="{FF2B5EF4-FFF2-40B4-BE49-F238E27FC236}">
              <a16:creationId xmlns:a16="http://schemas.microsoft.com/office/drawing/2014/main" id="{6A783B74-6BAE-470B-80E5-CB4F74E25A22}"/>
            </a:ext>
          </a:extLst>
        </xdr:cNvPr>
        <xdr:cNvSpPr/>
      </xdr:nvSpPr>
      <xdr:spPr>
        <a:xfrm>
          <a:off x="5303520" y="2438400"/>
          <a:ext cx="7071360" cy="2590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User Inputs</a:t>
          </a:r>
          <a:endParaRPr lang="en-AU" sz="1100" b="0" baseline="0">
            <a:solidFill>
              <a:schemeClr val="dk1"/>
            </a:solidFill>
            <a:effectLst/>
            <a:latin typeface="+mn-lt"/>
            <a:ea typeface="+mn-ea"/>
            <a:cs typeface="+mn-cs"/>
          </a:endParaRP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A6F291F0-E4B2-4114-B331-7FC3979BB1C1}" sourceName="Type">
  <extLst>
    <x:ext xmlns:x15="http://schemas.microsoft.com/office/spreadsheetml/2010/11/main" uri="{2F2917AC-EB37-4324-AD4E-5DD8C200BD13}">
      <x15:tableSlicerCache tableId="5"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Type" xr10:uid="{46CF364F-22D8-4ACC-91A5-8BC4CCF29820}" cache="Slicer_Type" caption="Type"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010CAF-EA49-4148-9923-ED706EEE57BF}" name="tblTOC" displayName="tblTOC" ref="A4:D69" totalsRowShown="0" headerRowDxfId="125" headerRowBorderDxfId="124" tableBorderDxfId="123" totalsRowBorderDxfId="122" dataCellStyle="Normal">
  <autoFilter ref="A4:D69" xr:uid="{D9010CAF-EA49-4148-9923-ED706EEE57BF}">
    <filterColumn colId="1">
      <filters>
        <filter val="Worksheet"/>
      </filters>
    </filterColumn>
  </autoFilter>
  <sortState xmlns:xlrd2="http://schemas.microsoft.com/office/spreadsheetml/2017/richdata2" ref="A5:D69">
    <sortCondition ref="C4:C69"/>
  </sortState>
  <tableColumns count="4">
    <tableColumn id="1" xr3:uid="{EBD83C8E-16F7-42ED-BF72-760B337830C9}" name="Name" dataDxfId="121" dataCellStyle="Normal"/>
    <tableColumn id="2" xr3:uid="{76839C3B-3EC2-40F2-81C2-6D135E40FBA6}" name="Type" dataDxfId="120" dataCellStyle="Normal"/>
    <tableColumn id="3" xr3:uid="{5B6D5F10-72F2-4715-ACCD-BF95E741A80D}" name="Title" dataDxfId="119" dataCellStyle="Normal"/>
    <tableColumn id="4" xr3:uid="{D2D85F75-2F37-4E40-93BA-D87F4C2D6609}" name="Description" dataCellStyle="Normal"/>
  </tableColumns>
  <tableStyleInfo name="TableStyleCustom" showFirstColumn="0" showLastColumn="0" showRowStripes="1" showColumnStripes="0"/>
  <extLst>
    <ext xmlns:x14="http://schemas.microsoft.com/office/spreadsheetml/2009/9/main" uri="{504A1905-F514-4f6f-8877-14C23A59335A}">
      <x14:table altText="Click name to go to objec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CA5339D-829F-442B-A3B4-A99DD1DFF6EC}" name="tblMethods" displayName="tblMethods" ref="A6:B13" totalsRowShown="0">
  <sortState xmlns:xlrd2="http://schemas.microsoft.com/office/spreadsheetml/2017/richdata2" ref="A7:B12">
    <sortCondition ref="A7:A12"/>
  </sortState>
  <tableColumns count="2">
    <tableColumn id="1" xr3:uid="{62CBA4DE-EDE9-4CD6-B932-C60CE3D4026D}" name="Method"/>
    <tableColumn id="2" xr3:uid="{F767DBD0-020C-4900-AAD1-9A5B0EB35836}" name="Description"/>
  </tableColumns>
  <tableStyleInfo name="TableStyleCustom"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836AE0-7751-4E4C-ABC9-032FA08992B6}" name="Skin" displayName="Skin" ref="A6:L135" headerRowDxfId="118" headerRowBorderDxfId="117" headerRowCellStyle="Check Cell">
  <sortState xmlns:xlrd2="http://schemas.microsoft.com/office/spreadsheetml/2017/richdata2" ref="A7:L143">
    <sortCondition ref="A6:A143"/>
    <sortCondition ref="D6:D143"/>
  </sortState>
  <tableColumns count="12">
    <tableColumn id="10" xr3:uid="{323D76A1-216E-45C6-9823-39E2E12DF202}" name="Set" totalsRowLabel="Total" dataDxfId="116"/>
    <tableColumn id="1" xr3:uid="{6EFA4BDF-A7A2-4167-8169-7A46F8004AF5}" name="Name" dataDxfId="115" totalsRowDxfId="114" dataCellStyle="Normal"/>
    <tableColumn id="12" xr3:uid="{E28CD81F-816E-48A0-9E16-A0440F26F83F}" name="Type" dataDxfId="113" totalsRowDxfId="112"/>
    <tableColumn id="11" xr3:uid="{81ACDB08-C359-44AC-8C8A-7916DFDF6A96}" name="Seq"/>
    <tableColumn id="2" xr3:uid="{6D6E4BAE-C710-472B-B8B7-E30CF88D9384}" name="Format" dataDxfId="111" totalsRowDxfId="110"/>
    <tableColumn id="9" xr3:uid="{62080D31-620D-4397-89CE-6DABC9CF119D}" name="Style" dataDxfId="109" totalsRowDxfId="108" dataCellStyle="Normal"/>
    <tableColumn id="3" xr3:uid="{599491A8-0F64-47C9-8FDD-6F4AA1597C2C}" name="Align" dataDxfId="107" totalsRowDxfId="106"/>
    <tableColumn id="4" xr3:uid="{8285D353-475B-42ED-B85F-D88A2E6E67CF}" name="Border" dataDxfId="105" totalsRowDxfId="104"/>
    <tableColumn id="5" xr3:uid="{9C524349-D3DC-4195-9CA6-1C3B99967C80}" name="Font" dataDxfId="103" totalsRowDxfId="102"/>
    <tableColumn id="6" xr3:uid="{D313E5AC-54E6-4FF3-A730-874527A11CAE}" name="Number" dataDxfId="101" totalsRowDxfId="100"/>
    <tableColumn id="7" xr3:uid="{E32CF0A0-0A49-40FF-A228-4105F21C319A}" name="Patterns" dataDxfId="99" totalsRowDxfId="98"/>
    <tableColumn id="8" xr3:uid="{C14E7BDF-D482-459E-B2BB-142FADFB08BB}" name="Protection" totalsRowFunction="count" dataDxfId="97" totalsRowDxfId="96"/>
  </tableColumns>
  <tableStyleInfo name="TableStyleCustom"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1A8A7B-0079-42F3-996A-FF6B75EB2BDA}" name="tblBudget" displayName="tblBudget" comment="Holds budgeted item entries" ref="A33:E39" totalsRowShown="0" dataDxfId="95" tableBorderDxfId="94" headerRowCellStyle="Heading 4" dataCellStyle="Normal">
  <tableColumns count="5">
    <tableColumn id="1" xr3:uid="{7D34D60D-18E7-4641-B4A2-59AC83E6C68D}" name="Description" dataDxfId="93" dataCellStyle="Normal"/>
    <tableColumn id="5" xr3:uid="{5C4B1DF4-321D-45B4-94FD-F21E11BE8170}" name="Amount" dataCellStyle="Comma"/>
    <tableColumn id="6" xr3:uid="{D529C6B1-F81D-439C-BB56-0322F320B0A3}" name="Schedule" dataDxfId="92" dataCellStyle="Normal"/>
    <tableColumn id="7" xr3:uid="{301F598C-47A5-4F95-BD52-84840182A552}" name="First Date" dataDxfId="91" dataCellStyle="Normal"/>
    <tableColumn id="8" xr3:uid="{46ACF518-C1D3-42C5-85CE-768B1CFF9CA6}" name="Last Date" dataDxfId="90" dataCellStyle="Normal"/>
  </tableColumns>
  <tableStyleInfo name="TableStyleCustom" showFirstColumn="0" showLastColumn="0" showRowStripes="1" showColumnStripes="0"/>
  <extLst>
    <ext xmlns:x14="http://schemas.microsoft.com/office/spreadsheetml/2009/9/main" uri="{504A1905-F514-4f6f-8877-14C23A59335A}">
      <x14:table altText="Budget Items" altTextSummary="Holds budgeted item entri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B943D8-5754-4F57-A0D0-EE750C05C5D0}" name="tblRent" displayName="tblRent" ref="A22:E25" totalsRowShown="0">
  <tableColumns count="5">
    <tableColumn id="1" xr3:uid="{2F6DE8DA-ADB9-44FD-9EE0-8837D5AB8D2E}" name="Contract #">
      <calculatedColumnFormula array="1">ROW()-ROW(tblRent[#Headers])</calculatedColumnFormula>
    </tableColumn>
    <tableColumn id="2" xr3:uid="{C485375B-AF94-4DC7-B238-2DD85FC68DE4}" name="Rental Description"/>
    <tableColumn id="3" xr3:uid="{402BA14C-343C-4D24-8842-96146D858036}" name="Start" dataDxfId="89" dataCellStyle="Date"/>
    <tableColumn id="4" xr3:uid="{E7A1112B-1A2E-4C4B-99BB-62655380D290}" name="End" dataDxfId="88" dataCellStyle="Date"/>
    <tableColumn id="5" xr3:uid="{42F7804A-5D16-474C-94A0-A45D3CAE7AA9}" name="Daily Rate" dataCellStyle="Comma"/>
  </tableColumns>
  <tableStyleInfo name="TableStyleCustom" showFirstColumn="0" showLastColumn="0" showRowStripes="1" showColumnStripes="0"/>
  <extLst>
    <ext xmlns:x14="http://schemas.microsoft.com/office/spreadsheetml/2009/9/main" uri="{504A1905-F514-4f6f-8877-14C23A59335A}">
      <x14:table altText="Rental Contract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76F13E-1CE0-4026-889E-97178F8E3261}" name="tblRents" displayName="tblRents" ref="A35:B38" totalsRowShown="0" headerRowDxfId="87">
  <tableColumns count="2">
    <tableColumn id="1" xr3:uid="{09682A99-D267-492D-80D6-A3113C779826}" name="Rate Starts" dataDxfId="86"/>
    <tableColumn id="2" xr3:uid="{7CFFECE5-2820-453F-AEF8-9DFCBE7D380E}" name="Rate Amount"/>
  </tableColumns>
  <tableStyleInfo name="TableStyleCustom" showFirstColumn="0" showLastColumn="0" showRowStripes="1" showColumnStripes="0"/>
  <extLst>
    <ext xmlns:x14="http://schemas.microsoft.com/office/spreadsheetml/2009/9/main" uri="{504A1905-F514-4f6f-8877-14C23A59335A}">
      <x14:table altText="Rental Rate Schedu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6A4252-06E6-404C-ADC2-D39F05E83C71}" name="tblUnits" displayName="tblUnits" ref="A42:C46" totalsRowShown="0" headerRowDxfId="85">
  <tableColumns count="3">
    <tableColumn id="1" xr3:uid="{17B87686-ED92-4DC4-80AC-A6CDA1DF8506}" name="Ready Dates"/>
    <tableColumn id="2" xr3:uid="{A18E6660-B40D-4CC0-855C-47175F5C55C0}" name="Units Built"/>
    <tableColumn id="3" xr3:uid="{1C17B84C-9EDA-4590-AB83-B879C842736C}" name="Total Units">
      <calculatedColumnFormula>SUMIFS(tblUnits[Units Built],tblUnits[Ready Dates],"&lt;=" &amp; tblUnits[[#This Row],[Ready Dates]])</calculatedColumnFormula>
    </tableColumn>
  </tableColumns>
  <tableStyleInfo name="TableStyleCustom" showFirstColumn="0" showLastColumn="0" showRowStripes="1" showColumnStripes="0"/>
  <extLst>
    <ext xmlns:x14="http://schemas.microsoft.com/office/spreadsheetml/2009/9/main" uri="{504A1905-F514-4f6f-8877-14C23A59335A}">
      <x14:table altText="Unit Completion Schedu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BB8A65-4024-47EA-B63A-1FA9CD4937C5}" name="tblItems" displayName="tblItems" ref="D24:F38" totalsRowShown="0">
  <sortState xmlns:xlrd2="http://schemas.microsoft.com/office/spreadsheetml/2017/richdata2" ref="D25:F38">
    <sortCondition ref="E25:E38"/>
  </sortState>
  <tableColumns count="3">
    <tableColumn id="1" xr3:uid="{38DCAB83-D80B-49CD-A79B-47A11C835139}" name="Item"/>
    <tableColumn id="2" xr3:uid="{CAD21FE0-C30F-43FD-A558-9F820F7890CA}" name="Effective" dataDxfId="84"/>
    <tableColumn id="3" xr3:uid="{D061B372-ECBB-4AC7-8F3E-8257CEB4F6E5}" name="Rate" dataDxfId="83"/>
  </tableColumns>
  <tableStyleInfo name="TableStyleCustom" showFirstColumn="0" showLastColumn="0" showRowStripes="1" showColumnStripes="0"/>
  <extLst>
    <ext xmlns:x14="http://schemas.microsoft.com/office/spreadsheetml/2009/9/main" uri="{504A1905-F514-4f6f-8877-14C23A59335A}">
      <x14:table altText="tblItem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BB9D4F5-EBF2-4BAF-9C6A-074757728DE8}" name="tblCT" displayName="tblCT" ref="A27:C32" totalsRowShown="0">
  <tableColumns count="3">
    <tableColumn id="4" xr3:uid="{E5F4E076-D01B-45B1-81D0-9D5EDB5F4178}" name="ID#" dataDxfId="82">
      <calculatedColumnFormula array="1">ROW()-ROW(tblCT[#Headers])</calculatedColumnFormula>
    </tableColumn>
    <tableColumn id="1" xr3:uid="{C46B0B40-C7E0-4CC9-AB6B-0905EFB66F3D}" name="Customer"/>
    <tableColumn id="2" xr3:uid="{44A57629-5523-4BB3-81C3-89E3574A9BDB}" name="Terms"/>
  </tableColumns>
  <tableStyleInfo name="TableStyleCustom" showFirstColumn="0" showLastColumn="0" showRowStripes="1" showColumnStripes="0"/>
  <extLst>
    <ext xmlns:x14="http://schemas.microsoft.com/office/spreadsheetml/2009/9/main" uri="{504A1905-F514-4f6f-8877-14C23A59335A}">
      <x14:table altText="Customer Term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4A3C07A-915B-45A6-905B-C8F335996D27}" name="tblCO" displayName="tblCO" ref="E19:I41" totalsRowCount="1">
  <tableColumns count="5">
    <tableColumn id="1" xr3:uid="{6EB7AFAA-2198-470A-B318-F3346918A93F}" name="Inv.#" totalsRowLabel="Total" totalsRowDxfId="81"/>
    <tableColumn id="2" xr3:uid="{79DA44A7-4A21-4C6E-8C8C-41674C03FEEB}" name="Customer" dataDxfId="80" totalsRowDxfId="79"/>
    <tableColumn id="3" xr3:uid="{92AC1C45-CF57-4BBD-949C-2EC5D3E6AF7B}" name="Issued" dataDxfId="78" totalsRowDxfId="77" dataCellStyle="Date"/>
    <tableColumn id="5" xr3:uid="{F2FDDABA-5386-4E67-A17D-FC6B0B4768BB}" name="Exp. Receipt" dataDxfId="76" totalsRowDxfId="75" dataCellStyle="Date"/>
    <tableColumn id="4" xr3:uid="{77D47682-711B-4EAD-926C-19776F680459}" name="Amount" totalsRowFunction="sum"/>
  </tableColumns>
  <tableStyleInfo name="TableStyleCustom" showFirstColumn="0" showLastColumn="0" showRowStripes="1" showColumnStripes="0"/>
  <extLst>
    <ext xmlns:x14="http://schemas.microsoft.com/office/spreadsheetml/2009/9/main" uri="{504A1905-F514-4f6f-8877-14C23A59335A}">
      <x14:table altText="Customer Order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4D3E8A0-0A6E-4EAB-B699-E6BE4B428F10}" name="tblLoans" displayName="tblLoans" ref="A23:E26" totalsRowShown="0" headerRowDxfId="74" headerRowBorderDxfId="73" tableBorderDxfId="72" totalsRowBorderDxfId="71" headerRowCellStyle="Normal" dataCellStyle="Normal">
  <tableColumns count="5">
    <tableColumn id="1" xr3:uid="{236BCEDB-033C-46F4-BF25-E806968D8A02}" name="Description" dataDxfId="70" dataCellStyle="Normal"/>
    <tableColumn id="2" xr3:uid="{40576D21-ABA4-4C25-B77C-72FD088677A9}" name="Principal" dataDxfId="69" dataCellStyle="Normal"/>
    <tableColumn id="3" xr3:uid="{678DCD7B-F069-4C89-B96A-30AA357080CE}" name="APR" dataDxfId="68" dataCellStyle="Normal"/>
    <tableColumn id="4" xr3:uid="{89E167E2-FF0C-4117-901F-D0F22A874926}" name="Term" dataDxfId="67" dataCellStyle="Normal"/>
    <tableColumn id="5" xr3:uid="{E4765A92-1277-4CC3-93E2-6617C16EF57C}" name="Start Date" dataDxfId="66" dataCellStyle="Normal"/>
  </tableColumns>
  <tableStyleInfo name="TableStyleCustom" showFirstColumn="0" showLastColumn="0" showRowStripes="1" showColumnStripes="0"/>
  <extLst>
    <ext xmlns:x14="http://schemas.microsoft.com/office/spreadsheetml/2009/9/main" uri="{504A1905-F514-4f6f-8877-14C23A59335A}">
      <x14:table altText="Loan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12866A6-B195-4B0E-936D-139258D96E3C}" name="tblAssets" displayName="tblAssets" ref="A45:H48" totalsRowShown="0" headerRowDxfId="65">
  <tableColumns count="8">
    <tableColumn id="1" xr3:uid="{3DC97C56-E689-4B29-BA74-58FE6B1433D8}" name="Asset"/>
    <tableColumn id="3" xr3:uid="{FBDD88E0-BC00-46AC-AD3F-228997525D6E}" name="Amount" dataDxfId="64" dataCellStyle="Comma"/>
    <tableColumn id="2" xr3:uid="{3BF79E07-B001-4F2A-9C33-0C2BDE81F76F}" name="Acquired" dataDxfId="63" dataCellStyle="Comma"/>
    <tableColumn id="4" xr3:uid="{6B638B7E-4C96-47FF-B6FE-5D44AC0861F7}" name="Life" dataDxfId="62" dataCellStyle="Comma"/>
    <tableColumn id="5" xr3:uid="{003DACA5-A355-4CCA-9114-D7FB750E9408}" name="Salvage" dataDxfId="61" dataCellStyle="Comma"/>
    <tableColumn id="7" xr3:uid="{467FA274-2BA1-40BC-AB1A-165CD8AA8666}" name="Date" dataDxfId="60">
      <calculatedColumnFormula>EDATE(tblAssets[[#This Row],[Acquired]],(tblAssets[[#This Row],[Life]]+1)*12)</calculatedColumnFormula>
    </tableColumn>
    <tableColumn id="6" xr3:uid="{D4055390-AE58-49EE-803D-0D8626A6C534}" name="Cost" dataDxfId="59" dataCellStyle="Comma"/>
    <tableColumn id="8" xr3:uid="{7A0DD268-0AE6-40AC-B65C-AA3B074320EE}" name="Method" dataDxfId="58"/>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B96161-3410-45CC-8339-734A878377C4}" name="tblAssets11" displayName="tblAssets11" ref="A25:H28" totalsRowShown="0" headerRowDxfId="57">
  <tableColumns count="8">
    <tableColumn id="1" xr3:uid="{803FA25E-C2E6-41D7-B7E6-98BB0DAA635D}" name="Asset"/>
    <tableColumn id="3" xr3:uid="{D88F1E0F-B130-4CC9-8B20-60852E179DB2}" name="Amount" dataDxfId="56" dataCellStyle="Comma"/>
    <tableColumn id="2" xr3:uid="{40912A85-9538-4DAD-ADE0-A041034D91E7}" name="Acquired" dataDxfId="55" dataCellStyle="Comma"/>
    <tableColumn id="4" xr3:uid="{3FE24404-251A-4D60-B2F9-E26B72B2B60F}" name="Life" dataDxfId="54" dataCellStyle="Comma"/>
    <tableColumn id="5" xr3:uid="{5C252732-1710-4532-8BD1-4049FE86E4C1}" name="Salvage" dataDxfId="53" dataCellStyle="Comma"/>
    <tableColumn id="7" xr3:uid="{09322415-8546-4084-9207-C958715F1CB0}" name="Date" dataDxfId="52"/>
    <tableColumn id="6" xr3:uid="{08248333-F3EE-48B7-B36D-1E455B39A01F}" name="Cost" dataDxfId="51" dataCellStyle="Comma"/>
    <tableColumn id="8" xr3:uid="{5D691FE8-396E-44A0-A7B6-5786D5A0FE4A}" name="Method" dataDxfId="50"/>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3F62312-5459-4FAE-B566-552AA92886A1}" name="tblAssets1112" displayName="tblAssets1112" ref="A25:H28" totalsRowShown="0" headerRowDxfId="49">
  <tableColumns count="8">
    <tableColumn id="1" xr3:uid="{12B857A1-D058-4766-951D-EC2B90600210}" name="Asset"/>
    <tableColumn id="3" xr3:uid="{70BB7CB3-603F-4A66-8B5B-13F9D0DF2D01}" name="Amount" dataDxfId="48" dataCellStyle="Comma"/>
    <tableColumn id="2" xr3:uid="{EDA3D2E2-2DFB-4D36-9B47-79C63A0448C5}" name="Acquired" dataDxfId="47" dataCellStyle="Comma"/>
    <tableColumn id="4" xr3:uid="{701A7B0E-AB6A-4ABB-A806-A93F8F31AA22}" name="Life" dataDxfId="46" dataCellStyle="Comma"/>
    <tableColumn id="5" xr3:uid="{8C5850B1-9E17-4AF2-B6CF-2DA73CB8878E}" name="Salvage" dataDxfId="45" dataCellStyle="Comma"/>
    <tableColumn id="7" xr3:uid="{94DF0EB5-9EF6-44F0-AC75-6AAD171BF5A6}" name="Date" dataDxfId="44"/>
    <tableColumn id="6" xr3:uid="{DCA26E9B-04F9-44E5-A8BF-3EE4E3BD261A}" name="Cost" dataDxfId="43" dataCellStyle="Comma"/>
    <tableColumn id="8" xr3:uid="{AC920514-4DFE-46FA-8D72-57FB8DA6D25A}" name="Method" dataDxfId="42"/>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C8326FD-279C-4B66-84CE-369EC41B5198}" name="tblAssets111214" displayName="tblAssets111214" ref="A28:H31" totalsRowShown="0" headerRowDxfId="41">
  <tableColumns count="8">
    <tableColumn id="1" xr3:uid="{D59EB568-3AE9-4C0E-BABE-841567F1A1D8}" name="Asset"/>
    <tableColumn id="3" xr3:uid="{F1DCDFDA-DD48-4587-B8B1-FB34DD46AD28}" name="Amount" dataDxfId="40" dataCellStyle="Comma"/>
    <tableColumn id="2" xr3:uid="{BDEFE750-304D-4148-B134-1AFA3BB15D5E}" name="Acquired" dataDxfId="39" dataCellStyle="Comma"/>
    <tableColumn id="4" xr3:uid="{DD2DAEB8-F5C0-4FBE-9EC1-3EB432A664CC}" name="Life" dataDxfId="38" dataCellStyle="Comma"/>
    <tableColumn id="5" xr3:uid="{107096B8-9D6F-4081-B7E1-4B5A2397BE6E}" name="Salvage" dataDxfId="37" dataCellStyle="Comma"/>
    <tableColumn id="7" xr3:uid="{7EAA20AC-0A9B-4A95-BCDC-4ABBE7EA0D2E}" name="Date" dataDxfId="36"/>
    <tableColumn id="6" xr3:uid="{712E69C9-89C1-41CE-91C9-E474B80891D2}" name="Cost" dataDxfId="35" dataCellStyle="Comma"/>
    <tableColumn id="8" xr3:uid="{CACAE2E3-537D-42AB-B331-7563F2E1F1F5}" name="Method" dataDxfId="34"/>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053332E-68A0-4C04-8F30-D019A3ADED7F}" name="tblPhases" displayName="tblPhases" ref="A27:D30" totalsRowShown="0" headerRowDxfId="33" headerRowBorderDxfId="32" tableBorderDxfId="31" totalsRowBorderDxfId="30" headerRowCellStyle="Normal" dataCellStyle="Normal">
  <tableColumns count="4">
    <tableColumn id="1" xr3:uid="{D63FC0D0-1595-4B0D-AE60-B4A5C5F1DBB3}" name="Description" dataDxfId="29" dataCellStyle="Normal"/>
    <tableColumn id="2" xr3:uid="{A91EDCB9-E40C-4499-8392-2F7F915A86B0}" name="Principal" dataDxfId="28" dataCellStyle="Normal"/>
    <tableColumn id="5" xr3:uid="{4C5C779D-4467-4BBC-A168-07337D91F84B}" name="Start" dataDxfId="27" dataCellStyle="Normal"/>
    <tableColumn id="3" xr3:uid="{1C6DB1C7-B2DD-414B-8D0B-2C56459DFB05}" name="APR" dataDxfId="26" dataCellStyle="Normal"/>
  </tableColumns>
  <tableStyleInfo name="TableStyleCustom" showFirstColumn="0" showLastColumn="0" showRowStripes="1" showColumnStripes="0"/>
  <extLst>
    <ext xmlns:x14="http://schemas.microsoft.com/office/spreadsheetml/2009/9/main" uri="{504A1905-F514-4f6f-8877-14C23A59335A}">
      <x14:table altText="Construction Phases"/>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5577CB6-2A91-4ED3-9893-BF74CFD6EFD2}" name="tblOnBoarding" displayName="tblOnBoarding" ref="A28:B33" totalsRowShown="0">
  <autoFilter ref="A28:B33" xr:uid="{B5577CB6-2A91-4ED3-9893-BF74CFD6EFD2}"/>
  <tableColumns count="2">
    <tableColumn id="1" xr3:uid="{2F0AC71C-963E-48C6-8407-B984E9F112DA}" name="Customer" dataDxfId="25">
      <calculatedColumnFormula>E21</calculatedColumnFormula>
    </tableColumn>
    <tableColumn id="2" xr3:uid="{5BCB3455-E19C-449D-8ABD-C6DF5E7DDEB9}" name="Onboarding" dataDxfId="24" dataCellStyle="Date">
      <calculatedColumnFormula array="1">$B$21 + 30 * (ROW() - ROW(tblOnBoarding[#Headers]))</calculatedColumnFormula>
    </tableColumn>
  </tableColumns>
  <tableStyleInfo name="TableStyleCustom" showFirstColumn="0" showLastColumn="0" showRowStripes="1" showColumnStripes="0"/>
</table>
</file>

<file path=xl/theme/theme1.xml><?xml version="1.0" encoding="utf-8"?>
<a:theme xmlns:a="http://schemas.openxmlformats.org/drawingml/2006/main" name="Office Theme">
  <a:themeElements>
    <a:clrScheme name="nabla TnC">
      <a:dk1>
        <a:sysClr val="windowText" lastClr="000000"/>
      </a:dk1>
      <a:lt1>
        <a:sysClr val="window" lastClr="FFFFFF"/>
      </a:lt1>
      <a:dk2>
        <a:srgbClr val="44546A"/>
      </a:dk2>
      <a:lt2>
        <a:srgbClr val="E7E6E6"/>
      </a:lt2>
      <a:accent1>
        <a:srgbClr val="3F656F"/>
      </a:accent1>
      <a:accent2>
        <a:srgbClr val="66A1AF"/>
      </a:accent2>
      <a:accent3>
        <a:srgbClr val="B1D2DA"/>
      </a:accent3>
      <a:accent4>
        <a:srgbClr val="92563E"/>
      </a:accent4>
      <a:accent5>
        <a:srgbClr val="D7876B"/>
      </a:accent5>
      <a:accent6>
        <a:srgbClr val="EFBEAB"/>
      </a:accent6>
      <a:hlink>
        <a:srgbClr val="0563C1"/>
      </a:hlink>
      <a:folHlink>
        <a:srgbClr val="954F72"/>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2064"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C7C8FEF-A7C0-4F0F-9C7E-38A6C7E37EC8}">
  <we:reference id="wa200003696" version="1.2.0.0" store="en-US" storeType="OMEX"/>
  <we:alternateReferences>
    <we:reference id="wa200003696" version="1.2.0.0" store="" storeType="OMEX"/>
  </we:alternateReferences>
  <we:properties>
    <we:property name="projectV0_1-56c6e055-265e-4713-816e-a646dbb708de" value="{&quot;kind&quot;:&quot;AFEJSONBlobNode&quot;,&quot;id&quot;:&quot;{FA35AA99-8721-4639-BBB5-DFADCDD49639}&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5"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customProperty" Target="../customProperty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customProperty" Target="../customProperty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customProperty" Target="../customProperty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customProperty" Target="../customProperty8.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customProperty" Target="../customProperty9.bin"/><Relationship Id="rId4"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customProperty" Target="../customProperty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0.xml"/><Relationship Id="rId1" Type="http://schemas.openxmlformats.org/officeDocument/2006/relationships/customProperty" Target="../customProperty11.bin"/><Relationship Id="rId4"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customProperty" Target="../customProperty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customProperty" Target="../customProperty13.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14.bin"/><Relationship Id="rId4"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customProperty" Target="../customProperty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customProperty" Target="../customProperty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customProperty" Target="../customProperty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customProperty" Target="../customProperty18.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8.xml"/><Relationship Id="rId1" Type="http://schemas.openxmlformats.org/officeDocument/2006/relationships/customProperty" Target="../customProperty19.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9.xml"/><Relationship Id="rId1" Type="http://schemas.openxmlformats.org/officeDocument/2006/relationships/customProperty" Target="../customProperty20.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20.xml"/><Relationship Id="rId1" Type="http://schemas.openxmlformats.org/officeDocument/2006/relationships/customProperty" Target="../customProperty21.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21.xml"/><Relationship Id="rId1" Type="http://schemas.openxmlformats.org/officeDocument/2006/relationships/customProperty" Target="../customProperty22.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22.xml"/><Relationship Id="rId1" Type="http://schemas.openxmlformats.org/officeDocument/2006/relationships/customProperty" Target="../customProperty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customProperty" Target="../customProperty24.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customProperty" Target="../customProperty25.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customProperty" Target="../customProperty2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customProperty" Target="../customProperty2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customProperty" Target="../customProperty2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customProperty" Target="../customProperty29.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customProperty" Target="../customProperty30.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customProperty" Target="../customProperty31.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customProperty" Target="../customProperty32.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customProperty" Target="../customProperty33.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customProperty" Target="../customProperty34.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customProperty" Target="../customProperty35.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customProperty" Target="../customProperty36.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customProperty" Target="../customProperty37.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customProperty" Target="../customProperty38.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41.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24B3A-E686-45AE-AF3B-64484224626C}">
  <sheetPr codeName="Sheet2">
    <tabColor rgb="FF595959"/>
  </sheetPr>
  <dimension ref="A1:B39"/>
  <sheetViews>
    <sheetView showGridLines="0" zoomScale="130" zoomScaleNormal="130" workbookViewId="0">
      <selection activeCell="A1" sqref="A1"/>
    </sheetView>
  </sheetViews>
  <sheetFormatPr defaultColWidth="8.85546875" defaultRowHeight="14.25" x14ac:dyDescent="0.2"/>
  <cols>
    <col min="1" max="1" width="10.5703125" style="241" customWidth="1"/>
    <col min="2" max="2" width="111.5703125" style="248" customWidth="1"/>
    <col min="3" max="3" width="37.85546875" style="241" customWidth="1"/>
    <col min="4" max="16384" width="8.85546875" style="241"/>
  </cols>
  <sheetData>
    <row r="1" spans="1:2" ht="58.5" x14ac:dyDescent="0.7">
      <c r="A1" s="278" t="s">
        <v>425</v>
      </c>
      <c r="B1" s="279"/>
    </row>
    <row r="2" spans="1:2" ht="14.45" customHeight="1" x14ac:dyDescent="0.2">
      <c r="A2" s="276" t="s">
        <v>333</v>
      </c>
      <c r="B2" s="277"/>
    </row>
    <row r="3" spans="1:2" ht="15" x14ac:dyDescent="0.2">
      <c r="A3" s="245"/>
      <c r="B3" s="247"/>
    </row>
    <row r="4" spans="1:2" ht="45" x14ac:dyDescent="0.2">
      <c r="A4" s="245"/>
      <c r="B4" s="247" t="s">
        <v>336</v>
      </c>
    </row>
    <row r="5" spans="1:2" ht="30" x14ac:dyDescent="0.2">
      <c r="A5" s="246"/>
      <c r="B5" s="247" t="s">
        <v>337</v>
      </c>
    </row>
    <row r="6" spans="1:2" ht="343.9" customHeight="1" x14ac:dyDescent="0.2">
      <c r="A6" s="242"/>
      <c r="B6" s="248"/>
    </row>
    <row r="7" spans="1:2" ht="15" x14ac:dyDescent="0.2">
      <c r="A7" s="242"/>
    </row>
    <row r="8" spans="1:2" ht="15" x14ac:dyDescent="0.2">
      <c r="A8" s="242"/>
      <c r="B8" s="249"/>
    </row>
    <row r="9" spans="1:2" ht="44.25" x14ac:dyDescent="0.2">
      <c r="A9" s="275" t="s">
        <v>326</v>
      </c>
      <c r="B9" s="275"/>
    </row>
    <row r="10" spans="1:2" ht="30" x14ac:dyDescent="0.2">
      <c r="B10" s="247" t="s">
        <v>539</v>
      </c>
    </row>
    <row r="11" spans="1:2" ht="15" x14ac:dyDescent="0.2">
      <c r="B11" s="247"/>
    </row>
    <row r="12" spans="1:2" ht="45" x14ac:dyDescent="0.2">
      <c r="B12" s="247" t="s">
        <v>339</v>
      </c>
    </row>
    <row r="13" spans="1:2" ht="15" x14ac:dyDescent="0.2">
      <c r="B13" s="247"/>
    </row>
    <row r="14" spans="1:2" ht="45" x14ac:dyDescent="0.2">
      <c r="B14" s="247" t="s">
        <v>389</v>
      </c>
    </row>
    <row r="15" spans="1:2" ht="15" x14ac:dyDescent="0.2">
      <c r="A15" s="242"/>
      <c r="B15" s="249"/>
    </row>
    <row r="16" spans="1:2" ht="44.25" x14ac:dyDescent="0.2">
      <c r="A16" s="275" t="s">
        <v>327</v>
      </c>
      <c r="B16" s="275"/>
    </row>
    <row r="17" spans="1:2" ht="120" x14ac:dyDescent="0.2">
      <c r="B17" s="247" t="s">
        <v>334</v>
      </c>
    </row>
    <row r="18" spans="1:2" ht="15" x14ac:dyDescent="0.2">
      <c r="A18" s="242"/>
      <c r="B18" s="249"/>
    </row>
    <row r="19" spans="1:2" ht="44.25" x14ac:dyDescent="0.2">
      <c r="A19" s="275" t="s">
        <v>330</v>
      </c>
      <c r="B19" s="275"/>
    </row>
    <row r="20" spans="1:2" ht="45" x14ac:dyDescent="0.2">
      <c r="B20" s="247" t="s">
        <v>340</v>
      </c>
    </row>
    <row r="21" spans="1:2" ht="15" x14ac:dyDescent="0.2">
      <c r="B21" s="247"/>
    </row>
    <row r="22" spans="1:2" ht="75" x14ac:dyDescent="0.2">
      <c r="A22" s="243"/>
      <c r="B22" s="247" t="s">
        <v>341</v>
      </c>
    </row>
    <row r="23" spans="1:2" ht="15" x14ac:dyDescent="0.2">
      <c r="A23" s="242"/>
      <c r="B23" s="249"/>
    </row>
    <row r="24" spans="1:2" ht="44.25" x14ac:dyDescent="0.2">
      <c r="A24" s="275" t="s">
        <v>328</v>
      </c>
      <c r="B24" s="275"/>
    </row>
    <row r="25" spans="1:2" ht="30" x14ac:dyDescent="0.2">
      <c r="B25" s="247" t="s">
        <v>329</v>
      </c>
    </row>
    <row r="26" spans="1:2" ht="15" x14ac:dyDescent="0.2">
      <c r="B26" s="247"/>
    </row>
    <row r="27" spans="1:2" ht="30" x14ac:dyDescent="0.2">
      <c r="A27" s="244"/>
      <c r="B27" s="247" t="s">
        <v>342</v>
      </c>
    </row>
    <row r="28" spans="1:2" ht="15" x14ac:dyDescent="0.2">
      <c r="A28" s="242"/>
      <c r="B28" s="249"/>
    </row>
    <row r="29" spans="1:2" ht="44.25" x14ac:dyDescent="0.2">
      <c r="B29" s="275"/>
    </row>
    <row r="30" spans="1:2" ht="45" x14ac:dyDescent="0.2">
      <c r="A30" s="243"/>
    </row>
    <row r="31" spans="1:2" ht="15.75" x14ac:dyDescent="0.2">
      <c r="A31" s="243"/>
      <c r="B31" s="247"/>
    </row>
    <row r="32" spans="1:2" ht="15.75" x14ac:dyDescent="0.2">
      <c r="A32" s="243"/>
    </row>
    <row r="33" spans="1:2" ht="30" x14ac:dyDescent="0.2">
      <c r="A33" s="243"/>
    </row>
    <row r="34" spans="1:2" ht="15.75" x14ac:dyDescent="0.2">
      <c r="A34" s="243"/>
      <c r="B34" s="247"/>
    </row>
    <row r="35" spans="1:2" ht="15" x14ac:dyDescent="0.2">
      <c r="A35" s="242"/>
    </row>
    <row r="36" spans="1:2" ht="30" x14ac:dyDescent="0.2">
      <c r="A36" s="242"/>
    </row>
    <row r="37" spans="1:2" customFormat="1" ht="15" x14ac:dyDescent="0.25">
      <c r="A37" s="259"/>
      <c r="B37" s="260"/>
    </row>
    <row r="38" spans="1:2" ht="15" x14ac:dyDescent="0.2">
      <c r="A38" s="242"/>
    </row>
    <row r="39" spans="1:2" ht="30" x14ac:dyDescent="0.2"/>
  </sheetData>
  <mergeCells count="6">
    <mergeCell ref="A2:B2"/>
    <mergeCell ref="A9:B9"/>
    <mergeCell ref="A1:B1"/>
    <mergeCell ref="A16:B16"/>
    <mergeCell ref="A19:B19"/>
    <mergeCell ref="A24:B24"/>
  </mergeCells>
  <hyperlinks>
    <hyperlink ref="A1" location="'TOC'!$A$1" display="'TOC'!$A$1" xr:uid="{548439FC-8440-4ED8-8C6A-E47C1C0F11EB}"/>
  </hyperlinks>
  <pageMargins left="0.7" right="0.7" top="0.75" bottom="0.75" header="0.3" footer="0.3"/>
  <pageSetup paperSize="9" orientation="portrait" horizontalDpi="360" verticalDpi="360"/>
  <customProperties>
    <customPr name="Description" r:id="rId5"/>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9D5C-4F97-4A3F-805E-2D2AF1894BCB}">
  <sheetPr codeName="Sheet8">
    <tabColor rgb="FF595959"/>
  </sheetPr>
  <dimension ref="A1:F69"/>
  <sheetViews>
    <sheetView showGridLines="0" workbookViewId="0">
      <pane xSplit="2" ySplit="4" topLeftCell="C5" activePane="bottomRight" state="frozen"/>
      <selection pane="topRight" activeCell="C1" sqref="C1"/>
      <selection pane="bottomLeft" activeCell="A5" sqref="A5"/>
      <selection pane="bottomRight" activeCell="J29" sqref="J29"/>
    </sheetView>
  </sheetViews>
  <sheetFormatPr defaultRowHeight="15" x14ac:dyDescent="0.25"/>
  <cols>
    <col min="1" max="1" width="26.42578125" bestFit="1" customWidth="1"/>
    <col min="2" max="2" width="9.85546875" bestFit="1" customWidth="1"/>
    <col min="3" max="3" width="25.28515625" bestFit="1" customWidth="1"/>
    <col min="4" max="4" width="90.28515625" bestFit="1" customWidth="1"/>
  </cols>
  <sheetData>
    <row r="1" spans="1:6" ht="45.75" x14ac:dyDescent="0.65">
      <c r="A1" s="285" t="s">
        <v>132</v>
      </c>
      <c r="B1" s="286"/>
      <c r="C1" s="286"/>
      <c r="D1" s="286"/>
      <c r="E1" s="286"/>
      <c r="F1" s="286"/>
    </row>
    <row r="2" spans="1:6" ht="20.25" x14ac:dyDescent="0.3">
      <c r="A2" s="283" t="s">
        <v>136</v>
      </c>
      <c r="B2" s="284"/>
      <c r="C2" s="284"/>
      <c r="D2" s="284"/>
      <c r="E2" s="238"/>
      <c r="F2" s="238"/>
    </row>
    <row r="3" spans="1:6" x14ac:dyDescent="0.25">
      <c r="A3" s="280" t="s">
        <v>424</v>
      </c>
      <c r="B3" s="281"/>
      <c r="C3" s="281"/>
      <c r="D3" s="282"/>
    </row>
    <row r="4" spans="1:6" x14ac:dyDescent="0.25">
      <c r="A4" s="105" t="s">
        <v>6</v>
      </c>
      <c r="B4" s="106" t="s">
        <v>7</v>
      </c>
      <c r="C4" s="107" t="s">
        <v>51</v>
      </c>
      <c r="D4" s="106" t="s">
        <v>131</v>
      </c>
    </row>
    <row r="5" spans="1:6" x14ac:dyDescent="0.25">
      <c r="A5" s="110" t="s">
        <v>331</v>
      </c>
      <c r="B5" s="108" t="s">
        <v>134</v>
      </c>
      <c r="C5" s="111" t="s">
        <v>332</v>
      </c>
      <c r="D5" s="109" t="s">
        <v>333</v>
      </c>
    </row>
    <row r="6" spans="1:6" x14ac:dyDescent="0.25">
      <c r="A6" s="110" t="s">
        <v>133</v>
      </c>
      <c r="B6" s="108" t="s">
        <v>134</v>
      </c>
      <c r="C6" s="111" t="s">
        <v>132</v>
      </c>
      <c r="D6" s="109" t="s">
        <v>135</v>
      </c>
    </row>
    <row r="7" spans="1:6" hidden="1" x14ac:dyDescent="0.25">
      <c r="A7" s="237" t="s">
        <v>350</v>
      </c>
      <c r="B7" s="108" t="s">
        <v>351</v>
      </c>
      <c r="C7" s="111" t="s">
        <v>136</v>
      </c>
      <c r="D7" s="109" t="s">
        <v>424</v>
      </c>
    </row>
    <row r="8" spans="1:6" x14ac:dyDescent="0.25">
      <c r="A8" s="110" t="s">
        <v>455</v>
      </c>
      <c r="B8" s="108" t="s">
        <v>134</v>
      </c>
      <c r="C8" s="111" t="s">
        <v>455</v>
      </c>
      <c r="D8" s="109"/>
    </row>
    <row r="9" spans="1:6" hidden="1" x14ac:dyDescent="0.25">
      <c r="A9" s="237" t="s">
        <v>456</v>
      </c>
      <c r="B9" s="108" t="s">
        <v>351</v>
      </c>
      <c r="C9" s="111" t="s">
        <v>448</v>
      </c>
      <c r="D9" s="109"/>
    </row>
    <row r="10" spans="1:6" x14ac:dyDescent="0.25">
      <c r="A10" s="110" t="s">
        <v>168</v>
      </c>
      <c r="B10" s="108" t="s">
        <v>134</v>
      </c>
      <c r="C10" s="111" t="s">
        <v>168</v>
      </c>
      <c r="D10" s="109" t="s">
        <v>195</v>
      </c>
    </row>
    <row r="11" spans="1:6" x14ac:dyDescent="0.25">
      <c r="A11" s="110" t="s">
        <v>169</v>
      </c>
      <c r="B11" s="108" t="s">
        <v>134</v>
      </c>
      <c r="C11" s="111" t="s">
        <v>169</v>
      </c>
      <c r="D11" s="109" t="s">
        <v>196</v>
      </c>
    </row>
    <row r="12" spans="1:6" x14ac:dyDescent="0.25">
      <c r="A12" s="110" t="s">
        <v>170</v>
      </c>
      <c r="B12" s="108" t="s">
        <v>134</v>
      </c>
      <c r="C12" s="111" t="s">
        <v>170</v>
      </c>
      <c r="D12" s="109" t="s">
        <v>197</v>
      </c>
    </row>
    <row r="13" spans="1:6" hidden="1" x14ac:dyDescent="0.25">
      <c r="A13" s="237" t="s">
        <v>352</v>
      </c>
      <c r="B13" s="108" t="s">
        <v>351</v>
      </c>
      <c r="C13" s="111" t="s">
        <v>220</v>
      </c>
      <c r="D13" s="109" t="s">
        <v>221</v>
      </c>
    </row>
    <row r="14" spans="1:6" x14ac:dyDescent="0.25">
      <c r="A14" s="110" t="s">
        <v>171</v>
      </c>
      <c r="B14" s="108" t="s">
        <v>134</v>
      </c>
      <c r="C14" s="111" t="s">
        <v>171</v>
      </c>
      <c r="D14" s="109" t="s">
        <v>198</v>
      </c>
    </row>
    <row r="15" spans="1:6" hidden="1" x14ac:dyDescent="0.25">
      <c r="A15" s="237" t="s">
        <v>353</v>
      </c>
      <c r="B15" s="108" t="s">
        <v>351</v>
      </c>
      <c r="C15" s="111" t="s">
        <v>243</v>
      </c>
      <c r="D15" s="109"/>
    </row>
    <row r="16" spans="1:6" x14ac:dyDescent="0.25">
      <c r="A16" s="110" t="s">
        <v>172</v>
      </c>
      <c r="B16" s="108" t="s">
        <v>134</v>
      </c>
      <c r="C16" s="111" t="s">
        <v>172</v>
      </c>
      <c r="D16" s="109" t="s">
        <v>199</v>
      </c>
    </row>
    <row r="17" spans="1:4" x14ac:dyDescent="0.25">
      <c r="A17" s="110" t="s">
        <v>173</v>
      </c>
      <c r="B17" s="108" t="s">
        <v>134</v>
      </c>
      <c r="C17" s="111" t="s">
        <v>173</v>
      </c>
      <c r="D17" s="109" t="s">
        <v>200</v>
      </c>
    </row>
    <row r="18" spans="1:4" x14ac:dyDescent="0.25">
      <c r="A18" s="110" t="s">
        <v>174</v>
      </c>
      <c r="B18" s="108" t="s">
        <v>134</v>
      </c>
      <c r="C18" s="111" t="s">
        <v>174</v>
      </c>
      <c r="D18" s="109" t="s">
        <v>201</v>
      </c>
    </row>
    <row r="19" spans="1:4" hidden="1" x14ac:dyDescent="0.25">
      <c r="A19" s="237" t="s">
        <v>354</v>
      </c>
      <c r="B19" s="108" t="s">
        <v>351</v>
      </c>
      <c r="C19" s="111" t="s">
        <v>180</v>
      </c>
      <c r="D19" s="109"/>
    </row>
    <row r="20" spans="1:4" hidden="1" x14ac:dyDescent="0.25">
      <c r="A20" s="237" t="s">
        <v>355</v>
      </c>
      <c r="B20" s="108" t="s">
        <v>351</v>
      </c>
      <c r="C20" s="111" t="s">
        <v>179</v>
      </c>
      <c r="D20" s="109"/>
    </row>
    <row r="21" spans="1:4" x14ac:dyDescent="0.25">
      <c r="A21" s="110" t="s">
        <v>175</v>
      </c>
      <c r="B21" s="108" t="s">
        <v>134</v>
      </c>
      <c r="C21" s="111" t="s">
        <v>175</v>
      </c>
      <c r="D21" s="109" t="s">
        <v>202</v>
      </c>
    </row>
    <row r="22" spans="1:4" hidden="1" x14ac:dyDescent="0.25">
      <c r="A22" s="237" t="s">
        <v>356</v>
      </c>
      <c r="B22" s="108" t="s">
        <v>351</v>
      </c>
      <c r="C22" s="111" t="s">
        <v>356</v>
      </c>
      <c r="D22" s="109"/>
    </row>
    <row r="23" spans="1:4" x14ac:dyDescent="0.25">
      <c r="A23" s="110" t="s">
        <v>176</v>
      </c>
      <c r="B23" s="108" t="s">
        <v>134</v>
      </c>
      <c r="C23" s="111" t="s">
        <v>176</v>
      </c>
      <c r="D23" s="109" t="s">
        <v>203</v>
      </c>
    </row>
    <row r="24" spans="1:4" hidden="1" x14ac:dyDescent="0.25">
      <c r="A24" s="237" t="s">
        <v>358</v>
      </c>
      <c r="B24" s="108" t="s">
        <v>351</v>
      </c>
      <c r="C24" s="111" t="s">
        <v>278</v>
      </c>
      <c r="D24" s="109"/>
    </row>
    <row r="25" spans="1:4" hidden="1" x14ac:dyDescent="0.25">
      <c r="A25" s="237" t="s">
        <v>357</v>
      </c>
      <c r="B25" s="108" t="s">
        <v>351</v>
      </c>
      <c r="C25" s="111" t="s">
        <v>270</v>
      </c>
      <c r="D25" s="109"/>
    </row>
    <row r="26" spans="1:4" x14ac:dyDescent="0.25">
      <c r="A26" s="110" t="s">
        <v>177</v>
      </c>
      <c r="B26" s="108" t="s">
        <v>134</v>
      </c>
      <c r="C26" s="111" t="s">
        <v>177</v>
      </c>
      <c r="D26" s="109" t="s">
        <v>204</v>
      </c>
    </row>
    <row r="27" spans="1:4" x14ac:dyDescent="0.25">
      <c r="A27" s="110" t="s">
        <v>178</v>
      </c>
      <c r="B27" s="108" t="s">
        <v>134</v>
      </c>
      <c r="C27" s="111" t="s">
        <v>178</v>
      </c>
      <c r="D27" s="109" t="s">
        <v>205</v>
      </c>
    </row>
    <row r="28" spans="1:4" x14ac:dyDescent="0.25">
      <c r="A28" s="110" t="s">
        <v>182</v>
      </c>
      <c r="B28" s="108" t="s">
        <v>459</v>
      </c>
      <c r="C28" s="111" t="s">
        <v>182</v>
      </c>
      <c r="D28" s="109" t="s">
        <v>381</v>
      </c>
    </row>
    <row r="29" spans="1:4" x14ac:dyDescent="0.25">
      <c r="A29" s="110" t="s">
        <v>183</v>
      </c>
      <c r="B29" s="108" t="s">
        <v>134</v>
      </c>
      <c r="C29" s="111" t="s">
        <v>183</v>
      </c>
      <c r="D29" s="109" t="s">
        <v>206</v>
      </c>
    </row>
    <row r="30" spans="1:4" hidden="1" x14ac:dyDescent="0.25">
      <c r="A30" s="237" t="s">
        <v>359</v>
      </c>
      <c r="B30" s="108" t="s">
        <v>351</v>
      </c>
      <c r="C30" s="111" t="s">
        <v>317</v>
      </c>
      <c r="D30" s="109"/>
    </row>
    <row r="31" spans="1:4" x14ac:dyDescent="0.25">
      <c r="A31" s="110" t="s">
        <v>191</v>
      </c>
      <c r="B31" s="108" t="s">
        <v>134</v>
      </c>
      <c r="C31" s="111" t="s">
        <v>191</v>
      </c>
      <c r="D31" s="109" t="s">
        <v>215</v>
      </c>
    </row>
    <row r="32" spans="1:4" x14ac:dyDescent="0.25">
      <c r="A32" s="110" t="s">
        <v>189</v>
      </c>
      <c r="B32" s="108" t="s">
        <v>134</v>
      </c>
      <c r="C32" s="111" t="s">
        <v>189</v>
      </c>
      <c r="D32" s="109" t="s">
        <v>212</v>
      </c>
    </row>
    <row r="33" spans="1:4" x14ac:dyDescent="0.25">
      <c r="A33" s="110" t="s">
        <v>184</v>
      </c>
      <c r="B33" s="108" t="s">
        <v>134</v>
      </c>
      <c r="C33" s="111" t="s">
        <v>184</v>
      </c>
      <c r="D33" s="109" t="s">
        <v>207</v>
      </c>
    </row>
    <row r="34" spans="1:4" x14ac:dyDescent="0.25">
      <c r="A34" s="110" t="s">
        <v>308</v>
      </c>
      <c r="B34" s="108" t="s">
        <v>134</v>
      </c>
      <c r="C34" s="111" t="s">
        <v>308</v>
      </c>
      <c r="D34" s="109" t="s">
        <v>309</v>
      </c>
    </row>
    <row r="35" spans="1:4" x14ac:dyDescent="0.25">
      <c r="A35" s="110" t="s">
        <v>185</v>
      </c>
      <c r="B35" s="108" t="s">
        <v>134</v>
      </c>
      <c r="C35" s="111" t="s">
        <v>185</v>
      </c>
      <c r="D35" s="109" t="s">
        <v>208</v>
      </c>
    </row>
    <row r="36" spans="1:4" hidden="1" x14ac:dyDescent="0.25">
      <c r="A36" s="237" t="s">
        <v>360</v>
      </c>
      <c r="B36" s="108" t="s">
        <v>351</v>
      </c>
      <c r="C36" s="111" t="s">
        <v>295</v>
      </c>
      <c r="D36" s="109"/>
    </row>
    <row r="37" spans="1:4" x14ac:dyDescent="0.25">
      <c r="A37" s="110" t="s">
        <v>192</v>
      </c>
      <c r="B37" s="108" t="s">
        <v>134</v>
      </c>
      <c r="C37" s="111" t="s">
        <v>192</v>
      </c>
      <c r="D37" s="109" t="s">
        <v>216</v>
      </c>
    </row>
    <row r="38" spans="1:4" hidden="1" x14ac:dyDescent="0.25">
      <c r="A38" s="237" t="s">
        <v>361</v>
      </c>
      <c r="B38" s="108" t="s">
        <v>351</v>
      </c>
      <c r="C38" s="111" t="s">
        <v>295</v>
      </c>
      <c r="D38" s="109"/>
    </row>
    <row r="39" spans="1:4" x14ac:dyDescent="0.25">
      <c r="A39" s="110" t="s">
        <v>362</v>
      </c>
      <c r="B39" s="108" t="s">
        <v>134</v>
      </c>
      <c r="C39" s="111" t="s">
        <v>362</v>
      </c>
      <c r="D39" s="109" t="s">
        <v>368</v>
      </c>
    </row>
    <row r="40" spans="1:4" hidden="1" x14ac:dyDescent="0.25">
      <c r="A40" s="237" t="s">
        <v>363</v>
      </c>
      <c r="B40" s="108" t="s">
        <v>351</v>
      </c>
      <c r="C40" s="111" t="s">
        <v>295</v>
      </c>
      <c r="D40" s="109"/>
    </row>
    <row r="41" spans="1:4" x14ac:dyDescent="0.25">
      <c r="A41" s="110" t="s">
        <v>364</v>
      </c>
      <c r="B41" s="108" t="s">
        <v>134</v>
      </c>
      <c r="C41" s="111" t="s">
        <v>364</v>
      </c>
      <c r="D41" s="109" t="s">
        <v>369</v>
      </c>
    </row>
    <row r="42" spans="1:4" hidden="1" x14ac:dyDescent="0.25">
      <c r="A42" s="237" t="s">
        <v>365</v>
      </c>
      <c r="B42" s="108" t="s">
        <v>351</v>
      </c>
      <c r="C42" s="111" t="s">
        <v>295</v>
      </c>
      <c r="D42" s="109"/>
    </row>
    <row r="43" spans="1:4" x14ac:dyDescent="0.25">
      <c r="A43" s="110" t="s">
        <v>186</v>
      </c>
      <c r="B43" s="108" t="s">
        <v>134</v>
      </c>
      <c r="C43" s="111" t="s">
        <v>186</v>
      </c>
      <c r="D43" s="109" t="s">
        <v>209</v>
      </c>
    </row>
    <row r="44" spans="1:4" hidden="1" x14ac:dyDescent="0.25">
      <c r="A44" s="237" t="s">
        <v>366</v>
      </c>
      <c r="B44" s="108" t="s">
        <v>351</v>
      </c>
      <c r="C44" s="111" t="s">
        <v>315</v>
      </c>
      <c r="D44" s="109"/>
    </row>
    <row r="45" spans="1:4" x14ac:dyDescent="0.25">
      <c r="A45" s="110" t="s">
        <v>187</v>
      </c>
      <c r="B45" s="108" t="s">
        <v>134</v>
      </c>
      <c r="C45" s="111" t="s">
        <v>187</v>
      </c>
      <c r="D45" s="109" t="s">
        <v>210</v>
      </c>
    </row>
    <row r="46" spans="1:4" x14ac:dyDescent="0.25">
      <c r="A46" s="110" t="s">
        <v>436</v>
      </c>
      <c r="B46" s="108" t="s">
        <v>134</v>
      </c>
      <c r="C46" s="111" t="s">
        <v>436</v>
      </c>
      <c r="D46" s="109" t="s">
        <v>437</v>
      </c>
    </row>
    <row r="47" spans="1:4" x14ac:dyDescent="0.25">
      <c r="A47" s="110" t="s">
        <v>188</v>
      </c>
      <c r="B47" s="108" t="s">
        <v>134</v>
      </c>
      <c r="C47" s="111" t="s">
        <v>188</v>
      </c>
      <c r="D47" s="109" t="s">
        <v>211</v>
      </c>
    </row>
    <row r="48" spans="1:4" x14ac:dyDescent="0.25">
      <c r="A48" s="110" t="s">
        <v>367</v>
      </c>
      <c r="B48" s="108" t="s">
        <v>134</v>
      </c>
      <c r="C48" s="111" t="s">
        <v>367</v>
      </c>
      <c r="D48" s="109" t="s">
        <v>370</v>
      </c>
    </row>
    <row r="49" spans="1:4" x14ac:dyDescent="0.25">
      <c r="A49" s="110" t="s">
        <v>190</v>
      </c>
      <c r="B49" s="108" t="s">
        <v>134</v>
      </c>
      <c r="C49" s="111" t="s">
        <v>190</v>
      </c>
      <c r="D49" s="109" t="s">
        <v>214</v>
      </c>
    </row>
    <row r="50" spans="1:4" x14ac:dyDescent="0.25">
      <c r="A50" s="110" t="s">
        <v>193</v>
      </c>
      <c r="B50" s="108" t="s">
        <v>134</v>
      </c>
      <c r="C50" s="111" t="s">
        <v>193</v>
      </c>
      <c r="D50" s="109" t="s">
        <v>217</v>
      </c>
    </row>
    <row r="51" spans="1:4" x14ac:dyDescent="0.25">
      <c r="A51" s="110" t="s">
        <v>194</v>
      </c>
      <c r="B51" s="108" t="s">
        <v>134</v>
      </c>
      <c r="C51" s="111" t="s">
        <v>194</v>
      </c>
      <c r="D51" s="109" t="s">
        <v>218</v>
      </c>
    </row>
    <row r="52" spans="1:4" x14ac:dyDescent="0.25">
      <c r="A52" s="110" t="s">
        <v>373</v>
      </c>
      <c r="B52" s="108" t="s">
        <v>134</v>
      </c>
      <c r="C52" s="111" t="s">
        <v>373</v>
      </c>
      <c r="D52" s="109" t="s">
        <v>380</v>
      </c>
    </row>
    <row r="53" spans="1:4" x14ac:dyDescent="0.25">
      <c r="A53" s="110" t="s">
        <v>405</v>
      </c>
      <c r="B53" s="108" t="s">
        <v>134</v>
      </c>
      <c r="C53" s="111" t="s">
        <v>405</v>
      </c>
      <c r="D53" s="109" t="s">
        <v>414</v>
      </c>
    </row>
    <row r="54" spans="1:4" x14ac:dyDescent="0.25">
      <c r="A54" s="110" t="s">
        <v>372</v>
      </c>
      <c r="B54" s="108" t="s">
        <v>134</v>
      </c>
      <c r="C54" s="111" t="s">
        <v>372</v>
      </c>
      <c r="D54" s="109" t="s">
        <v>213</v>
      </c>
    </row>
    <row r="55" spans="1:4" x14ac:dyDescent="0.25">
      <c r="A55" s="110" t="s">
        <v>371</v>
      </c>
      <c r="B55" s="108" t="s">
        <v>134</v>
      </c>
      <c r="C55" s="111" t="s">
        <v>371</v>
      </c>
      <c r="D55" s="109" t="s">
        <v>385</v>
      </c>
    </row>
    <row r="56" spans="1:4" x14ac:dyDescent="0.25">
      <c r="A56" s="110" t="s">
        <v>374</v>
      </c>
      <c r="B56" s="108" t="s">
        <v>134</v>
      </c>
      <c r="C56" s="111" t="s">
        <v>374</v>
      </c>
      <c r="D56" s="109" t="s">
        <v>384</v>
      </c>
    </row>
    <row r="57" spans="1:4" x14ac:dyDescent="0.25">
      <c r="A57" s="110" t="s">
        <v>375</v>
      </c>
      <c r="B57" s="108" t="s">
        <v>134</v>
      </c>
      <c r="C57" s="111" t="s">
        <v>375</v>
      </c>
      <c r="D57" s="109" t="s">
        <v>383</v>
      </c>
    </row>
    <row r="58" spans="1:4" x14ac:dyDescent="0.25">
      <c r="A58" s="110" t="s">
        <v>376</v>
      </c>
      <c r="B58" s="108" t="s">
        <v>134</v>
      </c>
      <c r="C58" s="111" t="s">
        <v>376</v>
      </c>
      <c r="D58" s="109" t="s">
        <v>386</v>
      </c>
    </row>
    <row r="59" spans="1:4" x14ac:dyDescent="0.25">
      <c r="A59" s="110" t="s">
        <v>377</v>
      </c>
      <c r="B59" s="108" t="s">
        <v>134</v>
      </c>
      <c r="C59" s="111" t="s">
        <v>377</v>
      </c>
      <c r="D59" s="109" t="s">
        <v>382</v>
      </c>
    </row>
    <row r="60" spans="1:4" x14ac:dyDescent="0.25">
      <c r="A60" s="110" t="s">
        <v>378</v>
      </c>
      <c r="B60" s="108" t="s">
        <v>134</v>
      </c>
      <c r="C60" s="111" t="s">
        <v>378</v>
      </c>
      <c r="D60" s="109" t="s">
        <v>387</v>
      </c>
    </row>
    <row r="61" spans="1:4" x14ac:dyDescent="0.25">
      <c r="A61" s="110" t="s">
        <v>379</v>
      </c>
      <c r="B61" s="108" t="s">
        <v>134</v>
      </c>
      <c r="C61" s="111" t="s">
        <v>379</v>
      </c>
      <c r="D61" s="109" t="s">
        <v>388</v>
      </c>
    </row>
    <row r="62" spans="1:4" x14ac:dyDescent="0.25">
      <c r="A62" s="110" t="s">
        <v>406</v>
      </c>
      <c r="B62" s="108" t="s">
        <v>134</v>
      </c>
      <c r="C62" s="111" t="s">
        <v>406</v>
      </c>
      <c r="D62" s="109" t="s">
        <v>411</v>
      </c>
    </row>
    <row r="63" spans="1:4" x14ac:dyDescent="0.25">
      <c r="A63" s="110" t="s">
        <v>407</v>
      </c>
      <c r="B63" s="108" t="s">
        <v>134</v>
      </c>
      <c r="C63" s="111" t="s">
        <v>407</v>
      </c>
      <c r="D63" s="109" t="s">
        <v>410</v>
      </c>
    </row>
    <row r="64" spans="1:4" x14ac:dyDescent="0.25">
      <c r="A64" s="110" t="s">
        <v>408</v>
      </c>
      <c r="B64" s="108" t="s">
        <v>134</v>
      </c>
      <c r="C64" s="111" t="s">
        <v>408</v>
      </c>
      <c r="D64" s="109" t="s">
        <v>412</v>
      </c>
    </row>
    <row r="65" spans="1:4" x14ac:dyDescent="0.25">
      <c r="A65" s="110" t="s">
        <v>409</v>
      </c>
      <c r="B65" s="108" t="s">
        <v>134</v>
      </c>
      <c r="C65" s="111" t="s">
        <v>409</v>
      </c>
      <c r="D65" s="109" t="s">
        <v>413</v>
      </c>
    </row>
    <row r="66" spans="1:4" x14ac:dyDescent="0.25">
      <c r="A66" s="110" t="s">
        <v>420</v>
      </c>
      <c r="B66" s="108" t="s">
        <v>134</v>
      </c>
      <c r="C66" s="111" t="s">
        <v>420</v>
      </c>
      <c r="D66" s="109" t="s">
        <v>196</v>
      </c>
    </row>
    <row r="67" spans="1:4" hidden="1" x14ac:dyDescent="0.25">
      <c r="A67" s="237" t="s">
        <v>421</v>
      </c>
      <c r="B67" s="108" t="s">
        <v>351</v>
      </c>
      <c r="C67" s="111" t="s">
        <v>416</v>
      </c>
      <c r="D67" s="109"/>
    </row>
    <row r="68" spans="1:4" x14ac:dyDescent="0.25">
      <c r="A68" s="110" t="s">
        <v>422</v>
      </c>
      <c r="B68" s="108" t="s">
        <v>134</v>
      </c>
      <c r="C68" s="111" t="s">
        <v>422</v>
      </c>
      <c r="D68" s="109" t="s">
        <v>423</v>
      </c>
    </row>
    <row r="69" spans="1:4" x14ac:dyDescent="0.25">
      <c r="A69" s="110" t="s">
        <v>457</v>
      </c>
      <c r="B69" s="108" t="s">
        <v>134</v>
      </c>
      <c r="C69" s="111" t="s">
        <v>457</v>
      </c>
      <c r="D69" s="109" t="s">
        <v>458</v>
      </c>
    </row>
  </sheetData>
  <mergeCells count="3">
    <mergeCell ref="A3:D3"/>
    <mergeCell ref="A2:D2"/>
    <mergeCell ref="A1:F1"/>
  </mergeCells>
  <conditionalFormatting sqref="C5:C69">
    <cfRule type="expression" dxfId="23" priority="1">
      <formula>LEN(C5)&gt;32</formula>
    </cfRule>
  </conditionalFormatting>
  <hyperlinks>
    <hyperlink ref="A1" location="'TOC'!$A$1" display="'TOC'!$A$1" xr:uid="{CB5F1399-2A88-4005-88E8-169A52F28849}"/>
    <hyperlink ref="A5" location="'Cover'!$A$1" display="'Cover'!$A$1" xr:uid="{CCBE2287-95A7-4351-81E6-5613A76B1A2E}"/>
    <hyperlink ref="A6" location="'TOC'!$A$1" display="'TOC'!$A$1" xr:uid="{FFC27991-BA2A-4C0B-8A61-C8DBDF1BF056}"/>
    <hyperlink ref="A7" location="'TOC'!$A$5:$D$7" display="'TOC'!$A$5:$D$7" xr:uid="{583FDF70-D024-4965-BA89-B2AD3E4FAC2E}"/>
    <hyperlink ref="A8" location="'Data Validation'!$A$1" display="'Data Validation'!$A$1" xr:uid="{15EF870A-8B50-4D0B-A183-22161E113A89}"/>
    <hyperlink ref="A9" location="'Data Validation'!$A$7:$B$12" display="'Data Validation'!$A$7:$B$12" xr:uid="{431EE21B-D000-483D-A7A5-ADB3C1DA5815}"/>
    <hyperlink ref="A10" location="'nabla.d.CountDOWλ'!$A$1" display="'nabla.d.CountDOWλ'!$A$1" xr:uid="{1EA85702-180F-4ED3-9514-1F34ABF31551}"/>
    <hyperlink ref="A11" location="'nabla.d.IsBetweenλ'!$A$1" display="'nabla.d.IsBetweenλ'!$A$1" xr:uid="{01A8DB1F-6500-48B8-ACA4-4D3783ACEDE2}"/>
    <hyperlink ref="A12" location="'nabla.d.IsOccurrenceDateλ'!$A$1" display="'nabla.d.IsOccurrenceDateλ'!$A$1" xr:uid="{84D84714-DCFA-4845-A904-4F7B33551932}"/>
    <hyperlink ref="A13" location="'nabla.d.IsOccurrenceDateλ'!$A$34:$E$39" display="'nabla.d.IsOccurrenceDateλ'!$A$34:$E$39" xr:uid="{3EE4710A-0A7D-4C6F-918F-948CB5FCB8CD}"/>
    <hyperlink ref="A14" location="'nabla.d.OverLapDaysλ'!$A$1" display="'nabla.d.OverLapDaysλ'!$A$1" xr:uid="{7B1DDDFE-DD14-49AD-B2D8-A10647832658}"/>
    <hyperlink ref="A15" location="'nabla.d.OverLapDaysλ'!$A$23:$E$25" display="'nabla.d.OverLapDaysλ'!$A$23:$E$25" xr:uid="{E1B731FE-6AE0-440A-9EA1-F0A74F1CF7F3}"/>
    <hyperlink ref="A16" location="'nabla.d.Periodsλ'!$A$1" display="'nabla.d.Periodsλ'!$A$1" xr:uid="{32E4CC23-A361-410B-8E03-EEC7C736F98C}"/>
    <hyperlink ref="A17" location="'nabla.d.PeriodLabelλ'!$A$1" display="'nabla.d.PeriodLabelλ'!$A$1" xr:uid="{A0D0F49B-6801-485A-BF70-D68CC79CD300}"/>
    <hyperlink ref="A18" location="'nabla.d.ScheduleRatesλ'!$A$1" display="'nabla.d.ScheduleRatesλ'!$A$1" xr:uid="{2901AE44-2664-485E-9CAE-28E43B25F0D1}"/>
    <hyperlink ref="A19" location="'nabla.d.ScheduleRatesλ'!$A$36:$B$38" display="'nabla.d.ScheduleRatesλ'!$A$36:$B$38" xr:uid="{9A36584A-9198-4FBF-8E9F-13960F21E62E}"/>
    <hyperlink ref="A20" location="'nabla.d.ScheduleRatesλ'!$A$43:$C$46" display="'nabla.d.ScheduleRatesλ'!$A$43:$C$46" xr:uid="{56FFBDDD-F76C-45ED-A67B-72B79DF7267E}"/>
    <hyperlink ref="A21" location="'nabla.d.ScheduleRatesByItemsλ'!$A$1" display="'nabla.d.ScheduleRatesByItemsλ'!$A$1" xr:uid="{8047904B-5AA7-4787-BA13-A73F5AC51BF6}"/>
    <hyperlink ref="A22" location="'nabla.d.ScheduleRatesByItemsλ'!$D$25:$F$38" display="'nabla.d.ScheduleRatesByItemsλ'!$D$25:$F$38" xr:uid="{3F7F55CD-4BF8-4D14-95DA-FAC04EB82B4A}"/>
    <hyperlink ref="A23" location="'nabla.d.ScheduleValuesλ'!$A$1" display="'nabla.d.ScheduleValuesλ'!$A$1" xr:uid="{EF7BB3C1-2F04-4CD6-9AA6-36AE344C2C5E}"/>
    <hyperlink ref="A25" location="'nabla.d.ScheduleValuesλ'!$A$28:$C$32" display="'nabla.d.ScheduleValuesλ'!$A$28:$C$32" xr:uid="{ED4A702A-5F0C-4C04-8E18-A1161CB1134B}"/>
    <hyperlink ref="A24" location="'nabla.d.ScheduleValuesλ'!$E$20:$I$40" display="'nabla.d.ScheduleValuesλ'!$E$20:$I$40" xr:uid="{FEE54B8C-7E14-4B0A-8B98-4B5A068BE255}"/>
    <hyperlink ref="A26" location="'nabla.d.ScheduleValuesByItemsλ'!$A$1" display="'nabla.d.ScheduleValuesByItemsλ'!$A$1" xr:uid="{C6993DBA-9182-4B59-B338-48D3D4B17DEE}"/>
    <hyperlink ref="A27" location="'nabla.d.Timelineλ'!$A$1" display="'nabla.d.Timelineλ'!$A$1" xr:uid="{A90D165F-C4AF-48D6-8D1D-F204F59625E9}"/>
    <hyperlink ref="A29" location="'nabla.f.Amortiseλ'!$A$1" display="'nabla.f.Amortiseλ'!$A$1" xr:uid="{BEA5B5B6-036F-423C-84EE-FC79FBEEEE69}"/>
    <hyperlink ref="A30" location="'nabla.f.Amortiseλ'!$A$24:$E$26" display="'nabla.f.Amortiseλ'!$A$24:$E$26" xr:uid="{1C636846-E572-463F-A44E-E91B33B0B14C}"/>
    <hyperlink ref="A31" location="'nabla.f.LabelAmortiseλ'!$A$1" display="'nabla.f.LabelAmortiseλ'!$A$1" xr:uid="{8B0E8BCB-C9D1-424F-95A9-EE73BAC3A2F7}"/>
    <hyperlink ref="A32" location="'nabla.f.SumAmortiseλ'!$A$1" display="'nabla.f.SumAmortiseλ'!$A$1" xr:uid="{D66697D1-12A9-407A-95C2-074D70520786}"/>
    <hyperlink ref="A33" location="'nabla.f.Corkscrewλ'!$A$1" display="'nabla.f.Corkscrewλ'!$A$1" xr:uid="{A7FC4DA8-89D6-47EA-A93C-D1A467CD3D18}"/>
    <hyperlink ref="A34" location="'nabla.f.Cumulativeλ'!$A$1" display="'nabla.f.Cumulativeλ'!$A$1" xr:uid="{5C07D413-045B-49AA-84AC-27A446010415}"/>
    <hyperlink ref="A35" location="'nabla.f.Depreciateλ'!$A$1" display="'nabla.f.Depreciateλ'!$A$1" xr:uid="{3010CCB3-7E12-441D-A389-196F03229010}"/>
    <hyperlink ref="A36" location="'nabla.f.Depreciateλ'!$A$46:$H$48" display="'nabla.f.Depreciateλ'!$A$46:$H$48" xr:uid="{1FA20571-FCAD-436A-AD66-6C86FC5A8825}"/>
    <hyperlink ref="A37" location="'nabla.f.LabelDepreciateλ'!$A$1" display="'nabla.f.LabelDepreciateλ'!$A$1" xr:uid="{4A06AA8A-28D9-4C80-9D9E-145EE1ABF538}"/>
    <hyperlink ref="A38" location="'nabla.f.LabelDepreciateλ'!$A$26:$H$28" display="'nabla.f.LabelDepreciateλ'!$A$26:$H$28" xr:uid="{7F51224E-A4FF-41E5-88BA-270AB69788A4}"/>
    <hyperlink ref="A39" location="'nabla.f.SumDepreciateλ'!$A$1" display="'nabla.f.SumDepreciateλ'!$A$1" xr:uid="{C83B5A30-FFC4-4E26-877E-0853E204A7AA}"/>
    <hyperlink ref="A40" location="'nabla.f.SumDepreciateλ'!$A$26:$H$28" display="'nabla.f.SumDepreciateλ'!$A$26:$H$28" xr:uid="{7535EEA8-D1DF-43DB-B564-8FE77209CFD9}"/>
    <hyperlink ref="A41" location="'nabla.f.SumContains'!$A$1" display="'nabla.f.SumContains'!$A$1" xr:uid="{5C8DAB05-8B34-4E16-BE14-BDB67049DC49}"/>
    <hyperlink ref="A42" location="'nabla.f.SumContains'!$A$29:$H$31" display="'nabla.f.SumContains'!$A$29:$H$31" xr:uid="{5D2F3E3F-6E09-48C9-B3C5-548B9CD76174}"/>
    <hyperlink ref="A43" location="'nabla.f.IntOnIntλ'!$A$1" display="'nabla.f.IntOnIntλ'!$A$1" xr:uid="{B5893D36-1849-443B-959D-9B7F1979F92D}"/>
    <hyperlink ref="A44" location="'nabla.f.IntOnIntλ'!$A$28:$D$30" display="'nabla.f.IntOnIntλ'!$A$28:$D$30" xr:uid="{6522888E-9D48-42FA-9B05-39A0CE8CA7DD}"/>
    <hyperlink ref="A45" location="'nabla.f.IRRλ'!$A$1" display="'nabla.f.IRRλ'!$A$1" xr:uid="{4DDD7FA6-DD83-476D-86DC-8F8C7D7B7C92}"/>
    <hyperlink ref="A46" location="'nabla.f.Reversalλ'!$A$1" display="'nabla.f.Reversalλ'!$A$1" xr:uid="{2BC91B08-8F0F-4354-B282-C26A51FDD4F0}"/>
    <hyperlink ref="A47" location="'nabla.f.Movementλ'!$A$1" display="'nabla.f.Movementλ'!$A$1" xr:uid="{84329063-D877-478D-9F9F-E346682DDB5B}"/>
    <hyperlink ref="A48" location="'nabla.f.RollingSumλ'!$A$1" display="'nabla.f.RollingSumλ'!$A$1" xr:uid="{D90BE02E-28EC-4AAB-AFE3-D7DF30270F5D}"/>
    <hyperlink ref="A49" location="'nabla.f.SumPeriodsλ'!$A$1" display="'nabla.f.SumPeriodsλ'!$A$1" xr:uid="{F8F315D9-BD34-4E1F-963D-CBE096B01AA1}"/>
    <hyperlink ref="A50" location="'nabla.f.TimelineOffsetλ'!$A$1" display="'nabla.f.TimelineOffsetλ'!$A$1" xr:uid="{78BD3347-2168-4112-9AC6-FD7758F6870E}"/>
    <hyperlink ref="A51" location="'nabla.f.TimelinePositionλ'!$A$1" display="'nabla.f.TimelinePositionλ'!$A$1" xr:uid="{D54C8264-B700-438A-92DC-0E1238CC7EF6}"/>
    <hyperlink ref="A52" location="'nabla.e.Aboutλ'!$A$1" display="'nabla.e.Aboutλ'!$A$1" xr:uid="{6AFB1077-9092-42FE-9EE3-9F60E6135748}"/>
    <hyperlink ref="A53" location="'nabla.e.CountCλ'!$A$1" display="'nabla.e.CountCλ'!$A$1" xr:uid="{425D1256-FB57-4E2D-9BE1-8E116617FAB0}"/>
    <hyperlink ref="A54" location="'nabla.e.SumRowsλ'!$A$1" display="'nabla.e.SumRowsλ'!$A$1" xr:uid="{9FE8402C-3B5E-44C2-924B-3B7A0AB24753}"/>
    <hyperlink ref="A55" location="'nabla.e.SumColsλ'!$A$1" display="'nabla.e.SumColsλ'!$A$1" xr:uid="{20824F45-B21C-4965-B6E9-9E5026AAF433}"/>
    <hyperlink ref="A56" location="'nabla.e.AvgRowsλ'!$A$1" display="'nabla.e.AvgRowsλ'!$A$1" xr:uid="{90263ED3-F51E-4C7B-9F9C-E16A4A3AA6B3}"/>
    <hyperlink ref="A57" location="'nabla.e.AvgColsλ'!$A$1" display="'nabla.e.AvgColsλ'!$A$1" xr:uid="{28FD9445-0707-4DA8-9318-B31561D7FF42}"/>
    <hyperlink ref="A58" location="'nabla.e.MinRowsλ'!$A$1" display="'nabla.e.MinRowsλ'!$A$1" xr:uid="{AE128D80-3DAD-4F2F-922F-32422BCC1374}"/>
    <hyperlink ref="A59" location="'nabla.e.MinColsλ'!$A$1" display="'nabla.e.MinColsλ'!$A$1" xr:uid="{BEA45A63-4F73-4E9F-966C-499A14E56E4C}"/>
    <hyperlink ref="A60" location="'nabla.e.MaxRowsλ'!$A$1" display="'nabla.e.MaxRowsλ'!$A$1" xr:uid="{A4591831-CBDC-4EAA-AF05-E72122CA1E45}"/>
    <hyperlink ref="A61" location="'nabla.e.MaxColsλ'!$A$1" display="'nabla.e.MaxColsλ'!$A$1" xr:uid="{EE9AD777-5C2F-47F1-9BC8-D481F550D593}"/>
    <hyperlink ref="A62" location="'nabla.e.CountRowsλ'!$A$1" display="'nabla.e.CountRowsλ'!$A$1" xr:uid="{85B0DB09-7E41-43E6-8AC1-401AC777C4E6}"/>
    <hyperlink ref="A63" location="'nabla.e.CountColsλ'!$A$1" display="'nabla.e.CountColsλ'!$A$1" xr:uid="{CD482693-E456-496A-A91A-7BA431261244}"/>
    <hyperlink ref="A64" location="'nabla.e.CountARowsλ'!$A$1" display="'nabla.e.CountARowsλ'!$A$1" xr:uid="{C4E0AD1D-05FC-450C-96BA-56434B0A7764}"/>
    <hyperlink ref="A65" location="'nabla.e.CountAColsλ'!$A$1" display="'nabla.e.CountAColsλ'!$A$1" xr:uid="{BF1CE99C-507A-421E-B5C9-DEFE2C01F553}"/>
    <hyperlink ref="A66" location="'nabla.e.IsBetweenλ'!$A$1" display="'nabla.e.IsBetweenλ'!$A$1" xr:uid="{88489402-EA40-4F69-806D-DA2A57AF77B1}"/>
    <hyperlink ref="A67" location="'nabla.e.IsBetweenλ'!$A$29:$B$33" display="'nabla.e.IsBetweenλ'!$A$29:$B$33" xr:uid="{DCC2715B-CFF8-43EA-B9F0-C1629F554799}"/>
    <hyperlink ref="A68" location="'nabla.e.RangeToDAλ'!$A$1" display="'nabla.e.RangeToDAλ'!$A$1" xr:uid="{4A8420CE-883D-4955-AA6C-068C9DA7572B}"/>
    <hyperlink ref="A69" location="'nabla.r.FinancialRatios'!$A$1" display="'nabla.r.FinancialRatios'!$A$1" xr:uid="{27006F34-ED4F-4D31-9273-4C75AEB7D26C}"/>
  </hyperlinks>
  <pageMargins left="0.7" right="0.7" top="0.75" bottom="0.75" header="0.3" footer="0.3"/>
  <pageSetup paperSize="9" orientation="portrait" horizontalDpi="360" verticalDpi="360"/>
  <customProperties>
    <customPr name="Description" r:id="rId2"/>
  </customProperties>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FF15E-09E8-43C7-92D8-96DC89B4FA57}">
  <sheetPr>
    <tabColor rgb="FF595959"/>
  </sheetPr>
  <dimension ref="A1:M13"/>
  <sheetViews>
    <sheetView showGridLines="0" tabSelected="1" workbookViewId="0">
      <selection activeCell="A1" sqref="A1"/>
    </sheetView>
  </sheetViews>
  <sheetFormatPr defaultRowHeight="15" x14ac:dyDescent="0.25"/>
  <cols>
    <col min="1" max="1" width="6.5703125" customWidth="1"/>
    <col min="2" max="2" width="21.7109375" bestFit="1" customWidth="1"/>
  </cols>
  <sheetData>
    <row r="1" spans="1:13" ht="45.75" x14ac:dyDescent="0.65">
      <c r="A1" s="270" t="str">
        <f>_xlfn.TEXTAFTER(CELL("filename",A1),"]")</f>
        <v>Data Validation</v>
      </c>
      <c r="B1" s="270"/>
      <c r="C1" s="270"/>
      <c r="D1" s="270"/>
      <c r="E1" s="270"/>
      <c r="F1" s="270"/>
      <c r="G1" s="270"/>
      <c r="H1" s="270"/>
      <c r="I1" s="112"/>
      <c r="J1" s="112"/>
      <c r="K1" s="112"/>
      <c r="L1" s="112"/>
      <c r="M1" s="112"/>
    </row>
    <row r="2" spans="1:13" x14ac:dyDescent="0.25">
      <c r="A2" s="273" t="s">
        <v>439</v>
      </c>
      <c r="B2" s="287"/>
      <c r="C2" s="287"/>
      <c r="D2" s="287"/>
      <c r="E2" s="287"/>
      <c r="F2" s="287"/>
      <c r="G2" s="287"/>
      <c r="H2" s="287"/>
      <c r="I2" s="287"/>
      <c r="J2" s="287"/>
      <c r="K2" s="287"/>
      <c r="L2" s="287"/>
      <c r="M2" s="288"/>
    </row>
    <row r="4" spans="1:13" ht="20.25" x14ac:dyDescent="0.3">
      <c r="A4" s="289" t="s">
        <v>448</v>
      </c>
      <c r="B4" s="290"/>
    </row>
    <row r="6" spans="1:13" x14ac:dyDescent="0.25">
      <c r="A6" t="s">
        <v>299</v>
      </c>
      <c r="B6" t="s">
        <v>131</v>
      </c>
    </row>
    <row r="7" spans="1:13" x14ac:dyDescent="0.25">
      <c r="A7" t="s">
        <v>438</v>
      </c>
      <c r="B7" t="s">
        <v>441</v>
      </c>
    </row>
    <row r="8" spans="1:13" x14ac:dyDescent="0.25">
      <c r="A8" t="s">
        <v>301</v>
      </c>
      <c r="B8" t="s">
        <v>442</v>
      </c>
    </row>
    <row r="9" spans="1:13" x14ac:dyDescent="0.25">
      <c r="A9" t="s">
        <v>302</v>
      </c>
      <c r="B9" t="s">
        <v>447</v>
      </c>
    </row>
    <row r="10" spans="1:13" x14ac:dyDescent="0.25">
      <c r="A10" t="s">
        <v>300</v>
      </c>
      <c r="B10" t="s">
        <v>440</v>
      </c>
    </row>
    <row r="11" spans="1:13" x14ac:dyDescent="0.25">
      <c r="A11" t="s">
        <v>443</v>
      </c>
      <c r="B11" t="s">
        <v>444</v>
      </c>
    </row>
    <row r="12" spans="1:13" x14ac:dyDescent="0.25">
      <c r="A12" t="s">
        <v>445</v>
      </c>
      <c r="B12" t="s">
        <v>446</v>
      </c>
    </row>
    <row r="13" spans="1:13">
      <c r="A13" t="s">
        <v>540</v>
      </c>
      <c r="B13" t="s">
        <v>541</v>
      </c>
    </row>
  </sheetData>
  <mergeCells count="3">
    <mergeCell ref="A1:H1"/>
    <mergeCell ref="A2:M2"/>
    <mergeCell ref="A4:B4"/>
  </mergeCells>
  <hyperlinks>
    <hyperlink ref="A1" location="'TOC'!$A$1" display="'TOC'!$A$1" xr:uid="{6197EC9A-87E6-48A7-A1CE-37F9C8C0EC4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4147-5351-48D7-8CBA-71250EB0DA6E}">
  <sheetPr codeName="Sheet1">
    <tabColor rgb="FF595959"/>
  </sheetPr>
  <dimension ref="A1:V135"/>
  <sheetViews>
    <sheetView showGridLines="0" workbookViewId="0">
      <selection activeCell="A1" sqref="A1"/>
    </sheetView>
  </sheetViews>
  <sheetFormatPr defaultRowHeight="15" x14ac:dyDescent="0.25"/>
  <cols>
    <col min="1" max="1" width="18.28515625" customWidth="1"/>
    <col min="2" max="2" width="24.140625" customWidth="1"/>
    <col min="3" max="3" width="5.7109375" customWidth="1"/>
    <col min="4" max="4" width="3.5703125" customWidth="1"/>
    <col min="5" max="5" width="18.28515625" customWidth="1"/>
    <col min="6" max="12" width="3.5703125" customWidth="1"/>
  </cols>
  <sheetData>
    <row r="1" spans="1:22" ht="45.75" x14ac:dyDescent="0.65">
      <c r="A1" s="293" t="s">
        <v>2</v>
      </c>
      <c r="B1" s="293"/>
      <c r="C1" s="293"/>
      <c r="D1" s="293"/>
      <c r="E1" s="293"/>
      <c r="F1" s="293"/>
      <c r="G1" s="293"/>
      <c r="H1" s="293"/>
      <c r="I1" s="293"/>
      <c r="J1" s="293"/>
      <c r="K1" s="293"/>
      <c r="L1" s="293"/>
      <c r="M1" s="293"/>
      <c r="N1" s="293"/>
      <c r="O1" s="293"/>
      <c r="P1" s="293"/>
      <c r="Q1" s="293"/>
      <c r="R1" s="293"/>
      <c r="S1" s="113"/>
      <c r="T1" s="113"/>
      <c r="U1" s="113"/>
      <c r="V1" s="113"/>
    </row>
    <row r="2" spans="1:22" x14ac:dyDescent="0.25">
      <c r="A2" s="294"/>
      <c r="B2" s="294"/>
      <c r="C2" s="294"/>
      <c r="D2" s="294"/>
      <c r="E2" s="294"/>
      <c r="F2" s="294"/>
      <c r="G2" s="294"/>
      <c r="H2" s="294"/>
      <c r="I2" s="294"/>
      <c r="J2" s="294"/>
      <c r="K2" s="294"/>
      <c r="L2" s="294"/>
      <c r="M2" s="294"/>
      <c r="N2" s="294"/>
      <c r="O2" s="294"/>
      <c r="P2" s="294"/>
      <c r="Q2" s="294"/>
      <c r="R2" s="294"/>
      <c r="S2" s="104"/>
      <c r="T2" s="104"/>
      <c r="U2" s="104"/>
      <c r="V2" s="104"/>
    </row>
    <row r="4" spans="1:22" ht="20.25" x14ac:dyDescent="0.25">
      <c r="A4" s="292" t="s">
        <v>3</v>
      </c>
      <c r="B4" s="292"/>
      <c r="C4" s="292"/>
      <c r="D4" s="292"/>
      <c r="E4" s="292"/>
      <c r="F4" s="292"/>
      <c r="G4" s="292"/>
      <c r="H4" s="292"/>
      <c r="I4" s="292"/>
      <c r="J4" s="292"/>
      <c r="K4" s="292"/>
      <c r="L4" s="292"/>
    </row>
    <row r="5" spans="1:22" x14ac:dyDescent="0.25">
      <c r="A5" s="291" t="s">
        <v>4</v>
      </c>
      <c r="B5" s="291"/>
      <c r="C5" s="291"/>
      <c r="D5" s="291"/>
      <c r="E5" s="291"/>
      <c r="F5" s="291"/>
      <c r="G5" s="291"/>
      <c r="H5" s="291"/>
      <c r="I5" s="291"/>
      <c r="J5" s="291"/>
      <c r="K5" s="291"/>
      <c r="L5" s="291"/>
    </row>
    <row r="6" spans="1:22" ht="54" x14ac:dyDescent="0.25">
      <c r="A6" s="102" t="s">
        <v>5</v>
      </c>
      <c r="B6" s="102" t="s">
        <v>6</v>
      </c>
      <c r="C6" s="4" t="s">
        <v>7</v>
      </c>
      <c r="D6" s="4" t="s">
        <v>8</v>
      </c>
      <c r="E6" s="102" t="s">
        <v>9</v>
      </c>
      <c r="F6" s="5" t="s">
        <v>10</v>
      </c>
      <c r="G6" s="5" t="s">
        <v>11</v>
      </c>
      <c r="H6" s="5" t="s">
        <v>12</v>
      </c>
      <c r="I6" s="5" t="s">
        <v>13</v>
      </c>
      <c r="J6" s="5" t="s">
        <v>14</v>
      </c>
      <c r="K6" s="5" t="s">
        <v>15</v>
      </c>
      <c r="L6" s="5" t="s">
        <v>16</v>
      </c>
    </row>
    <row r="7" spans="1:22" x14ac:dyDescent="0.25">
      <c r="A7" s="6" t="s">
        <v>17</v>
      </c>
      <c r="B7" s="7" t="s">
        <v>1</v>
      </c>
      <c r="C7" s="7"/>
      <c r="D7" s="6">
        <v>0</v>
      </c>
      <c r="E7" s="8"/>
      <c r="F7" s="7"/>
      <c r="G7" s="7"/>
      <c r="H7" s="7"/>
      <c r="I7" s="7"/>
      <c r="J7" s="7"/>
      <c r="K7" s="7"/>
      <c r="L7" s="7"/>
    </row>
    <row r="8" spans="1:22" x14ac:dyDescent="0.25">
      <c r="A8" s="3" t="s">
        <v>17</v>
      </c>
      <c r="B8" s="3" t="s">
        <v>18</v>
      </c>
      <c r="C8" s="3">
        <v>-4111</v>
      </c>
      <c r="D8" s="3">
        <v>1</v>
      </c>
      <c r="E8" s="9">
        <v>-4111</v>
      </c>
      <c r="F8" s="10"/>
      <c r="G8" s="10"/>
      <c r="H8" s="10"/>
      <c r="I8" s="10"/>
      <c r="J8" s="10"/>
      <c r="K8" s="10"/>
      <c r="L8" s="10"/>
    </row>
    <row r="9" spans="1:22" x14ac:dyDescent="0.25">
      <c r="A9" s="3" t="s">
        <v>17</v>
      </c>
      <c r="B9" s="3" t="s">
        <v>19</v>
      </c>
      <c r="C9" s="3"/>
      <c r="D9" s="3">
        <v>2</v>
      </c>
      <c r="E9" s="11">
        <v>11</v>
      </c>
      <c r="F9" s="10"/>
      <c r="G9" s="10"/>
      <c r="H9" s="10"/>
      <c r="I9" s="10"/>
      <c r="J9" s="10"/>
      <c r="K9" s="10"/>
      <c r="L9" s="10"/>
    </row>
    <row r="10" spans="1:22" x14ac:dyDescent="0.25">
      <c r="A10" s="3" t="s">
        <v>17</v>
      </c>
      <c r="B10" s="3" t="s">
        <v>20</v>
      </c>
      <c r="C10" s="3"/>
      <c r="D10" s="3">
        <v>3</v>
      </c>
      <c r="E10" s="11">
        <v>340</v>
      </c>
      <c r="F10" s="10"/>
      <c r="G10" s="10"/>
      <c r="H10" s="10"/>
      <c r="I10" s="10"/>
      <c r="J10" s="10"/>
      <c r="K10" s="10"/>
      <c r="L10" s="10"/>
    </row>
    <row r="11" spans="1:22" x14ac:dyDescent="0.25">
      <c r="A11" s="3" t="s">
        <v>17</v>
      </c>
      <c r="B11" s="3" t="s">
        <v>21</v>
      </c>
      <c r="C11" s="3"/>
      <c r="D11" s="3">
        <v>4</v>
      </c>
      <c r="E11" s="11">
        <v>-4107</v>
      </c>
      <c r="F11" s="10"/>
      <c r="G11" s="10"/>
      <c r="H11" s="10"/>
      <c r="I11" s="10"/>
      <c r="J11" s="10"/>
      <c r="K11" s="10"/>
      <c r="L11" s="10"/>
    </row>
    <row r="12" spans="1:22" ht="21" x14ac:dyDescent="0.25">
      <c r="A12" s="3" t="s">
        <v>17</v>
      </c>
      <c r="B12" s="3" t="s">
        <v>22</v>
      </c>
      <c r="C12" s="3"/>
      <c r="D12" s="3">
        <v>4</v>
      </c>
      <c r="E12" s="12">
        <v>-4105</v>
      </c>
      <c r="F12" s="10"/>
      <c r="G12" s="10"/>
      <c r="H12" s="10"/>
      <c r="I12" s="10"/>
      <c r="J12" s="10"/>
      <c r="K12" s="10"/>
      <c r="L12" s="10"/>
    </row>
    <row r="13" spans="1:22" x14ac:dyDescent="0.25">
      <c r="A13" s="3" t="s">
        <v>17</v>
      </c>
      <c r="B13" s="3" t="s">
        <v>23</v>
      </c>
      <c r="C13" s="3"/>
      <c r="D13" s="3">
        <v>5</v>
      </c>
      <c r="E13" s="13" t="s">
        <v>13</v>
      </c>
      <c r="F13" s="10" t="s">
        <v>24</v>
      </c>
      <c r="G13" s="10"/>
      <c r="H13" s="10" t="s">
        <v>24</v>
      </c>
      <c r="I13" s="10" t="s">
        <v>24</v>
      </c>
      <c r="J13" s="10"/>
      <c r="K13" s="10" t="s">
        <v>24</v>
      </c>
      <c r="L13" s="10"/>
    </row>
    <row r="14" spans="1:22" x14ac:dyDescent="0.25">
      <c r="A14" s="3" t="s">
        <v>17</v>
      </c>
      <c r="B14" s="3" t="s">
        <v>25</v>
      </c>
      <c r="C14" s="3"/>
      <c r="D14" s="3">
        <v>6</v>
      </c>
      <c r="E14" s="13" t="s">
        <v>13</v>
      </c>
      <c r="F14" s="10"/>
      <c r="G14" s="10"/>
      <c r="H14" s="10"/>
      <c r="I14" s="10"/>
      <c r="J14" s="10"/>
      <c r="K14" s="10"/>
      <c r="L14" s="10"/>
    </row>
    <row r="15" spans="1:22" x14ac:dyDescent="0.25">
      <c r="A15" s="3" t="s">
        <v>17</v>
      </c>
      <c r="B15" s="3" t="s">
        <v>26</v>
      </c>
      <c r="C15" s="3"/>
      <c r="D15" s="3">
        <v>7</v>
      </c>
      <c r="E15" s="9">
        <v>-4105</v>
      </c>
      <c r="F15" s="10"/>
      <c r="G15" s="10"/>
      <c r="H15" s="10"/>
      <c r="I15" s="10"/>
      <c r="J15" s="10"/>
      <c r="K15" s="10"/>
      <c r="L15" s="10"/>
    </row>
    <row r="16" spans="1:22" x14ac:dyDescent="0.25">
      <c r="A16" s="3" t="s">
        <v>17</v>
      </c>
      <c r="B16" s="3" t="s">
        <v>27</v>
      </c>
      <c r="C16" s="3"/>
      <c r="D16" s="3">
        <v>8</v>
      </c>
      <c r="E16" s="9">
        <v>-4105</v>
      </c>
      <c r="F16" s="10"/>
      <c r="G16" s="10"/>
      <c r="H16" s="10"/>
      <c r="I16" s="10"/>
      <c r="J16" s="10"/>
      <c r="K16" s="10"/>
      <c r="L16" s="10"/>
    </row>
    <row r="17" spans="1:12" x14ac:dyDescent="0.25">
      <c r="A17" s="6" t="s">
        <v>28</v>
      </c>
      <c r="B17" s="7" t="s">
        <v>1</v>
      </c>
      <c r="C17" s="7"/>
      <c r="D17" s="6">
        <v>0</v>
      </c>
      <c r="E17" s="14"/>
      <c r="F17" s="7"/>
      <c r="G17" s="7"/>
      <c r="H17" s="7"/>
      <c r="I17" s="7"/>
      <c r="J17" s="7"/>
      <c r="K17" s="7"/>
      <c r="L17" s="7"/>
    </row>
    <row r="18" spans="1:12" x14ac:dyDescent="0.25">
      <c r="A18" s="3" t="s">
        <v>28</v>
      </c>
      <c r="B18" s="3" t="s">
        <v>29</v>
      </c>
      <c r="C18" s="3"/>
      <c r="D18" s="3">
        <v>1</v>
      </c>
      <c r="E18" s="9" t="s">
        <v>13</v>
      </c>
      <c r="F18" s="10" t="s">
        <v>24</v>
      </c>
      <c r="G18" s="10"/>
      <c r="H18" s="10"/>
      <c r="I18" s="10" t="s">
        <v>24</v>
      </c>
      <c r="J18" s="10"/>
      <c r="K18" s="10" t="s">
        <v>24</v>
      </c>
      <c r="L18" s="10" t="s">
        <v>30</v>
      </c>
    </row>
    <row r="19" spans="1:12" x14ac:dyDescent="0.25">
      <c r="A19" s="3" t="s">
        <v>28</v>
      </c>
      <c r="B19" s="3" t="s">
        <v>0</v>
      </c>
      <c r="C19" s="3"/>
      <c r="D19" s="3">
        <v>2</v>
      </c>
      <c r="E19" s="15" t="s">
        <v>13</v>
      </c>
      <c r="F19" s="10" t="s">
        <v>24</v>
      </c>
      <c r="G19" s="10"/>
      <c r="H19" s="10" t="s">
        <v>24</v>
      </c>
      <c r="I19" s="10" t="s">
        <v>24</v>
      </c>
      <c r="J19" s="10"/>
      <c r="K19" s="10" t="s">
        <v>24</v>
      </c>
      <c r="L19" s="10" t="s">
        <v>31</v>
      </c>
    </row>
    <row r="20" spans="1:12" x14ac:dyDescent="0.25">
      <c r="A20" s="3" t="s">
        <v>28</v>
      </c>
      <c r="B20" s="3" t="s">
        <v>32</v>
      </c>
      <c r="C20" s="16"/>
      <c r="D20" s="3">
        <v>3</v>
      </c>
      <c r="E20" s="17" t="s">
        <v>13</v>
      </c>
      <c r="F20" s="10" t="s">
        <v>24</v>
      </c>
      <c r="G20" s="10"/>
      <c r="H20" s="10"/>
      <c r="I20" s="10" t="s">
        <v>24</v>
      </c>
      <c r="J20" s="10"/>
      <c r="K20" s="10"/>
      <c r="L20" s="10"/>
    </row>
    <row r="21" spans="1:12" x14ac:dyDescent="0.25">
      <c r="A21" s="3" t="s">
        <v>28</v>
      </c>
      <c r="B21" s="3" t="s">
        <v>33</v>
      </c>
      <c r="C21" s="16"/>
      <c r="D21" s="3">
        <v>4</v>
      </c>
      <c r="E21" s="18" t="s">
        <v>13</v>
      </c>
      <c r="F21" s="10" t="s">
        <v>24</v>
      </c>
      <c r="G21" s="10"/>
      <c r="H21" s="10"/>
      <c r="I21" s="10" t="s">
        <v>24</v>
      </c>
      <c r="J21" s="10"/>
      <c r="K21" s="10"/>
      <c r="L21" s="10"/>
    </row>
    <row r="22" spans="1:12" x14ac:dyDescent="0.25">
      <c r="A22" s="3" t="s">
        <v>28</v>
      </c>
      <c r="B22" s="3" t="s">
        <v>34</v>
      </c>
      <c r="C22" s="16"/>
      <c r="D22" s="3">
        <v>5</v>
      </c>
      <c r="E22" s="19" t="s">
        <v>13</v>
      </c>
      <c r="F22" s="10" t="s">
        <v>24</v>
      </c>
      <c r="G22" s="10"/>
      <c r="H22" s="10"/>
      <c r="I22" s="10" t="s">
        <v>24</v>
      </c>
      <c r="J22" s="10"/>
      <c r="K22" s="10"/>
      <c r="L22" s="10"/>
    </row>
    <row r="23" spans="1:12" x14ac:dyDescent="0.25">
      <c r="A23" s="3" t="s">
        <v>28</v>
      </c>
      <c r="B23" s="3" t="s">
        <v>35</v>
      </c>
      <c r="C23" s="3"/>
      <c r="D23" s="3">
        <v>6</v>
      </c>
      <c r="E23" s="20" t="s">
        <v>13</v>
      </c>
      <c r="F23" s="10" t="s">
        <v>24</v>
      </c>
      <c r="G23" s="10"/>
      <c r="H23" s="10" t="s">
        <v>24</v>
      </c>
      <c r="I23" s="10" t="s">
        <v>24</v>
      </c>
      <c r="J23" s="10"/>
      <c r="K23" s="10" t="s">
        <v>24</v>
      </c>
      <c r="L23" s="10"/>
    </row>
    <row r="24" spans="1:12" x14ac:dyDescent="0.25">
      <c r="A24" s="3" t="s">
        <v>28</v>
      </c>
      <c r="B24" s="3" t="s">
        <v>36</v>
      </c>
      <c r="C24" s="3"/>
      <c r="D24" s="3">
        <v>7</v>
      </c>
      <c r="E24" s="21" t="s">
        <v>13</v>
      </c>
      <c r="F24" s="10" t="s">
        <v>24</v>
      </c>
      <c r="G24" s="10"/>
      <c r="H24" s="10" t="s">
        <v>24</v>
      </c>
      <c r="I24" s="10" t="s">
        <v>24</v>
      </c>
      <c r="J24" s="10"/>
      <c r="K24" s="10" t="s">
        <v>24</v>
      </c>
      <c r="L24" s="10"/>
    </row>
    <row r="25" spans="1:12" x14ac:dyDescent="0.25">
      <c r="A25" s="3" t="s">
        <v>28</v>
      </c>
      <c r="B25" s="3" t="s">
        <v>37</v>
      </c>
      <c r="C25" s="3"/>
      <c r="D25" s="3">
        <v>8</v>
      </c>
      <c r="E25" s="22" t="s">
        <v>13</v>
      </c>
      <c r="F25" s="10" t="s">
        <v>24</v>
      </c>
      <c r="G25" s="10"/>
      <c r="H25" s="10" t="s">
        <v>24</v>
      </c>
      <c r="I25" s="10" t="s">
        <v>24</v>
      </c>
      <c r="J25" s="10"/>
      <c r="K25" s="10" t="s">
        <v>24</v>
      </c>
      <c r="L25" s="10"/>
    </row>
    <row r="26" spans="1:12" x14ac:dyDescent="0.25">
      <c r="A26" s="3" t="s">
        <v>28</v>
      </c>
      <c r="B26" s="3" t="s">
        <v>38</v>
      </c>
      <c r="C26" s="3"/>
      <c r="D26" s="3">
        <v>9</v>
      </c>
      <c r="E26" s="23" t="s">
        <v>13</v>
      </c>
      <c r="F26" s="10" t="s">
        <v>24</v>
      </c>
      <c r="G26" s="10"/>
      <c r="H26" s="10" t="s">
        <v>24</v>
      </c>
      <c r="I26" s="10" t="s">
        <v>24</v>
      </c>
      <c r="J26" s="10"/>
      <c r="K26" s="10"/>
      <c r="L26" s="10"/>
    </row>
    <row r="27" spans="1:12" x14ac:dyDescent="0.25">
      <c r="A27" s="3" t="s">
        <v>28</v>
      </c>
      <c r="B27" s="3" t="s">
        <v>39</v>
      </c>
      <c r="C27" s="3"/>
      <c r="D27" s="3">
        <v>10</v>
      </c>
      <c r="E27" s="24" t="s">
        <v>13</v>
      </c>
      <c r="F27" s="10" t="s">
        <v>24</v>
      </c>
      <c r="G27" s="10"/>
      <c r="H27" s="10" t="s">
        <v>24</v>
      </c>
      <c r="I27" s="10" t="s">
        <v>24</v>
      </c>
      <c r="J27" s="10"/>
      <c r="K27" s="10"/>
      <c r="L27" s="10"/>
    </row>
    <row r="28" spans="1:12" x14ac:dyDescent="0.25">
      <c r="A28" s="3" t="s">
        <v>28</v>
      </c>
      <c r="B28" s="3" t="s">
        <v>40</v>
      </c>
      <c r="C28" s="3"/>
      <c r="D28" s="3">
        <v>11</v>
      </c>
      <c r="E28" s="25" t="s">
        <v>13</v>
      </c>
      <c r="F28" s="10" t="s">
        <v>24</v>
      </c>
      <c r="G28" s="10"/>
      <c r="H28" s="10"/>
      <c r="I28" s="10" t="s">
        <v>24</v>
      </c>
      <c r="J28" s="10"/>
      <c r="K28" s="10"/>
      <c r="L28" s="10"/>
    </row>
    <row r="29" spans="1:12" x14ac:dyDescent="0.25">
      <c r="A29" s="3" t="s">
        <v>28</v>
      </c>
      <c r="B29" s="3" t="s">
        <v>41</v>
      </c>
      <c r="C29" s="3"/>
      <c r="D29" s="3">
        <v>12</v>
      </c>
      <c r="E29" s="26" t="s">
        <v>13</v>
      </c>
      <c r="F29" s="10" t="s">
        <v>24</v>
      </c>
      <c r="G29" s="10"/>
      <c r="H29" s="10"/>
      <c r="I29" s="10" t="s">
        <v>24</v>
      </c>
      <c r="J29" s="10"/>
      <c r="K29" s="10" t="s">
        <v>24</v>
      </c>
      <c r="L29" s="10"/>
    </row>
    <row r="30" spans="1:12" x14ac:dyDescent="0.25">
      <c r="A30" s="3" t="s">
        <v>28</v>
      </c>
      <c r="B30" s="3" t="s">
        <v>42</v>
      </c>
      <c r="C30" s="3"/>
      <c r="D30" s="3">
        <v>13</v>
      </c>
      <c r="E30" s="27" t="s">
        <v>13</v>
      </c>
      <c r="F30" s="10" t="s">
        <v>24</v>
      </c>
      <c r="G30" s="10"/>
      <c r="H30" s="10"/>
      <c r="I30" s="10" t="s">
        <v>24</v>
      </c>
      <c r="J30" s="10"/>
      <c r="K30" s="10" t="s">
        <v>24</v>
      </c>
      <c r="L30" s="10"/>
    </row>
    <row r="31" spans="1:12" x14ac:dyDescent="0.25">
      <c r="A31" s="3" t="s">
        <v>28</v>
      </c>
      <c r="B31" s="3" t="s">
        <v>43</v>
      </c>
      <c r="C31" s="3"/>
      <c r="D31" s="3">
        <v>14</v>
      </c>
      <c r="E31" s="28" t="s">
        <v>13</v>
      </c>
      <c r="F31" s="10" t="s">
        <v>24</v>
      </c>
      <c r="G31" s="10"/>
      <c r="H31" s="10"/>
      <c r="I31" s="10" t="s">
        <v>24</v>
      </c>
      <c r="J31" s="10"/>
      <c r="K31" s="10" t="s">
        <v>24</v>
      </c>
      <c r="L31" s="10"/>
    </row>
    <row r="32" spans="1:12" x14ac:dyDescent="0.25">
      <c r="A32" s="6" t="s">
        <v>44</v>
      </c>
      <c r="B32" s="7" t="s">
        <v>1</v>
      </c>
      <c r="C32" s="7"/>
      <c r="D32" s="6">
        <v>0</v>
      </c>
      <c r="E32" s="14"/>
      <c r="F32" s="7"/>
      <c r="G32" s="7"/>
      <c r="H32" s="7"/>
      <c r="I32" s="7"/>
      <c r="J32" s="7"/>
      <c r="K32" s="7"/>
      <c r="L32" s="7"/>
    </row>
    <row r="33" spans="1:12" x14ac:dyDescent="0.25">
      <c r="A33" s="3" t="s">
        <v>44</v>
      </c>
      <c r="B33" s="3" t="s">
        <v>3</v>
      </c>
      <c r="C33" s="3"/>
      <c r="D33" s="3">
        <v>1</v>
      </c>
      <c r="E33" s="29" t="s">
        <v>45</v>
      </c>
      <c r="F33" s="10"/>
      <c r="G33" s="10"/>
      <c r="H33" s="10"/>
      <c r="I33" s="10"/>
      <c r="J33" s="10"/>
      <c r="K33" s="10"/>
      <c r="L33" s="10"/>
    </row>
    <row r="34" spans="1:12" x14ac:dyDescent="0.25">
      <c r="A34" s="3" t="s">
        <v>44</v>
      </c>
      <c r="B34" s="3" t="s">
        <v>46</v>
      </c>
      <c r="C34" s="16"/>
      <c r="D34" s="3">
        <v>2</v>
      </c>
      <c r="E34" s="30" t="s">
        <v>13</v>
      </c>
      <c r="F34" s="10"/>
      <c r="G34" s="10"/>
      <c r="H34" s="10"/>
      <c r="I34" s="10"/>
      <c r="J34" s="10"/>
      <c r="K34" s="10"/>
      <c r="L34" s="10"/>
    </row>
    <row r="35" spans="1:12" x14ac:dyDescent="0.25">
      <c r="A35" s="3" t="s">
        <v>44</v>
      </c>
      <c r="B35" s="3" t="s">
        <v>47</v>
      </c>
      <c r="C35" s="3"/>
      <c r="D35" s="3">
        <v>3</v>
      </c>
      <c r="E35" s="30" t="s">
        <v>13</v>
      </c>
      <c r="F35" s="10"/>
      <c r="G35" s="10"/>
      <c r="H35" s="10"/>
      <c r="I35" s="10"/>
      <c r="J35" s="10"/>
      <c r="K35" s="10"/>
      <c r="L35" s="10"/>
    </row>
    <row r="36" spans="1:12" x14ac:dyDescent="0.25">
      <c r="A36" s="3" t="s">
        <v>44</v>
      </c>
      <c r="B36" s="3" t="s">
        <v>48</v>
      </c>
      <c r="C36" s="3"/>
      <c r="D36" s="3">
        <v>4</v>
      </c>
      <c r="E36" s="31" t="s">
        <v>13</v>
      </c>
      <c r="F36" s="10"/>
      <c r="G36" s="10"/>
      <c r="H36" s="10"/>
      <c r="I36" s="10"/>
      <c r="J36" s="10"/>
      <c r="K36" s="10"/>
      <c r="L36" s="10"/>
    </row>
    <row r="37" spans="1:12" x14ac:dyDescent="0.25">
      <c r="A37" s="3" t="s">
        <v>44</v>
      </c>
      <c r="B37" s="3" t="s">
        <v>49</v>
      </c>
      <c r="C37" s="3"/>
      <c r="D37" s="3">
        <v>5</v>
      </c>
      <c r="E37" s="32" t="s">
        <v>13</v>
      </c>
      <c r="F37" s="10"/>
      <c r="G37" s="10"/>
      <c r="H37" s="10"/>
      <c r="I37" s="10"/>
      <c r="J37" s="10"/>
      <c r="K37" s="10"/>
      <c r="L37" s="10"/>
    </row>
    <row r="38" spans="1:12" x14ac:dyDescent="0.25">
      <c r="A38" s="6" t="s">
        <v>50</v>
      </c>
      <c r="B38" s="7" t="s">
        <v>1</v>
      </c>
      <c r="C38" s="7"/>
      <c r="D38" s="6">
        <v>0</v>
      </c>
      <c r="E38" s="14"/>
      <c r="F38" s="7"/>
      <c r="G38" s="7"/>
      <c r="H38" s="7"/>
      <c r="I38" s="7"/>
      <c r="J38" s="7"/>
      <c r="K38" s="7"/>
      <c r="L38" s="7"/>
    </row>
    <row r="39" spans="1:12" ht="45.75" x14ac:dyDescent="0.25">
      <c r="A39" s="3" t="s">
        <v>50</v>
      </c>
      <c r="B39" s="3" t="s">
        <v>51</v>
      </c>
      <c r="C39" s="3"/>
      <c r="D39" s="3">
        <v>1</v>
      </c>
      <c r="E39" s="33" t="s">
        <v>13</v>
      </c>
      <c r="F39" s="10" t="s">
        <v>24</v>
      </c>
      <c r="G39" s="10"/>
      <c r="H39" s="10" t="s">
        <v>24</v>
      </c>
      <c r="I39" s="10" t="s">
        <v>24</v>
      </c>
      <c r="J39" s="10"/>
      <c r="K39" s="10"/>
      <c r="L39" s="10"/>
    </row>
    <row r="40" spans="1:12" ht="26.25" x14ac:dyDescent="0.25">
      <c r="A40" s="3" t="s">
        <v>50</v>
      </c>
      <c r="B40" s="3" t="s">
        <v>52</v>
      </c>
      <c r="C40" s="3"/>
      <c r="D40" s="3">
        <v>2</v>
      </c>
      <c r="E40" s="34" t="s">
        <v>13</v>
      </c>
      <c r="F40" s="10" t="s">
        <v>24</v>
      </c>
      <c r="G40" s="10"/>
      <c r="H40" s="10" t="s">
        <v>24</v>
      </c>
      <c r="I40" s="10" t="s">
        <v>24</v>
      </c>
      <c r="J40" s="10"/>
      <c r="K40" s="10"/>
      <c r="L40" s="10"/>
    </row>
    <row r="41" spans="1:12" ht="20.25" x14ac:dyDescent="0.25">
      <c r="A41" s="3" t="s">
        <v>50</v>
      </c>
      <c r="B41" s="3" t="s">
        <v>53</v>
      </c>
      <c r="C41" s="3"/>
      <c r="D41" s="3">
        <v>3</v>
      </c>
      <c r="E41" s="35" t="s">
        <v>13</v>
      </c>
      <c r="F41" s="10" t="s">
        <v>24</v>
      </c>
      <c r="G41" s="10"/>
      <c r="H41" s="10" t="s">
        <v>24</v>
      </c>
      <c r="I41" s="10" t="s">
        <v>24</v>
      </c>
      <c r="J41" s="10"/>
      <c r="K41" s="10"/>
      <c r="L41" s="10"/>
    </row>
    <row r="42" spans="1:12" ht="15.75" x14ac:dyDescent="0.25">
      <c r="A42" s="3" t="s">
        <v>50</v>
      </c>
      <c r="B42" s="3" t="s">
        <v>54</v>
      </c>
      <c r="C42" s="3"/>
      <c r="D42" s="3">
        <v>4</v>
      </c>
      <c r="E42" s="36" t="s">
        <v>13</v>
      </c>
      <c r="F42" s="10" t="s">
        <v>24</v>
      </c>
      <c r="G42" s="10"/>
      <c r="H42" s="10" t="s">
        <v>24</v>
      </c>
      <c r="I42" s="10" t="s">
        <v>24</v>
      </c>
      <c r="J42" s="10"/>
      <c r="K42" s="10"/>
      <c r="L42" s="10"/>
    </row>
    <row r="43" spans="1:12" x14ac:dyDescent="0.25">
      <c r="A43" s="3" t="s">
        <v>50</v>
      </c>
      <c r="B43" s="3" t="s">
        <v>55</v>
      </c>
      <c r="C43" s="3"/>
      <c r="D43" s="3">
        <v>5</v>
      </c>
      <c r="E43" s="37" t="s">
        <v>13</v>
      </c>
      <c r="F43" s="10" t="s">
        <v>24</v>
      </c>
      <c r="G43" s="10"/>
      <c r="H43" s="10" t="s">
        <v>24</v>
      </c>
      <c r="I43" s="10" t="s">
        <v>24</v>
      </c>
      <c r="J43" s="10"/>
      <c r="K43" s="10" t="s">
        <v>24</v>
      </c>
      <c r="L43" s="10"/>
    </row>
    <row r="44" spans="1:12" x14ac:dyDescent="0.25">
      <c r="A44" s="6" t="s">
        <v>56</v>
      </c>
      <c r="B44" s="7" t="s">
        <v>1</v>
      </c>
      <c r="C44" s="7"/>
      <c r="D44" s="6">
        <v>0</v>
      </c>
      <c r="E44" s="8"/>
      <c r="F44" s="7"/>
      <c r="G44" s="7"/>
      <c r="H44" s="7"/>
      <c r="I44" s="7"/>
      <c r="J44" s="7"/>
      <c r="K44" s="7"/>
      <c r="L44" s="7"/>
    </row>
    <row r="45" spans="1:12" x14ac:dyDescent="0.25">
      <c r="A45" s="3" t="s">
        <v>56</v>
      </c>
      <c r="B45" s="3" t="s">
        <v>57</v>
      </c>
      <c r="C45" s="3"/>
      <c r="D45" s="3">
        <v>1</v>
      </c>
      <c r="E45" s="38">
        <v>-123456.78</v>
      </c>
      <c r="F45" s="10" t="s">
        <v>24</v>
      </c>
      <c r="G45" s="10" t="s">
        <v>24</v>
      </c>
      <c r="H45" s="10"/>
      <c r="I45" s="10"/>
      <c r="J45" s="10" t="s">
        <v>24</v>
      </c>
      <c r="K45" s="10" t="s">
        <v>24</v>
      </c>
      <c r="L45" s="10"/>
    </row>
    <row r="46" spans="1:12" x14ac:dyDescent="0.25">
      <c r="A46" s="3" t="s">
        <v>56</v>
      </c>
      <c r="B46" s="3" t="s">
        <v>58</v>
      </c>
      <c r="C46" s="3"/>
      <c r="D46" s="3">
        <v>2</v>
      </c>
      <c r="E46" s="39">
        <v>-123456.78</v>
      </c>
      <c r="F46" s="10" t="s">
        <v>24</v>
      </c>
      <c r="G46" s="10" t="s">
        <v>24</v>
      </c>
      <c r="H46" s="10"/>
      <c r="I46" s="10"/>
      <c r="J46" s="10" t="s">
        <v>24</v>
      </c>
      <c r="K46" s="10"/>
      <c r="L46" s="10"/>
    </row>
    <row r="47" spans="1:12" x14ac:dyDescent="0.25">
      <c r="A47" s="3" t="s">
        <v>56</v>
      </c>
      <c r="B47" s="3" t="s">
        <v>59</v>
      </c>
      <c r="C47" s="3"/>
      <c r="D47" s="3">
        <v>3</v>
      </c>
      <c r="E47" s="40">
        <v>-123456.78</v>
      </c>
      <c r="F47" s="10" t="s">
        <v>24</v>
      </c>
      <c r="G47" s="10" t="s">
        <v>24</v>
      </c>
      <c r="H47" s="10"/>
      <c r="I47" s="10"/>
      <c r="J47" s="10" t="s">
        <v>24</v>
      </c>
      <c r="K47" s="10"/>
      <c r="L47" s="10"/>
    </row>
    <row r="48" spans="1:12" x14ac:dyDescent="0.25">
      <c r="A48" s="3" t="s">
        <v>56</v>
      </c>
      <c r="B48" s="3" t="s">
        <v>60</v>
      </c>
      <c r="C48" s="3"/>
      <c r="D48" s="3">
        <v>4</v>
      </c>
      <c r="E48" s="41">
        <v>-123456.78</v>
      </c>
      <c r="F48" s="10" t="s">
        <v>24</v>
      </c>
      <c r="G48" s="10"/>
      <c r="H48" s="10" t="s">
        <v>24</v>
      </c>
      <c r="I48" s="10" t="s">
        <v>24</v>
      </c>
      <c r="J48" s="10"/>
      <c r="K48" s="10"/>
      <c r="L48" s="10"/>
    </row>
    <row r="49" spans="1:12" x14ac:dyDescent="0.25">
      <c r="A49" s="3" t="s">
        <v>56</v>
      </c>
      <c r="B49" s="3" t="s">
        <v>61</v>
      </c>
      <c r="C49" s="3"/>
      <c r="D49" s="3">
        <v>5</v>
      </c>
      <c r="E49" s="42">
        <v>-123456.78</v>
      </c>
      <c r="F49" s="10" t="s">
        <v>24</v>
      </c>
      <c r="G49" s="10" t="s">
        <v>24</v>
      </c>
      <c r="H49" s="10"/>
      <c r="I49" s="10"/>
      <c r="J49" s="10" t="s">
        <v>24</v>
      </c>
      <c r="K49" s="10"/>
      <c r="L49" s="10"/>
    </row>
    <row r="50" spans="1:12" x14ac:dyDescent="0.25">
      <c r="A50" s="3" t="s">
        <v>56</v>
      </c>
      <c r="B50" s="3" t="s">
        <v>62</v>
      </c>
      <c r="C50" s="3"/>
      <c r="D50" s="3">
        <v>6</v>
      </c>
      <c r="E50" s="43">
        <v>-123456.78</v>
      </c>
      <c r="F50" s="10" t="s">
        <v>24</v>
      </c>
      <c r="G50" s="10" t="s">
        <v>24</v>
      </c>
      <c r="H50" s="10"/>
      <c r="I50" s="10"/>
      <c r="J50" s="10" t="s">
        <v>24</v>
      </c>
      <c r="K50" s="10"/>
      <c r="L50" s="10"/>
    </row>
    <row r="51" spans="1:12" ht="15.75" thickBot="1" x14ac:dyDescent="0.3">
      <c r="A51" s="3" t="s">
        <v>56</v>
      </c>
      <c r="B51" s="3" t="s">
        <v>63</v>
      </c>
      <c r="C51" s="3"/>
      <c r="D51" s="3">
        <v>7</v>
      </c>
      <c r="E51" s="44">
        <v>-123456.78</v>
      </c>
      <c r="F51" s="10" t="s">
        <v>24</v>
      </c>
      <c r="G51" s="10"/>
      <c r="H51" s="10" t="s">
        <v>24</v>
      </c>
      <c r="I51" s="10" t="s">
        <v>24</v>
      </c>
      <c r="J51" s="10"/>
      <c r="K51" s="10"/>
      <c r="L51" s="10"/>
    </row>
    <row r="52" spans="1:12" ht="15.75" thickTop="1" x14ac:dyDescent="0.25">
      <c r="A52" s="3" t="s">
        <v>56</v>
      </c>
      <c r="B52" s="3" t="s">
        <v>64</v>
      </c>
      <c r="C52" s="3"/>
      <c r="D52" s="3">
        <v>8</v>
      </c>
      <c r="E52" s="45">
        <v>-123456.78</v>
      </c>
      <c r="F52" s="10" t="s">
        <v>24</v>
      </c>
      <c r="G52" s="10" t="s">
        <v>24</v>
      </c>
      <c r="H52" s="10"/>
      <c r="I52" s="10"/>
      <c r="J52" s="10" t="s">
        <v>24</v>
      </c>
      <c r="K52" s="10"/>
      <c r="L52" s="10"/>
    </row>
    <row r="53" spans="1:12" x14ac:dyDescent="0.25">
      <c r="A53" s="3" t="s">
        <v>56</v>
      </c>
      <c r="B53" s="3" t="s">
        <v>65</v>
      </c>
      <c r="C53" s="3"/>
      <c r="D53" s="3">
        <v>9</v>
      </c>
      <c r="E53" s="46">
        <v>43125.60567430555</v>
      </c>
      <c r="F53" s="10" t="s">
        <v>24</v>
      </c>
      <c r="G53" s="10" t="s">
        <v>24</v>
      </c>
      <c r="H53" s="10"/>
      <c r="I53" s="10"/>
      <c r="J53" s="10" t="s">
        <v>24</v>
      </c>
      <c r="K53" s="10"/>
      <c r="L53" s="10"/>
    </row>
    <row r="54" spans="1:12" x14ac:dyDescent="0.25">
      <c r="A54" s="3" t="s">
        <v>56</v>
      </c>
      <c r="B54" s="3" t="s">
        <v>66</v>
      </c>
      <c r="C54" s="3"/>
      <c r="D54" s="3">
        <v>10</v>
      </c>
      <c r="E54" s="47">
        <v>43125.60560833333</v>
      </c>
      <c r="F54" s="10" t="s">
        <v>24</v>
      </c>
      <c r="G54" s="10" t="s">
        <v>24</v>
      </c>
      <c r="H54" s="10"/>
      <c r="I54" s="10"/>
      <c r="J54" s="10" t="s">
        <v>24</v>
      </c>
      <c r="K54" s="10"/>
      <c r="L54" s="10"/>
    </row>
    <row r="55" spans="1:12" x14ac:dyDescent="0.25">
      <c r="A55" s="3" t="s">
        <v>56</v>
      </c>
      <c r="B55" s="3" t="s">
        <v>67</v>
      </c>
      <c r="C55" s="16"/>
      <c r="D55" s="3">
        <v>10</v>
      </c>
      <c r="E55" s="48">
        <v>45537</v>
      </c>
      <c r="F55" s="10" t="s">
        <v>24</v>
      </c>
      <c r="G55" s="10" t="s">
        <v>24</v>
      </c>
      <c r="H55" s="10"/>
      <c r="I55" s="10"/>
      <c r="J55" s="10" t="s">
        <v>24</v>
      </c>
      <c r="K55" s="10"/>
      <c r="L55" s="10"/>
    </row>
    <row r="56" spans="1:12" x14ac:dyDescent="0.25">
      <c r="A56" s="3" t="s">
        <v>56</v>
      </c>
      <c r="B56" s="3" t="s">
        <v>68</v>
      </c>
      <c r="C56" s="3"/>
      <c r="D56" s="3">
        <v>11</v>
      </c>
      <c r="E56" s="49">
        <v>42394.605748495371</v>
      </c>
      <c r="F56" s="10" t="s">
        <v>24</v>
      </c>
      <c r="G56" s="10" t="s">
        <v>24</v>
      </c>
      <c r="H56" s="10"/>
      <c r="I56" s="10"/>
      <c r="J56" s="10" t="s">
        <v>24</v>
      </c>
      <c r="K56" s="10"/>
      <c r="L56" s="10"/>
    </row>
    <row r="57" spans="1:12" x14ac:dyDescent="0.25">
      <c r="A57" s="3" t="s">
        <v>56</v>
      </c>
      <c r="B57" s="3" t="s">
        <v>69</v>
      </c>
      <c r="C57" s="3"/>
      <c r="D57" s="3">
        <v>12</v>
      </c>
      <c r="E57" s="50">
        <v>0.51175925925925925</v>
      </c>
      <c r="F57" s="10" t="s">
        <v>24</v>
      </c>
      <c r="G57" s="10" t="s">
        <v>24</v>
      </c>
      <c r="H57" s="10"/>
      <c r="I57" s="10"/>
      <c r="J57" s="10" t="s">
        <v>24</v>
      </c>
      <c r="K57" s="10"/>
      <c r="L57" s="10"/>
    </row>
    <row r="58" spans="1:12" x14ac:dyDescent="0.25">
      <c r="A58" s="6" t="s">
        <v>70</v>
      </c>
      <c r="B58" s="7" t="s">
        <v>1</v>
      </c>
      <c r="C58" s="7"/>
      <c r="D58" s="6">
        <v>0</v>
      </c>
      <c r="E58" s="14"/>
      <c r="F58" s="7"/>
      <c r="G58" s="7"/>
      <c r="H58" s="7"/>
      <c r="I58" s="7"/>
      <c r="J58" s="7"/>
      <c r="K58" s="7"/>
      <c r="L58" s="7"/>
    </row>
    <row r="59" spans="1:12" x14ac:dyDescent="0.25">
      <c r="A59" s="3" t="s">
        <v>70</v>
      </c>
      <c r="B59" s="3" t="s">
        <v>71</v>
      </c>
      <c r="C59" s="3"/>
      <c r="D59" s="3">
        <v>1</v>
      </c>
      <c r="E59" s="51" t="s">
        <v>72</v>
      </c>
      <c r="F59" s="10"/>
      <c r="G59" s="10"/>
      <c r="H59" s="10"/>
      <c r="I59" s="10"/>
      <c r="J59" s="10"/>
      <c r="K59" s="10"/>
      <c r="L59" s="10"/>
    </row>
    <row r="60" spans="1:12" x14ac:dyDescent="0.25">
      <c r="A60" s="3" t="s">
        <v>70</v>
      </c>
      <c r="B60" s="3" t="s">
        <v>73</v>
      </c>
      <c r="C60" s="3"/>
      <c r="D60" s="3">
        <v>2</v>
      </c>
      <c r="E60" s="51"/>
      <c r="F60" s="10"/>
      <c r="G60" s="10"/>
      <c r="H60" s="10"/>
      <c r="I60" s="10"/>
      <c r="J60" s="10"/>
      <c r="K60" s="10"/>
      <c r="L60" s="10"/>
    </row>
    <row r="61" spans="1:12" x14ac:dyDescent="0.25">
      <c r="A61" s="6" t="s">
        <v>74</v>
      </c>
      <c r="B61" s="7" t="s">
        <v>1</v>
      </c>
      <c r="C61" s="7"/>
      <c r="D61" s="6">
        <v>0</v>
      </c>
      <c r="E61" s="14"/>
      <c r="F61" s="7"/>
      <c r="G61" s="7"/>
      <c r="H61" s="7"/>
      <c r="I61" s="7"/>
      <c r="J61" s="7"/>
      <c r="K61" s="7"/>
      <c r="L61" s="7"/>
    </row>
    <row r="62" spans="1:12" x14ac:dyDescent="0.25">
      <c r="A62" s="3" t="s">
        <v>74</v>
      </c>
      <c r="B62" s="3" t="s">
        <v>75</v>
      </c>
      <c r="C62" s="3"/>
      <c r="D62" s="3">
        <v>0</v>
      </c>
      <c r="E62" s="52" t="s">
        <v>76</v>
      </c>
      <c r="F62" s="10"/>
      <c r="G62" s="10"/>
      <c r="H62" s="10"/>
      <c r="I62" s="10"/>
      <c r="J62" s="10"/>
      <c r="K62" s="10"/>
      <c r="L62" s="10"/>
    </row>
    <row r="63" spans="1:12" x14ac:dyDescent="0.25">
      <c r="A63" s="3" t="s">
        <v>74</v>
      </c>
      <c r="B63" s="53" t="s">
        <v>77</v>
      </c>
      <c r="C63" s="3">
        <v>0</v>
      </c>
      <c r="D63" s="3">
        <v>1</v>
      </c>
      <c r="E63" s="54" t="s">
        <v>13</v>
      </c>
      <c r="F63" s="10"/>
      <c r="G63" s="10"/>
      <c r="H63" s="10"/>
      <c r="I63" s="10" t="s">
        <v>24</v>
      </c>
      <c r="J63" s="10"/>
      <c r="K63" s="10" t="s">
        <v>24</v>
      </c>
      <c r="L63" s="10"/>
    </row>
    <row r="64" spans="1:12" x14ac:dyDescent="0.25">
      <c r="A64" s="3" t="s">
        <v>74</v>
      </c>
      <c r="B64" s="53" t="s">
        <v>78</v>
      </c>
      <c r="C64" s="3">
        <v>26</v>
      </c>
      <c r="D64" s="3">
        <v>2</v>
      </c>
      <c r="E64" s="55" t="s">
        <v>13</v>
      </c>
      <c r="F64" s="10"/>
      <c r="G64" s="10"/>
      <c r="H64" s="10"/>
      <c r="I64" s="10" t="s">
        <v>24</v>
      </c>
      <c r="J64" s="10"/>
      <c r="K64" s="10" t="s">
        <v>24</v>
      </c>
      <c r="L64" s="10"/>
    </row>
    <row r="65" spans="1:12" x14ac:dyDescent="0.25">
      <c r="A65" s="3" t="s">
        <v>74</v>
      </c>
      <c r="B65" s="53" t="s">
        <v>79</v>
      </c>
      <c r="C65" s="3">
        <v>27</v>
      </c>
      <c r="D65" s="3">
        <v>3</v>
      </c>
      <c r="E65" s="56" t="s">
        <v>13</v>
      </c>
      <c r="F65" s="10"/>
      <c r="G65" s="10"/>
      <c r="H65" s="10"/>
      <c r="I65" s="10" t="s">
        <v>24</v>
      </c>
      <c r="J65" s="10"/>
      <c r="K65" s="10" t="s">
        <v>24</v>
      </c>
      <c r="L65" s="10"/>
    </row>
    <row r="66" spans="1:12" x14ac:dyDescent="0.25">
      <c r="A66" s="3" t="s">
        <v>74</v>
      </c>
      <c r="B66" s="16" t="s">
        <v>80</v>
      </c>
      <c r="C66" s="3">
        <v>7</v>
      </c>
      <c r="D66" s="3">
        <v>4</v>
      </c>
      <c r="E66" s="57" t="s">
        <v>13</v>
      </c>
      <c r="F66" s="10"/>
      <c r="G66" s="10"/>
      <c r="H66" s="10"/>
      <c r="I66" s="10" t="s">
        <v>24</v>
      </c>
      <c r="J66" s="10"/>
      <c r="K66" s="10" t="s">
        <v>24</v>
      </c>
      <c r="L66" s="10"/>
    </row>
    <row r="67" spans="1:12" x14ac:dyDescent="0.25">
      <c r="A67" s="3" t="s">
        <v>74</v>
      </c>
      <c r="B67" s="16" t="s">
        <v>81</v>
      </c>
      <c r="C67" s="3">
        <v>8</v>
      </c>
      <c r="D67" s="3">
        <v>5</v>
      </c>
      <c r="E67" s="55" t="s">
        <v>13</v>
      </c>
      <c r="F67" s="10"/>
      <c r="G67" s="10"/>
      <c r="H67" s="10"/>
      <c r="I67" s="10" t="s">
        <v>24</v>
      </c>
      <c r="J67" s="10"/>
      <c r="K67" s="10" t="s">
        <v>24</v>
      </c>
      <c r="L67" s="10"/>
    </row>
    <row r="68" spans="1:12" x14ac:dyDescent="0.25">
      <c r="A68" s="3" t="s">
        <v>74</v>
      </c>
      <c r="B68" s="16" t="s">
        <v>82</v>
      </c>
      <c r="C68" s="3">
        <v>5</v>
      </c>
      <c r="D68" s="3">
        <v>6</v>
      </c>
      <c r="E68" s="58" t="s">
        <v>13</v>
      </c>
      <c r="F68" s="10"/>
      <c r="G68" s="10"/>
      <c r="H68" s="10"/>
      <c r="I68" s="10" t="s">
        <v>24</v>
      </c>
      <c r="J68" s="10"/>
      <c r="K68" s="10" t="s">
        <v>24</v>
      </c>
      <c r="L68" s="10"/>
    </row>
    <row r="69" spans="1:12" x14ac:dyDescent="0.25">
      <c r="A69" s="3" t="s">
        <v>74</v>
      </c>
      <c r="B69" s="16" t="s">
        <v>83</v>
      </c>
      <c r="C69" s="3">
        <v>6</v>
      </c>
      <c r="D69" s="3">
        <v>7</v>
      </c>
      <c r="E69" s="59" t="s">
        <v>13</v>
      </c>
      <c r="F69" s="10"/>
      <c r="G69" s="10"/>
      <c r="H69" s="10"/>
      <c r="I69" s="10" t="s">
        <v>24</v>
      </c>
      <c r="J69" s="10"/>
      <c r="K69" s="10" t="s">
        <v>24</v>
      </c>
      <c r="L69" s="10"/>
    </row>
    <row r="70" spans="1:12" x14ac:dyDescent="0.25">
      <c r="A70" s="60" t="s">
        <v>74</v>
      </c>
      <c r="B70" s="60" t="s">
        <v>84</v>
      </c>
      <c r="C70" s="3">
        <v>3</v>
      </c>
      <c r="D70" s="3">
        <v>8</v>
      </c>
      <c r="E70" s="61" t="s">
        <v>13</v>
      </c>
      <c r="F70" s="10"/>
      <c r="G70" s="10"/>
      <c r="H70" s="62"/>
      <c r="I70" s="62" t="s">
        <v>24</v>
      </c>
      <c r="J70" s="10"/>
      <c r="K70" s="62" t="s">
        <v>24</v>
      </c>
      <c r="L70" s="10"/>
    </row>
    <row r="71" spans="1:12" x14ac:dyDescent="0.25">
      <c r="A71" s="3" t="s">
        <v>74</v>
      </c>
      <c r="B71" s="53" t="s">
        <v>85</v>
      </c>
      <c r="C71" s="3">
        <v>1</v>
      </c>
      <c r="D71" s="3">
        <v>9</v>
      </c>
      <c r="E71" s="63" t="s">
        <v>13</v>
      </c>
      <c r="F71" s="10"/>
      <c r="G71" s="10"/>
      <c r="H71" s="10" t="s">
        <v>24</v>
      </c>
      <c r="I71" s="10" t="s">
        <v>24</v>
      </c>
      <c r="J71" s="10"/>
      <c r="K71" s="10" t="s">
        <v>24</v>
      </c>
      <c r="L71" s="10"/>
    </row>
    <row r="72" spans="1:12" x14ac:dyDescent="0.25">
      <c r="A72" s="3" t="s">
        <v>74</v>
      </c>
      <c r="B72" s="53"/>
      <c r="C72" s="16"/>
      <c r="D72" s="3"/>
      <c r="E72" s="64"/>
      <c r="F72" s="10"/>
      <c r="G72" s="10"/>
      <c r="H72" s="10"/>
      <c r="I72" s="10"/>
      <c r="J72" s="10"/>
      <c r="K72" s="10"/>
      <c r="L72" s="10"/>
    </row>
    <row r="73" spans="1:12" x14ac:dyDescent="0.25">
      <c r="A73" s="3" t="s">
        <v>74</v>
      </c>
      <c r="B73" s="53" t="s">
        <v>86</v>
      </c>
      <c r="C73" s="3">
        <v>9</v>
      </c>
      <c r="D73" s="3">
        <v>10</v>
      </c>
      <c r="E73" s="63" t="s">
        <v>13</v>
      </c>
      <c r="F73" s="10"/>
      <c r="G73" s="10"/>
      <c r="H73" s="10"/>
      <c r="I73" s="10" t="s">
        <v>24</v>
      </c>
      <c r="J73" s="10"/>
      <c r="K73" s="10" t="s">
        <v>24</v>
      </c>
      <c r="L73" s="10"/>
    </row>
    <row r="74" spans="1:12" x14ac:dyDescent="0.25">
      <c r="A74" s="3" t="s">
        <v>74</v>
      </c>
      <c r="B74" s="53"/>
      <c r="C74" s="16"/>
      <c r="D74" s="3"/>
      <c r="E74" s="64"/>
      <c r="F74" s="10"/>
      <c r="G74" s="10"/>
      <c r="H74" s="10"/>
      <c r="I74" s="10"/>
      <c r="J74" s="10"/>
      <c r="K74" s="10"/>
      <c r="L74" s="10"/>
    </row>
    <row r="75" spans="1:12" x14ac:dyDescent="0.25">
      <c r="A75" s="3" t="s">
        <v>74</v>
      </c>
      <c r="B75" s="53" t="s">
        <v>87</v>
      </c>
      <c r="C75" s="3">
        <v>13</v>
      </c>
      <c r="D75" s="3">
        <v>11</v>
      </c>
      <c r="E75" s="65" t="s">
        <v>13</v>
      </c>
      <c r="F75" s="10"/>
      <c r="G75" s="10"/>
      <c r="H75" s="10"/>
      <c r="I75" s="10" t="s">
        <v>24</v>
      </c>
      <c r="J75" s="10"/>
      <c r="K75" s="10" t="s">
        <v>24</v>
      </c>
      <c r="L75" s="10"/>
    </row>
    <row r="76" spans="1:12" x14ac:dyDescent="0.25">
      <c r="A76" s="3" t="s">
        <v>74</v>
      </c>
      <c r="B76" s="53" t="s">
        <v>88</v>
      </c>
      <c r="C76" s="3">
        <v>14</v>
      </c>
      <c r="D76" s="3">
        <v>12</v>
      </c>
      <c r="E76" s="65" t="s">
        <v>13</v>
      </c>
      <c r="F76" s="10"/>
      <c r="G76" s="10"/>
      <c r="H76" s="10"/>
      <c r="I76" s="10" t="s">
        <v>24</v>
      </c>
      <c r="J76" s="10"/>
      <c r="K76" s="10" t="s">
        <v>24</v>
      </c>
      <c r="L76" s="10"/>
    </row>
    <row r="77" spans="1:12" x14ac:dyDescent="0.25">
      <c r="A77" s="3" t="s">
        <v>74</v>
      </c>
      <c r="B77" s="53" t="s">
        <v>89</v>
      </c>
      <c r="C77" s="3">
        <v>15</v>
      </c>
      <c r="D77" s="3">
        <v>13</v>
      </c>
      <c r="E77" s="65" t="s">
        <v>13</v>
      </c>
      <c r="F77" s="10"/>
      <c r="G77" s="10"/>
      <c r="H77" s="10"/>
      <c r="I77" s="10" t="s">
        <v>24</v>
      </c>
      <c r="J77" s="10"/>
      <c r="K77" s="10" t="s">
        <v>24</v>
      </c>
      <c r="L77" s="10"/>
    </row>
    <row r="78" spans="1:12" x14ac:dyDescent="0.25">
      <c r="A78" s="3" t="s">
        <v>74</v>
      </c>
      <c r="B78" s="53" t="s">
        <v>90</v>
      </c>
      <c r="C78" s="3">
        <v>19</v>
      </c>
      <c r="D78" s="3">
        <v>14</v>
      </c>
      <c r="E78" s="66" t="s">
        <v>13</v>
      </c>
      <c r="F78" s="10"/>
      <c r="G78" s="10"/>
      <c r="H78" s="10"/>
      <c r="I78" s="10" t="s">
        <v>24</v>
      </c>
      <c r="J78" s="10"/>
      <c r="K78" s="10" t="s">
        <v>24</v>
      </c>
      <c r="L78" s="10"/>
    </row>
    <row r="79" spans="1:12" x14ac:dyDescent="0.25">
      <c r="A79" s="3" t="s">
        <v>74</v>
      </c>
      <c r="B79" s="53" t="s">
        <v>91</v>
      </c>
      <c r="C79" s="3">
        <v>16</v>
      </c>
      <c r="D79" s="3">
        <v>15</v>
      </c>
      <c r="E79" s="67" t="s">
        <v>13</v>
      </c>
      <c r="F79" s="10"/>
      <c r="G79" s="10"/>
      <c r="H79" s="10"/>
      <c r="I79" s="10" t="s">
        <v>24</v>
      </c>
      <c r="J79" s="10"/>
      <c r="K79" s="10" t="s">
        <v>24</v>
      </c>
      <c r="L79" s="10"/>
    </row>
    <row r="80" spans="1:12" x14ac:dyDescent="0.25">
      <c r="A80" s="3" t="s">
        <v>74</v>
      </c>
      <c r="B80" s="53" t="s">
        <v>92</v>
      </c>
      <c r="C80" s="3">
        <v>17</v>
      </c>
      <c r="D80" s="3">
        <v>16</v>
      </c>
      <c r="E80" s="67" t="s">
        <v>13</v>
      </c>
      <c r="F80" s="10"/>
      <c r="G80" s="10"/>
      <c r="H80" s="10"/>
      <c r="I80" s="10" t="s">
        <v>24</v>
      </c>
      <c r="J80" s="10"/>
      <c r="K80" s="10" t="s">
        <v>24</v>
      </c>
      <c r="L80" s="10"/>
    </row>
    <row r="81" spans="1:12" x14ac:dyDescent="0.25">
      <c r="A81" s="68" t="s">
        <v>74</v>
      </c>
      <c r="B81" s="68" t="s">
        <v>93</v>
      </c>
      <c r="C81" s="3">
        <v>18</v>
      </c>
      <c r="D81" s="69">
        <v>17</v>
      </c>
      <c r="E81" s="67" t="s">
        <v>13</v>
      </c>
      <c r="F81" s="70"/>
      <c r="G81" s="71"/>
      <c r="H81" s="71"/>
      <c r="I81" s="71" t="s">
        <v>24</v>
      </c>
      <c r="J81" s="71"/>
      <c r="K81" s="71" t="s">
        <v>24</v>
      </c>
      <c r="L81" s="71"/>
    </row>
    <row r="82" spans="1:12" x14ac:dyDescent="0.25">
      <c r="A82" s="3" t="s">
        <v>74</v>
      </c>
      <c r="B82" s="3" t="s">
        <v>94</v>
      </c>
      <c r="C82" s="3">
        <v>20</v>
      </c>
      <c r="D82" s="3">
        <v>18</v>
      </c>
      <c r="E82" s="72" t="s">
        <v>13</v>
      </c>
      <c r="F82" s="10"/>
      <c r="G82" s="10"/>
      <c r="H82" s="10"/>
      <c r="I82" s="10" t="s">
        <v>24</v>
      </c>
      <c r="J82" s="10"/>
      <c r="K82" s="10" t="s">
        <v>24</v>
      </c>
      <c r="L82" s="10"/>
    </row>
    <row r="83" spans="1:12" x14ac:dyDescent="0.25">
      <c r="A83" s="3" t="s">
        <v>74</v>
      </c>
      <c r="B83" s="3" t="s">
        <v>95</v>
      </c>
      <c r="C83" s="3">
        <v>21</v>
      </c>
      <c r="D83" s="3">
        <v>19</v>
      </c>
      <c r="E83" s="72" t="s">
        <v>13</v>
      </c>
      <c r="F83" s="10"/>
      <c r="G83" s="10"/>
      <c r="H83" s="10"/>
      <c r="I83" s="10" t="s">
        <v>24</v>
      </c>
      <c r="J83" s="10"/>
      <c r="K83" s="10" t="s">
        <v>24</v>
      </c>
      <c r="L83" s="10"/>
    </row>
    <row r="84" spans="1:12" x14ac:dyDescent="0.25">
      <c r="A84" s="3" t="s">
        <v>74</v>
      </c>
      <c r="B84" s="3" t="s">
        <v>96</v>
      </c>
      <c r="C84" s="3">
        <v>22</v>
      </c>
      <c r="D84" s="3">
        <v>20</v>
      </c>
      <c r="E84" s="72" t="s">
        <v>13</v>
      </c>
      <c r="F84" s="10"/>
      <c r="G84" s="10"/>
      <c r="H84" s="10"/>
      <c r="I84" s="10" t="s">
        <v>24</v>
      </c>
      <c r="J84" s="10"/>
      <c r="K84" s="10" t="s">
        <v>24</v>
      </c>
      <c r="L84" s="10"/>
    </row>
    <row r="85" spans="1:12" x14ac:dyDescent="0.25">
      <c r="A85" s="3" t="s">
        <v>74</v>
      </c>
      <c r="B85" s="3" t="s">
        <v>97</v>
      </c>
      <c r="C85" s="3">
        <v>23</v>
      </c>
      <c r="D85" s="3">
        <v>21</v>
      </c>
      <c r="E85" s="72" t="s">
        <v>13</v>
      </c>
      <c r="F85" s="10"/>
      <c r="G85" s="10"/>
      <c r="H85" s="10"/>
      <c r="I85" s="10" t="s">
        <v>24</v>
      </c>
      <c r="J85" s="10"/>
      <c r="K85" s="10" t="s">
        <v>24</v>
      </c>
      <c r="L85" s="10"/>
    </row>
    <row r="86" spans="1:12" x14ac:dyDescent="0.25">
      <c r="A86" s="3" t="s">
        <v>74</v>
      </c>
      <c r="B86" s="3" t="s">
        <v>98</v>
      </c>
      <c r="C86" s="3">
        <v>24</v>
      </c>
      <c r="D86" s="3">
        <v>22</v>
      </c>
      <c r="E86" s="72" t="s">
        <v>13</v>
      </c>
      <c r="F86" s="10"/>
      <c r="G86" s="10"/>
      <c r="H86" s="10"/>
      <c r="I86" s="10" t="s">
        <v>24</v>
      </c>
      <c r="J86" s="10"/>
      <c r="K86" s="10" t="s">
        <v>24</v>
      </c>
      <c r="L86" s="10"/>
    </row>
    <row r="87" spans="1:12" x14ac:dyDescent="0.25">
      <c r="A87" s="3" t="s">
        <v>74</v>
      </c>
      <c r="B87" s="3" t="s">
        <v>99</v>
      </c>
      <c r="C87" s="3">
        <v>25</v>
      </c>
      <c r="D87" s="3">
        <v>23</v>
      </c>
      <c r="E87" s="72" t="s">
        <v>13</v>
      </c>
      <c r="F87" s="10"/>
      <c r="G87" s="10"/>
      <c r="H87" s="10"/>
      <c r="I87" s="10" t="s">
        <v>24</v>
      </c>
      <c r="J87" s="10"/>
      <c r="K87" s="10" t="s">
        <v>24</v>
      </c>
      <c r="L87" s="10"/>
    </row>
    <row r="88" spans="1:12" x14ac:dyDescent="0.25">
      <c r="A88" s="3" t="s">
        <v>74</v>
      </c>
      <c r="B88" s="3"/>
      <c r="C88" s="16"/>
      <c r="D88" s="3"/>
      <c r="E88" s="52"/>
      <c r="F88" s="10"/>
      <c r="G88" s="10"/>
      <c r="H88" s="10"/>
      <c r="I88" s="10"/>
      <c r="J88" s="10"/>
      <c r="K88" s="10"/>
      <c r="L88" s="10"/>
    </row>
    <row r="89" spans="1:12" x14ac:dyDescent="0.25">
      <c r="A89" s="3" t="s">
        <v>74</v>
      </c>
      <c r="B89" s="3" t="s">
        <v>100</v>
      </c>
      <c r="C89" s="3">
        <v>4</v>
      </c>
      <c r="D89" s="3">
        <v>24</v>
      </c>
      <c r="E89" s="73" t="s">
        <v>13</v>
      </c>
      <c r="F89" s="10"/>
      <c r="G89" s="10"/>
      <c r="H89" s="10" t="s">
        <v>24</v>
      </c>
      <c r="I89" s="10" t="s">
        <v>24</v>
      </c>
      <c r="J89" s="10"/>
      <c r="K89" s="10" t="s">
        <v>24</v>
      </c>
      <c r="L89" s="10"/>
    </row>
    <row r="90" spans="1:12" x14ac:dyDescent="0.25">
      <c r="A90" s="3" t="s">
        <v>74</v>
      </c>
      <c r="B90" s="3"/>
      <c r="C90" s="16"/>
      <c r="D90" s="3"/>
      <c r="E90" s="74"/>
      <c r="F90" s="10"/>
      <c r="G90" s="10"/>
      <c r="H90" s="10"/>
      <c r="I90" s="10"/>
      <c r="J90" s="10"/>
      <c r="K90" s="10"/>
      <c r="L90" s="10"/>
    </row>
    <row r="91" spans="1:12" ht="15.75" thickBot="1" x14ac:dyDescent="0.3">
      <c r="A91" s="3" t="s">
        <v>74</v>
      </c>
      <c r="B91" s="3" t="s">
        <v>101</v>
      </c>
      <c r="C91" s="3">
        <v>2</v>
      </c>
      <c r="D91" s="3">
        <v>25</v>
      </c>
      <c r="E91" s="75" t="s">
        <v>13</v>
      </c>
      <c r="F91" s="10"/>
      <c r="G91" s="10"/>
      <c r="H91" s="10" t="s">
        <v>24</v>
      </c>
      <c r="I91" s="10" t="s">
        <v>24</v>
      </c>
      <c r="J91" s="10"/>
      <c r="K91" s="10" t="s">
        <v>24</v>
      </c>
      <c r="L91" s="10"/>
    </row>
    <row r="92" spans="1:12" ht="15.75" thickTop="1" x14ac:dyDescent="0.25">
      <c r="A92" s="6" t="s">
        <v>102</v>
      </c>
      <c r="B92" s="7" t="s">
        <v>1</v>
      </c>
      <c r="C92" s="7"/>
      <c r="D92" s="6">
        <v>0</v>
      </c>
      <c r="E92" s="14"/>
      <c r="F92" s="7"/>
      <c r="G92" s="7"/>
      <c r="H92" s="7"/>
      <c r="I92" s="7"/>
      <c r="J92" s="7"/>
      <c r="K92" s="7"/>
      <c r="L92" s="7"/>
    </row>
    <row r="93" spans="1:12" x14ac:dyDescent="0.25">
      <c r="A93" s="3" t="s">
        <v>102</v>
      </c>
      <c r="B93" s="3" t="s">
        <v>103</v>
      </c>
      <c r="C93" s="3"/>
      <c r="D93" s="3">
        <v>0</v>
      </c>
      <c r="E93" s="76" t="s">
        <v>104</v>
      </c>
      <c r="F93" s="10"/>
      <c r="G93" s="10"/>
      <c r="H93" s="10"/>
      <c r="I93" s="10"/>
      <c r="J93" s="10"/>
      <c r="K93" s="10"/>
      <c r="L93" s="10"/>
    </row>
    <row r="94" spans="1:12" x14ac:dyDescent="0.25">
      <c r="A94" s="3" t="s">
        <v>102</v>
      </c>
      <c r="B94" s="3" t="s">
        <v>77</v>
      </c>
      <c r="C94" s="3">
        <v>0</v>
      </c>
      <c r="D94" s="3">
        <v>1</v>
      </c>
      <c r="E94" s="9" t="s">
        <v>13</v>
      </c>
      <c r="F94" s="10"/>
      <c r="G94" s="10"/>
      <c r="H94" s="10" t="s">
        <v>24</v>
      </c>
      <c r="I94" s="10" t="s">
        <v>24</v>
      </c>
      <c r="J94" s="10"/>
      <c r="K94" s="10" t="s">
        <v>24</v>
      </c>
      <c r="L94" s="10"/>
    </row>
    <row r="95" spans="1:12" x14ac:dyDescent="0.25">
      <c r="A95" s="3" t="s">
        <v>102</v>
      </c>
      <c r="B95" s="3" t="s">
        <v>85</v>
      </c>
      <c r="C95" s="3">
        <v>1</v>
      </c>
      <c r="D95" s="3">
        <v>2</v>
      </c>
      <c r="E95" s="77" t="s">
        <v>13</v>
      </c>
      <c r="F95" s="10"/>
      <c r="G95" s="10"/>
      <c r="H95" s="10" t="s">
        <v>24</v>
      </c>
      <c r="I95" s="10" t="s">
        <v>24</v>
      </c>
      <c r="J95" s="10"/>
      <c r="K95" s="10" t="s">
        <v>24</v>
      </c>
      <c r="L95" s="10"/>
    </row>
    <row r="96" spans="1:12" x14ac:dyDescent="0.25">
      <c r="A96" s="3" t="s">
        <v>102</v>
      </c>
      <c r="B96" s="16" t="s">
        <v>105</v>
      </c>
      <c r="C96" s="3">
        <v>30</v>
      </c>
      <c r="D96" s="3">
        <v>3</v>
      </c>
      <c r="E96" s="78" t="s">
        <v>13</v>
      </c>
      <c r="F96" s="10"/>
      <c r="G96" s="10"/>
      <c r="H96" s="10" t="s">
        <v>24</v>
      </c>
      <c r="I96" s="10" t="s">
        <v>24</v>
      </c>
      <c r="J96" s="10"/>
      <c r="K96" s="10" t="s">
        <v>24</v>
      </c>
      <c r="L96" s="10"/>
    </row>
    <row r="97" spans="1:12" ht="30" x14ac:dyDescent="0.25">
      <c r="A97" s="3" t="s">
        <v>102</v>
      </c>
      <c r="B97" s="16" t="s">
        <v>106</v>
      </c>
      <c r="C97" s="3">
        <v>33</v>
      </c>
      <c r="D97" s="3">
        <v>4</v>
      </c>
      <c r="E97" s="79" t="s">
        <v>13</v>
      </c>
      <c r="F97" s="10"/>
      <c r="G97" s="10"/>
      <c r="H97" s="10" t="s">
        <v>24</v>
      </c>
      <c r="I97" s="10" t="s">
        <v>24</v>
      </c>
      <c r="J97" s="10"/>
      <c r="K97" s="10" t="s">
        <v>24</v>
      </c>
      <c r="L97" s="10"/>
    </row>
    <row r="98" spans="1:12" ht="30" x14ac:dyDescent="0.25">
      <c r="A98" s="3" t="s">
        <v>102</v>
      </c>
      <c r="B98" s="16" t="s">
        <v>107</v>
      </c>
      <c r="C98" s="3">
        <v>28</v>
      </c>
      <c r="D98" s="3">
        <v>5</v>
      </c>
      <c r="E98" s="80" t="s">
        <v>13</v>
      </c>
      <c r="F98" s="10"/>
      <c r="G98" s="10"/>
      <c r="H98" s="10" t="s">
        <v>24</v>
      </c>
      <c r="I98" s="10" t="s">
        <v>24</v>
      </c>
      <c r="J98" s="10"/>
      <c r="K98" s="10" t="s">
        <v>24</v>
      </c>
      <c r="L98" s="10"/>
    </row>
    <row r="99" spans="1:12" ht="30" x14ac:dyDescent="0.25">
      <c r="A99" s="3" t="s">
        <v>102</v>
      </c>
      <c r="B99" s="16" t="s">
        <v>108</v>
      </c>
      <c r="C99" s="3">
        <v>32</v>
      </c>
      <c r="D99" s="3">
        <v>6</v>
      </c>
      <c r="E99" s="81" t="s">
        <v>13</v>
      </c>
      <c r="F99" s="10"/>
      <c r="G99" s="10"/>
      <c r="H99" s="10" t="s">
        <v>24</v>
      </c>
      <c r="I99" s="10" t="s">
        <v>24</v>
      </c>
      <c r="J99" s="10"/>
      <c r="K99" s="10" t="s">
        <v>24</v>
      </c>
      <c r="L99" s="10"/>
    </row>
    <row r="100" spans="1:12" ht="30" x14ac:dyDescent="0.25">
      <c r="A100" s="3" t="s">
        <v>102</v>
      </c>
      <c r="B100" s="16" t="s">
        <v>109</v>
      </c>
      <c r="C100" s="3">
        <v>31</v>
      </c>
      <c r="D100" s="3">
        <v>7</v>
      </c>
      <c r="E100" s="82" t="s">
        <v>13</v>
      </c>
      <c r="F100" s="10"/>
      <c r="G100" s="10"/>
      <c r="H100" s="10" t="s">
        <v>24</v>
      </c>
      <c r="I100" s="10" t="s">
        <v>24</v>
      </c>
      <c r="J100" s="10"/>
      <c r="K100" s="10" t="s">
        <v>24</v>
      </c>
      <c r="L100" s="10"/>
    </row>
    <row r="101" spans="1:12" ht="30" x14ac:dyDescent="0.25">
      <c r="A101" s="3" t="s">
        <v>102</v>
      </c>
      <c r="B101" s="16" t="s">
        <v>110</v>
      </c>
      <c r="C101" s="3">
        <v>35</v>
      </c>
      <c r="D101" s="3">
        <v>8</v>
      </c>
      <c r="E101" s="83" t="s">
        <v>13</v>
      </c>
      <c r="F101" s="10"/>
      <c r="G101" s="10"/>
      <c r="H101" s="10" t="s">
        <v>24</v>
      </c>
      <c r="I101" s="10" t="s">
        <v>24</v>
      </c>
      <c r="J101" s="10"/>
      <c r="K101" s="10" t="s">
        <v>24</v>
      </c>
      <c r="L101" s="10"/>
    </row>
    <row r="102" spans="1:12" ht="30" x14ac:dyDescent="0.25">
      <c r="A102" s="3" t="s">
        <v>102</v>
      </c>
      <c r="B102" s="16" t="s">
        <v>111</v>
      </c>
      <c r="C102" s="3">
        <v>29</v>
      </c>
      <c r="D102" s="3">
        <v>9</v>
      </c>
      <c r="E102" s="82" t="s">
        <v>13</v>
      </c>
      <c r="F102" s="10"/>
      <c r="G102" s="10"/>
      <c r="H102" s="10" t="s">
        <v>24</v>
      </c>
      <c r="I102" s="10" t="s">
        <v>24</v>
      </c>
      <c r="J102" s="10"/>
      <c r="K102" s="10" t="s">
        <v>24</v>
      </c>
      <c r="L102" s="10"/>
    </row>
    <row r="103" spans="1:12" ht="30" x14ac:dyDescent="0.25">
      <c r="A103" s="3" t="s">
        <v>102</v>
      </c>
      <c r="B103" s="16" t="s">
        <v>112</v>
      </c>
      <c r="C103" s="3">
        <v>34</v>
      </c>
      <c r="D103" s="3">
        <v>10</v>
      </c>
      <c r="E103" s="84" t="s">
        <v>13</v>
      </c>
      <c r="F103" s="10"/>
      <c r="G103" s="10"/>
      <c r="H103" s="10" t="s">
        <v>24</v>
      </c>
      <c r="I103" s="10" t="s">
        <v>24</v>
      </c>
      <c r="J103" s="10"/>
      <c r="K103" s="10" t="s">
        <v>24</v>
      </c>
      <c r="L103" s="10"/>
    </row>
    <row r="104" spans="1:12" x14ac:dyDescent="0.25">
      <c r="A104" s="6" t="s">
        <v>113</v>
      </c>
      <c r="B104" s="7" t="s">
        <v>1</v>
      </c>
      <c r="C104" s="7"/>
      <c r="D104" s="6">
        <v>0</v>
      </c>
      <c r="E104" s="14"/>
      <c r="F104" s="7"/>
      <c r="G104" s="7"/>
      <c r="H104" s="7"/>
      <c r="I104" s="7"/>
      <c r="J104" s="7"/>
      <c r="K104" s="7"/>
      <c r="L104" s="7"/>
    </row>
    <row r="105" spans="1:12" x14ac:dyDescent="0.25">
      <c r="A105" s="3" t="s">
        <v>113</v>
      </c>
      <c r="B105" s="3" t="s">
        <v>114</v>
      </c>
      <c r="C105" s="3"/>
      <c r="D105" s="3">
        <v>0</v>
      </c>
      <c r="E105" s="9" t="s">
        <v>115</v>
      </c>
      <c r="F105" s="10"/>
      <c r="G105" s="10"/>
      <c r="H105" s="10"/>
      <c r="I105" s="10"/>
      <c r="J105" s="10"/>
      <c r="K105" s="10"/>
      <c r="L105" s="10"/>
    </row>
    <row r="106" spans="1:12" x14ac:dyDescent="0.25">
      <c r="A106" s="3" t="s">
        <v>113</v>
      </c>
      <c r="B106" s="16" t="s">
        <v>77</v>
      </c>
      <c r="C106" s="3">
        <v>0</v>
      </c>
      <c r="D106" s="3">
        <v>1</v>
      </c>
      <c r="E106" s="9" t="s">
        <v>13</v>
      </c>
      <c r="F106" s="10"/>
      <c r="G106" s="10"/>
      <c r="H106" s="10" t="s">
        <v>24</v>
      </c>
      <c r="I106" s="10" t="s">
        <v>24</v>
      </c>
      <c r="J106" s="10"/>
      <c r="K106" s="10" t="s">
        <v>24</v>
      </c>
      <c r="L106" s="10"/>
    </row>
    <row r="107" spans="1:12" x14ac:dyDescent="0.25">
      <c r="A107" s="3" t="s">
        <v>113</v>
      </c>
      <c r="B107" s="16" t="s">
        <v>80</v>
      </c>
      <c r="C107" s="3">
        <v>7</v>
      </c>
      <c r="D107" s="3">
        <v>2</v>
      </c>
      <c r="E107" s="51" t="s">
        <v>13</v>
      </c>
      <c r="F107" s="10"/>
      <c r="G107" s="10"/>
      <c r="H107" s="10" t="s">
        <v>24</v>
      </c>
      <c r="I107" s="10" t="s">
        <v>24</v>
      </c>
      <c r="J107" s="10"/>
      <c r="K107" s="10" t="s">
        <v>24</v>
      </c>
      <c r="L107" s="10"/>
    </row>
    <row r="108" spans="1:12" x14ac:dyDescent="0.25">
      <c r="A108" s="3" t="s">
        <v>113</v>
      </c>
      <c r="B108" s="16" t="s">
        <v>81</v>
      </c>
      <c r="C108" s="3">
        <v>8</v>
      </c>
      <c r="D108" s="3">
        <v>3</v>
      </c>
      <c r="E108" s="85" t="s">
        <v>13</v>
      </c>
      <c r="F108" s="10"/>
      <c r="G108" s="10"/>
      <c r="H108" s="10" t="s">
        <v>24</v>
      </c>
      <c r="I108" s="10" t="s">
        <v>24</v>
      </c>
      <c r="J108" s="10"/>
      <c r="K108" s="10" t="s">
        <v>24</v>
      </c>
      <c r="L108" s="10"/>
    </row>
    <row r="109" spans="1:12" x14ac:dyDescent="0.25">
      <c r="A109" s="3" t="s">
        <v>113</v>
      </c>
      <c r="B109" s="16" t="s">
        <v>82</v>
      </c>
      <c r="C109" s="3">
        <v>5</v>
      </c>
      <c r="D109" s="3">
        <v>4</v>
      </c>
      <c r="E109" s="9" t="s">
        <v>13</v>
      </c>
      <c r="F109" s="10"/>
      <c r="G109" s="10"/>
      <c r="H109" s="10" t="s">
        <v>24</v>
      </c>
      <c r="I109" s="10" t="s">
        <v>24</v>
      </c>
      <c r="J109" s="10"/>
      <c r="K109" s="10" t="s">
        <v>24</v>
      </c>
      <c r="L109" s="10"/>
    </row>
    <row r="110" spans="1:12" x14ac:dyDescent="0.25">
      <c r="A110" s="3" t="s">
        <v>113</v>
      </c>
      <c r="B110" s="16" t="s">
        <v>83</v>
      </c>
      <c r="C110" s="3">
        <v>6</v>
      </c>
      <c r="D110" s="3">
        <v>5</v>
      </c>
      <c r="E110" s="7" t="s">
        <v>13</v>
      </c>
      <c r="F110" s="10"/>
      <c r="G110" s="10"/>
      <c r="H110" s="10" t="s">
        <v>24</v>
      </c>
      <c r="I110" s="10" t="s">
        <v>24</v>
      </c>
      <c r="J110" s="10"/>
      <c r="K110" s="10" t="s">
        <v>24</v>
      </c>
      <c r="L110" s="10"/>
    </row>
    <row r="111" spans="1:12" x14ac:dyDescent="0.25">
      <c r="A111" s="3" t="s">
        <v>113</v>
      </c>
      <c r="B111" s="16" t="s">
        <v>116</v>
      </c>
      <c r="C111" s="3">
        <v>4</v>
      </c>
      <c r="D111" s="3">
        <v>6</v>
      </c>
      <c r="E111" s="51" t="s">
        <v>13</v>
      </c>
      <c r="F111" s="10"/>
      <c r="G111" s="10"/>
      <c r="H111" s="10" t="s">
        <v>24</v>
      </c>
      <c r="I111" s="10" t="s">
        <v>24</v>
      </c>
      <c r="J111" s="10"/>
      <c r="K111" s="10" t="s">
        <v>24</v>
      </c>
      <c r="L111" s="10"/>
    </row>
    <row r="112" spans="1:12" x14ac:dyDescent="0.25">
      <c r="A112" s="3" t="s">
        <v>113</v>
      </c>
      <c r="B112" s="16" t="s">
        <v>84</v>
      </c>
      <c r="C112" s="3">
        <v>3</v>
      </c>
      <c r="D112" s="3">
        <v>7</v>
      </c>
      <c r="E112" s="86" t="s">
        <v>13</v>
      </c>
      <c r="F112" s="10"/>
      <c r="G112" s="10"/>
      <c r="H112" s="10" t="s">
        <v>24</v>
      </c>
      <c r="I112" s="10" t="s">
        <v>24</v>
      </c>
      <c r="J112" s="10"/>
      <c r="K112" s="10" t="s">
        <v>24</v>
      </c>
      <c r="L112" s="10"/>
    </row>
    <row r="113" spans="1:12" x14ac:dyDescent="0.25">
      <c r="A113" s="3" t="s">
        <v>113</v>
      </c>
      <c r="B113" s="3"/>
      <c r="C113" s="16"/>
      <c r="D113" s="3"/>
      <c r="E113" s="87"/>
      <c r="F113" s="10"/>
      <c r="G113" s="10"/>
      <c r="H113" s="10"/>
      <c r="I113" s="10"/>
      <c r="J113" s="10"/>
      <c r="K113" s="10"/>
      <c r="L113" s="10"/>
    </row>
    <row r="114" spans="1:12" x14ac:dyDescent="0.25">
      <c r="A114" s="3" t="s">
        <v>113</v>
      </c>
      <c r="B114" s="16" t="s">
        <v>85</v>
      </c>
      <c r="C114" s="3">
        <v>1</v>
      </c>
      <c r="D114" s="3">
        <v>8</v>
      </c>
      <c r="E114" s="88" t="s">
        <v>13</v>
      </c>
      <c r="F114" s="10"/>
      <c r="G114" s="10"/>
      <c r="H114" s="10" t="s">
        <v>24</v>
      </c>
      <c r="I114" s="10" t="s">
        <v>24</v>
      </c>
      <c r="J114" s="10"/>
      <c r="K114" s="10" t="s">
        <v>24</v>
      </c>
      <c r="L114" s="10"/>
    </row>
    <row r="115" spans="1:12" x14ac:dyDescent="0.25">
      <c r="A115" s="3" t="s">
        <v>113</v>
      </c>
      <c r="B115" s="3"/>
      <c r="C115" s="16"/>
      <c r="D115" s="3"/>
      <c r="E115" s="74"/>
      <c r="F115" s="10"/>
      <c r="G115" s="10"/>
      <c r="H115" s="10"/>
      <c r="I115" s="10"/>
      <c r="J115" s="10"/>
      <c r="K115" s="10"/>
      <c r="L115" s="10"/>
    </row>
    <row r="116" spans="1:12" ht="15.75" thickBot="1" x14ac:dyDescent="0.3">
      <c r="A116" s="3" t="s">
        <v>113</v>
      </c>
      <c r="B116" s="16" t="s">
        <v>117</v>
      </c>
      <c r="C116" s="3">
        <v>2</v>
      </c>
      <c r="D116" s="3">
        <v>9</v>
      </c>
      <c r="E116" s="89" t="s">
        <v>13</v>
      </c>
      <c r="F116" s="10"/>
      <c r="G116" s="10"/>
      <c r="H116" s="10" t="s">
        <v>24</v>
      </c>
      <c r="I116" s="10" t="s">
        <v>24</v>
      </c>
      <c r="J116" s="10"/>
      <c r="K116" s="10" t="s">
        <v>24</v>
      </c>
      <c r="L116" s="10"/>
    </row>
    <row r="117" spans="1:12" ht="15.75" thickTop="1" x14ac:dyDescent="0.25">
      <c r="A117" s="3" t="s">
        <v>113</v>
      </c>
      <c r="B117" s="3"/>
      <c r="C117" s="16"/>
      <c r="D117" s="3"/>
      <c r="E117" s="90"/>
      <c r="F117" s="10"/>
      <c r="G117" s="10"/>
      <c r="H117" s="10"/>
      <c r="I117" s="10"/>
      <c r="J117" s="10"/>
      <c r="K117" s="10"/>
      <c r="L117" s="10"/>
    </row>
    <row r="118" spans="1:12" x14ac:dyDescent="0.25">
      <c r="A118" s="3" t="s">
        <v>113</v>
      </c>
      <c r="B118" s="16" t="s">
        <v>86</v>
      </c>
      <c r="C118" s="3">
        <v>9</v>
      </c>
      <c r="D118" s="3">
        <v>10</v>
      </c>
      <c r="E118" s="91" t="s">
        <v>13</v>
      </c>
      <c r="F118" s="10"/>
      <c r="G118" s="10"/>
      <c r="H118" s="10" t="s">
        <v>24</v>
      </c>
      <c r="I118" s="10" t="s">
        <v>24</v>
      </c>
      <c r="J118" s="10"/>
      <c r="K118" s="10" t="s">
        <v>24</v>
      </c>
      <c r="L118" s="10"/>
    </row>
    <row r="119" spans="1:12" x14ac:dyDescent="0.25">
      <c r="A119" s="3" t="s">
        <v>113</v>
      </c>
      <c r="B119" s="3"/>
      <c r="C119" s="16"/>
      <c r="D119" s="3"/>
      <c r="E119" s="92"/>
      <c r="F119" s="10"/>
      <c r="G119" s="10"/>
      <c r="H119" s="10"/>
      <c r="I119" s="10"/>
      <c r="J119" s="10"/>
      <c r="K119" s="10"/>
      <c r="L119" s="10"/>
    </row>
    <row r="120" spans="1:12" x14ac:dyDescent="0.25">
      <c r="A120" s="3" t="s">
        <v>113</v>
      </c>
      <c r="B120" s="16" t="s">
        <v>118</v>
      </c>
      <c r="C120" s="3">
        <v>10</v>
      </c>
      <c r="D120" s="3">
        <v>11</v>
      </c>
      <c r="E120" s="91" t="s">
        <v>13</v>
      </c>
      <c r="F120" s="10"/>
      <c r="G120" s="10"/>
      <c r="H120" s="10" t="s">
        <v>24</v>
      </c>
      <c r="I120" s="10" t="s">
        <v>24</v>
      </c>
      <c r="J120" s="10"/>
      <c r="K120" s="10" t="s">
        <v>24</v>
      </c>
      <c r="L120" s="10"/>
    </row>
    <row r="121" spans="1:12" x14ac:dyDescent="0.25">
      <c r="A121" s="3" t="s">
        <v>113</v>
      </c>
      <c r="B121" s="3"/>
      <c r="C121" s="16"/>
      <c r="D121" s="3"/>
      <c r="E121" s="74"/>
      <c r="F121" s="10"/>
      <c r="G121" s="10"/>
      <c r="H121" s="10"/>
      <c r="I121" s="10"/>
      <c r="J121" s="10"/>
      <c r="K121" s="10"/>
      <c r="L121" s="10"/>
    </row>
    <row r="122" spans="1:12" x14ac:dyDescent="0.25">
      <c r="A122" s="3" t="s">
        <v>113</v>
      </c>
      <c r="B122" s="93" t="s">
        <v>119</v>
      </c>
      <c r="C122" s="3">
        <v>11</v>
      </c>
      <c r="D122" s="68">
        <v>12</v>
      </c>
      <c r="E122" s="94" t="s">
        <v>13</v>
      </c>
      <c r="F122" s="71"/>
      <c r="G122" s="71"/>
      <c r="H122" s="71" t="s">
        <v>24</v>
      </c>
      <c r="I122" s="71" t="s">
        <v>24</v>
      </c>
      <c r="J122" s="71"/>
      <c r="K122" s="71" t="s">
        <v>24</v>
      </c>
      <c r="L122" s="71"/>
    </row>
    <row r="123" spans="1:12" x14ac:dyDescent="0.25">
      <c r="A123" s="3" t="s">
        <v>113</v>
      </c>
      <c r="B123" s="3"/>
      <c r="C123" s="16"/>
      <c r="D123" s="3"/>
      <c r="E123" s="95"/>
      <c r="F123" s="10"/>
      <c r="G123" s="10"/>
      <c r="H123" s="10"/>
      <c r="I123" s="10"/>
      <c r="J123" s="10"/>
      <c r="K123" s="10"/>
      <c r="L123" s="10"/>
    </row>
    <row r="124" spans="1:12" ht="15.75" thickBot="1" x14ac:dyDescent="0.3">
      <c r="A124" s="3" t="s">
        <v>113</v>
      </c>
      <c r="B124" s="16" t="s">
        <v>120</v>
      </c>
      <c r="C124" s="3">
        <v>12</v>
      </c>
      <c r="D124" s="3">
        <v>13</v>
      </c>
      <c r="E124" s="96" t="s">
        <v>13</v>
      </c>
      <c r="F124" s="10"/>
      <c r="G124" s="10"/>
      <c r="H124" s="10" t="s">
        <v>24</v>
      </c>
      <c r="I124" s="10" t="s">
        <v>24</v>
      </c>
      <c r="J124" s="10"/>
      <c r="K124" s="10" t="s">
        <v>24</v>
      </c>
      <c r="L124" s="10"/>
    </row>
    <row r="125" spans="1:12" ht="15.75" thickTop="1" x14ac:dyDescent="0.25">
      <c r="A125" s="6" t="s">
        <v>121</v>
      </c>
      <c r="B125" s="7" t="s">
        <v>1</v>
      </c>
      <c r="C125" s="7"/>
      <c r="D125" s="6">
        <v>0</v>
      </c>
      <c r="E125" s="14"/>
      <c r="F125" s="7"/>
      <c r="G125" s="7"/>
      <c r="H125" s="7"/>
      <c r="I125" s="7"/>
      <c r="J125" s="7"/>
      <c r="K125" s="7"/>
      <c r="L125" s="7"/>
    </row>
    <row r="126" spans="1:12" x14ac:dyDescent="0.25">
      <c r="A126" s="3" t="s">
        <v>121</v>
      </c>
      <c r="B126" s="3" t="s">
        <v>122</v>
      </c>
      <c r="C126" s="3"/>
      <c r="D126" s="3">
        <v>0</v>
      </c>
      <c r="E126" s="87" t="s">
        <v>123</v>
      </c>
      <c r="F126" s="10"/>
      <c r="G126" s="10"/>
      <c r="H126" s="10"/>
      <c r="I126" s="10"/>
      <c r="J126" s="10"/>
      <c r="K126" s="10"/>
      <c r="L126" s="10"/>
    </row>
    <row r="127" spans="1:12" x14ac:dyDescent="0.25">
      <c r="A127" s="3" t="s">
        <v>121</v>
      </c>
      <c r="B127" s="16" t="s">
        <v>77</v>
      </c>
      <c r="C127" s="3">
        <v>0</v>
      </c>
      <c r="D127" s="3">
        <v>1</v>
      </c>
      <c r="E127" s="97" t="s">
        <v>13</v>
      </c>
      <c r="F127" s="10"/>
      <c r="G127" s="10"/>
      <c r="H127" s="10" t="s">
        <v>24</v>
      </c>
      <c r="I127" s="10" t="s">
        <v>24</v>
      </c>
      <c r="J127" s="10"/>
      <c r="K127" s="10" t="s">
        <v>24</v>
      </c>
      <c r="L127" s="10"/>
    </row>
    <row r="128" spans="1:12" x14ac:dyDescent="0.25">
      <c r="A128" s="3" t="s">
        <v>121</v>
      </c>
      <c r="B128" s="16" t="s">
        <v>85</v>
      </c>
      <c r="C128" s="3">
        <v>1</v>
      </c>
      <c r="D128" s="3">
        <v>2</v>
      </c>
      <c r="E128" s="98" t="s">
        <v>13</v>
      </c>
      <c r="F128" s="10"/>
      <c r="G128" s="10"/>
      <c r="H128" s="10"/>
      <c r="I128" s="10" t="s">
        <v>24</v>
      </c>
      <c r="J128" s="10"/>
      <c r="K128" s="10" t="s">
        <v>24</v>
      </c>
      <c r="L128" s="10"/>
    </row>
    <row r="129" spans="1:12" x14ac:dyDescent="0.25">
      <c r="A129" s="3" t="s">
        <v>121</v>
      </c>
      <c r="B129" s="16" t="s">
        <v>124</v>
      </c>
      <c r="C129" s="3">
        <v>38</v>
      </c>
      <c r="D129" s="3">
        <v>3</v>
      </c>
      <c r="E129" s="99" t="s">
        <v>13</v>
      </c>
      <c r="F129" s="10"/>
      <c r="G129" s="10"/>
      <c r="H129" s="10"/>
      <c r="I129" s="10" t="s">
        <v>24</v>
      </c>
      <c r="J129" s="10"/>
      <c r="K129" s="10"/>
      <c r="L129" s="10"/>
    </row>
    <row r="130" spans="1:12" x14ac:dyDescent="0.25">
      <c r="A130" s="3" t="s">
        <v>121</v>
      </c>
      <c r="B130" s="16" t="s">
        <v>125</v>
      </c>
      <c r="C130" s="3">
        <v>39</v>
      </c>
      <c r="D130" s="3">
        <v>4</v>
      </c>
      <c r="E130" s="99" t="s">
        <v>13</v>
      </c>
      <c r="F130" s="10"/>
      <c r="G130" s="10"/>
      <c r="H130" s="10"/>
      <c r="I130" s="10" t="s">
        <v>24</v>
      </c>
      <c r="J130" s="10"/>
      <c r="K130" s="10"/>
      <c r="L130" s="10"/>
    </row>
    <row r="131" spans="1:12" x14ac:dyDescent="0.25">
      <c r="A131" s="3" t="s">
        <v>121</v>
      </c>
      <c r="B131" s="16" t="s">
        <v>126</v>
      </c>
      <c r="C131" s="3">
        <v>36</v>
      </c>
      <c r="D131" s="3">
        <v>5</v>
      </c>
      <c r="E131" s="87" t="s">
        <v>13</v>
      </c>
      <c r="F131" s="10"/>
      <c r="G131" s="10"/>
      <c r="H131" s="10"/>
      <c r="I131" s="10" t="s">
        <v>24</v>
      </c>
      <c r="J131" s="10"/>
      <c r="K131" s="10"/>
      <c r="L131" s="10"/>
    </row>
    <row r="132" spans="1:12" x14ac:dyDescent="0.25">
      <c r="A132" s="3" t="s">
        <v>121</v>
      </c>
      <c r="B132" s="16" t="s">
        <v>127</v>
      </c>
      <c r="C132" s="3">
        <v>37</v>
      </c>
      <c r="D132" s="3">
        <v>6</v>
      </c>
      <c r="E132" s="51" t="s">
        <v>13</v>
      </c>
      <c r="F132" s="10"/>
      <c r="G132" s="10"/>
      <c r="H132" s="10"/>
      <c r="I132" s="10" t="s">
        <v>24</v>
      </c>
      <c r="J132" s="10"/>
      <c r="K132" s="10"/>
      <c r="L132" s="10"/>
    </row>
    <row r="133" spans="1:12" ht="30" x14ac:dyDescent="0.25">
      <c r="A133" s="3" t="s">
        <v>121</v>
      </c>
      <c r="B133" s="16" t="s">
        <v>128</v>
      </c>
      <c r="C133" s="3">
        <v>40</v>
      </c>
      <c r="D133" s="3">
        <v>7</v>
      </c>
      <c r="E133" s="100" t="s">
        <v>13</v>
      </c>
      <c r="F133" s="10"/>
      <c r="G133" s="10"/>
      <c r="H133" s="10" t="s">
        <v>24</v>
      </c>
      <c r="I133" s="10"/>
      <c r="J133" s="10"/>
      <c r="K133" s="10" t="s">
        <v>24</v>
      </c>
      <c r="L133" s="10"/>
    </row>
    <row r="134" spans="1:12" ht="30" x14ac:dyDescent="0.25">
      <c r="A134" s="3" t="s">
        <v>121</v>
      </c>
      <c r="B134" s="16" t="s">
        <v>129</v>
      </c>
      <c r="C134" s="3">
        <v>41</v>
      </c>
      <c r="D134" s="3">
        <v>8</v>
      </c>
      <c r="E134" s="87" t="s">
        <v>13</v>
      </c>
      <c r="F134" s="10"/>
      <c r="G134" s="10"/>
      <c r="H134" s="10" t="s">
        <v>24</v>
      </c>
      <c r="I134" s="10"/>
      <c r="J134" s="10"/>
      <c r="K134" s="10" t="s">
        <v>24</v>
      </c>
      <c r="L134" s="10"/>
    </row>
    <row r="135" spans="1:12" ht="30" x14ac:dyDescent="0.25">
      <c r="A135" s="3" t="s">
        <v>121</v>
      </c>
      <c r="B135" s="16" t="s">
        <v>130</v>
      </c>
      <c r="C135" s="3">
        <v>42</v>
      </c>
      <c r="D135" s="3">
        <v>9</v>
      </c>
      <c r="E135" s="101" t="s">
        <v>13</v>
      </c>
      <c r="F135" s="10"/>
      <c r="G135" s="10"/>
      <c r="H135" s="10"/>
      <c r="I135" s="10"/>
      <c r="J135" s="10"/>
      <c r="K135" s="10" t="s">
        <v>24</v>
      </c>
      <c r="L135" s="10"/>
    </row>
  </sheetData>
  <mergeCells count="4">
    <mergeCell ref="A5:L5"/>
    <mergeCell ref="A4:L4"/>
    <mergeCell ref="A1:R1"/>
    <mergeCell ref="A2:R2"/>
  </mergeCells>
  <dataValidations count="12">
    <dataValidation allowBlank="1" showInputMessage="1" showErrorMessage="1" promptTitle="Format" prompt="For objects like pictures, enter file's name_x000a_For numbers, enter formatted number w/font, fill &amp; borders_x000a_For characters, enter &quot;Font&quot; w/applied font, fill, &amp; borders_x000a_For charts, enter formatted element number_x000a_Leave blank to not apply formats to an item." sqref="E7:E135" xr:uid="{BCAC5EBD-0315-4F76-8657-EA5EF57E583C}"/>
    <dataValidation allowBlank="1" showInputMessage="1" showErrorMessage="1" promptTitle="Type" prompt="TableStyle Element Type applies only to Table Styles (Tables, Pivots, Slicers, and TImelines). Th e value comes from Excel enumeration xlTableStyleElementType._x000a_" sqref="C7:C135" xr:uid="{D6D3AC06-68C4-47E1-A1E9-F36C765469CC}"/>
    <dataValidation type="whole" operator="greaterThanOrEqual" allowBlank="1" showInputMessage="1" showErrorMessage="1" errorTitle="Set" error="Select from list" promptTitle="Sequence" prompt="Display sequence" sqref="D7:D135" xr:uid="{A97E1EE8-8EB9-4E00-864E-FA5B708108D3}">
      <formula1>0</formula1>
    </dataValidation>
    <dataValidation type="list" allowBlank="1" showInputMessage="1" showErrorMessage="1" errorTitle="Set" error="Select from list" promptTitle="Set" prompt="Format set" sqref="A7:A135" xr:uid="{4E6EB0C5-886A-4277-8DCB-744074B53BEF}">
      <formula1>"Headings,Accents,Data,Numbers,Objects,Charts,Forms,Tables,Pivots,Slicers,Timelines"</formula1>
    </dataValidation>
    <dataValidation type="list" allowBlank="1" showInputMessage="1" showErrorMessage="1" promptTitle="Style" prompt="Y=This entry is a Style" sqref="F81:F82 F105:F110 F7:F63" xr:uid="{DBCBAD7D-435D-449B-96F8-DF4DE3F6F7D4}">
      <formula1>"Y"</formula1>
    </dataValidation>
    <dataValidation type="list" allowBlank="1" showInputMessage="1" showErrorMessage="1" promptTitle="Include Fill and Pattern" prompt="Enter &quot;Y&quot; only where the style should alter cell fill and pattern" sqref="K105 K81 K7:K61" xr:uid="{A621DBA9-3057-46C1-8D1D-379928D310A4}">
      <formula1>"Y"</formula1>
    </dataValidation>
    <dataValidation type="list" allowBlank="1" showInputMessage="1" showErrorMessage="1" promptTitle="Include Number Format" prompt="Enter &quot;Y&quot; only where the style should alter cell number format" sqref="J105 J81 J7:J61" xr:uid="{83B3B9ED-0FAD-40A2-AD2E-5532A28FFC0B}">
      <formula1>"Y"</formula1>
    </dataValidation>
    <dataValidation type="list" allowBlank="1" showInputMessage="1" showErrorMessage="1" promptTitle="Include Font" prompt="Enter &quot;Y&quot; only where the style should alter cell font" sqref="I105 I81 I7:I61" xr:uid="{7037A778-A643-499C-B5CD-15E48EAA9D24}">
      <formula1>"Y"</formula1>
    </dataValidation>
    <dataValidation type="list" allowBlank="1" showInputMessage="1" showErrorMessage="1" promptTitle="Include Borders" prompt="Enter &quot;Y&quot; only where the style should alter cell borders_x000a_" sqref="H105 H81 H7:H61" xr:uid="{6BBAE685-98DE-4E97-AB0C-BEF4A6513BF4}">
      <formula1>"Y"</formula1>
    </dataValidation>
    <dataValidation type="list" allowBlank="1" showInputMessage="1" showErrorMessage="1" promptTitle="Include Alignment" prompt="Enter &quot;Y&quot; only where the style should alter cell alignments" sqref="G81:G82 G105:G110 G7:G63" xr:uid="{886EFCA5-1377-4988-9F8B-21C2F3F0B09D}">
      <formula1>"Y"</formula1>
    </dataValidation>
    <dataValidation allowBlank="1" showInputMessage="1" showErrorMessage="1" promptTitle="Name" prompt="Keep existing names.  Add additional style names if desired_x000a_" sqref="B81:B82 B105:B110 B7:B62" xr:uid="{612CA117-5946-43D9-85BF-D3EC517F91A1}"/>
    <dataValidation type="list" allowBlank="1" showInputMessage="1" showErrorMessage="1" promptTitle="Include Protection" prompt="Blank=Do not alter protection with this style_x000a_U=UnLock/Unprotect cell (allow data entry)_x000a_L= Lock/Protect cell" sqref="L38 L57:L60 L82 L44:L45 L62:L63 L106:L110 L7:L13 L15:L28 L52:L55 L47:L48 L30:L36" xr:uid="{CA217AEA-6828-424F-8FA3-A7C756D86FD1}">
      <formula1>"L,U"</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27DB-A044-4E3C-92AE-B0DDB991CE4C}">
  <sheetPr codeName="Sheet6">
    <tabColor rgb="FF1F4E79"/>
  </sheetPr>
  <dimension ref="A1:Q24"/>
  <sheetViews>
    <sheetView showGridLines="0" workbookViewId="0">
      <selection activeCell="A1" sqref="A1"/>
    </sheetView>
  </sheetViews>
  <sheetFormatPr defaultRowHeight="15" x14ac:dyDescent="0.25"/>
  <cols>
    <col min="1" max="1" width="12.7109375" bestFit="1" customWidth="1"/>
    <col min="2" max="2" width="11.7109375" customWidth="1"/>
    <col min="3" max="3" width="6.7109375" bestFit="1" customWidth="1"/>
    <col min="5" max="5" width="5.7109375" bestFit="1" customWidth="1"/>
    <col min="6" max="29" width="11.42578125" bestFit="1" customWidth="1"/>
  </cols>
  <sheetData>
    <row r="1" spans="1:17" ht="45.75" x14ac:dyDescent="0.65">
      <c r="A1" s="270" t="str">
        <f>_xlfn.TEXTAFTER(CELL("filename",A1),"]")</f>
        <v>nabla.d.CountDOWλ</v>
      </c>
      <c r="B1" s="270"/>
      <c r="C1" s="270"/>
      <c r="D1" s="270"/>
      <c r="E1" s="270"/>
      <c r="F1" s="270"/>
      <c r="G1" s="270"/>
      <c r="H1" s="270"/>
      <c r="I1" s="270"/>
      <c r="J1" s="270"/>
      <c r="K1" s="270"/>
      <c r="L1" s="270"/>
      <c r="M1" s="270"/>
      <c r="N1" s="112"/>
    </row>
    <row r="2" spans="1:17" x14ac:dyDescent="0.25">
      <c r="A2" s="273" t="s">
        <v>195</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c r="L3" s="104"/>
      <c r="M3" s="104"/>
      <c r="N3" s="104"/>
    </row>
    <row r="4" spans="1:17" x14ac:dyDescent="0.25">
      <c r="A4" s="131" t="str" cm="1">
        <f t="array" ref="A4:B13">nabla.d.CountDOWλ()</f>
        <v>FUNCTION:</v>
      </c>
      <c r="B4" t="str">
        <v>CountDOWλ(Starts, Ends, DayOfWeek)</v>
      </c>
    </row>
    <row r="5" spans="1:17" x14ac:dyDescent="0.25">
      <c r="A5" t="str">
        <v>DESCRIPTION:</v>
      </c>
      <c r="B5" t="str">
        <v>Count instances of a specific day of the week between two dates.</v>
      </c>
    </row>
    <row r="6" spans="1:17" x14ac:dyDescent="0.25">
      <c r="A6" t="str">
        <v>WEBSITE:</v>
      </c>
      <c r="B6" t="str">
        <v>https://github.com/ryanduguid/Nabla</v>
      </c>
    </row>
    <row r="7" spans="1:17" x14ac:dyDescent="0.25">
      <c r="A7" t="str">
        <v>PARAMETERS:</v>
      </c>
      <c r="B7" t="str">
        <v/>
      </c>
    </row>
    <row r="8" spans="1:17" x14ac:dyDescent="0.25">
      <c r="A8" t="str">
        <v>Starts</v>
      </c>
      <c r="B8" t="str">
        <v>(Required) One of more start dates (text or numeric) in a row or column</v>
      </c>
    </row>
    <row r="9" spans="1:17" x14ac:dyDescent="0.25">
      <c r="A9" t="str">
        <v>Ends</v>
      </c>
      <c r="B9" t="str">
        <v>(Required) End dates (text or numeric) for each start date</v>
      </c>
    </row>
    <row r="10" spans="1:17" x14ac:dyDescent="0.25">
      <c r="A10" t="str">
        <v>DayOfWeek</v>
      </c>
      <c r="B10" t="str">
        <v>(Required) 1=Sunday, 7=Saturday.</v>
      </c>
    </row>
    <row r="11" spans="1:17" x14ac:dyDescent="0.25">
      <c r="A11" t="str">
        <v>EXAMPLES:</v>
      </c>
      <c r="B11" t="str">
        <v/>
      </c>
    </row>
    <row r="12" spans="1:17" x14ac:dyDescent="0.25">
      <c r="A12" t="str">
        <v>Result</v>
      </c>
      <c r="B12" t="str">
        <v>Formula (nabla.d is assumed to be the module's name)</v>
      </c>
    </row>
    <row r="13" spans="1:17" x14ac:dyDescent="0.25">
      <c r="A13" t="str">
        <v>2</v>
      </c>
      <c r="B13" t="str">
        <v>=nabla.d.CountDOWλ("22/3/2012", "10/4/2012", 1)</v>
      </c>
    </row>
    <row r="18" spans="1:17" x14ac:dyDescent="0.25">
      <c r="E18" s="127" t="s">
        <v>150</v>
      </c>
      <c r="F18" s="128" cm="1">
        <f t="array" ref="F18:Q18">nabla.d.Timelineλ($B$21,$B$22,$B$23)</f>
        <v>45292</v>
      </c>
      <c r="G18" s="128">
        <v>46388</v>
      </c>
      <c r="H18" s="128">
        <v>46753</v>
      </c>
      <c r="I18" s="128">
        <v>47119</v>
      </c>
      <c r="J18" s="128">
        <v>47484</v>
      </c>
      <c r="K18" s="128">
        <v>47849</v>
      </c>
      <c r="L18" s="128">
        <v>48214</v>
      </c>
      <c r="M18" s="128">
        <v>48580</v>
      </c>
      <c r="N18" s="128">
        <v>48945</v>
      </c>
      <c r="O18" s="128">
        <v>49310</v>
      </c>
      <c r="P18" s="128">
        <v>49675</v>
      </c>
      <c r="Q18" s="128">
        <v>50041</v>
      </c>
    </row>
    <row r="19" spans="1:17" x14ac:dyDescent="0.25">
      <c r="A19" s="115" t="s">
        <v>137</v>
      </c>
      <c r="B19" s="116" t="s">
        <v>138</v>
      </c>
      <c r="C19" s="115" t="s">
        <v>139</v>
      </c>
      <c r="E19" s="126" t="s">
        <v>151</v>
      </c>
      <c r="F19" s="129" cm="1">
        <f t="array" ref="F19:Q19">nabla.d.Timelineλ($B$21,$B$22,$B$23,FALSE)</f>
        <v>45657</v>
      </c>
      <c r="G19" s="129">
        <v>46752</v>
      </c>
      <c r="H19" s="129">
        <v>47118</v>
      </c>
      <c r="I19" s="129">
        <v>47483</v>
      </c>
      <c r="J19" s="129">
        <v>47848</v>
      </c>
      <c r="K19" s="129">
        <v>48213</v>
      </c>
      <c r="L19" s="129">
        <v>48579</v>
      </c>
      <c r="M19" s="129">
        <v>48944</v>
      </c>
      <c r="N19" s="129">
        <v>49309</v>
      </c>
      <c r="O19" s="129">
        <v>49674</v>
      </c>
      <c r="P19" s="129">
        <v>50040</v>
      </c>
      <c r="Q19" s="129">
        <v>50405</v>
      </c>
    </row>
    <row r="20" spans="1:17" x14ac:dyDescent="0.25">
      <c r="A20" s="2" t="s">
        <v>149</v>
      </c>
      <c r="F20" s="130" cm="1">
        <f t="array" ref="F20:Q20">nabla.d.CountDOWλ(_xlfn.ANCHORARRAY( F18),_xlfn.ANCHORARRAY( F19), $B$24)</f>
        <v>52</v>
      </c>
      <c r="G20">
        <v>52</v>
      </c>
      <c r="H20">
        <v>52</v>
      </c>
      <c r="I20">
        <v>52</v>
      </c>
      <c r="J20">
        <v>53</v>
      </c>
      <c r="K20">
        <v>52</v>
      </c>
      <c r="L20">
        <v>52</v>
      </c>
      <c r="M20">
        <v>52</v>
      </c>
      <c r="N20">
        <v>52</v>
      </c>
      <c r="O20">
        <v>52</v>
      </c>
      <c r="P20">
        <v>53</v>
      </c>
      <c r="Q20">
        <v>52</v>
      </c>
    </row>
    <row r="21" spans="1:17" x14ac:dyDescent="0.25">
      <c r="A21" s="121" t="s">
        <v>150</v>
      </c>
      <c r="B21" s="119">
        <v>46023</v>
      </c>
      <c r="C21" t="s">
        <v>145</v>
      </c>
    </row>
    <row r="22" spans="1:17" x14ac:dyDescent="0.25">
      <c r="A22" s="121" t="s">
        <v>141</v>
      </c>
      <c r="B22" s="122">
        <v>12</v>
      </c>
      <c r="C22" t="s">
        <v>145</v>
      </c>
    </row>
    <row r="23" spans="1:17" x14ac:dyDescent="0.25">
      <c r="A23" s="121" t="s">
        <v>142</v>
      </c>
      <c r="B23" s="118" t="s">
        <v>24</v>
      </c>
      <c r="C23" t="s">
        <v>153</v>
      </c>
    </row>
    <row r="24" spans="1:17" x14ac:dyDescent="0.25">
      <c r="A24" s="2" t="s">
        <v>152</v>
      </c>
      <c r="B24" s="123">
        <f>MATCH(C24,{"Sunday","Monday","Tuesday","Wednesday","Thursday","Friday","Saturday"},0)</f>
        <v>1</v>
      </c>
      <c r="C24" s="124" t="s">
        <v>219</v>
      </c>
    </row>
  </sheetData>
  <mergeCells count="2">
    <mergeCell ref="A1:M1"/>
    <mergeCell ref="A2:Q2"/>
  </mergeCells>
  <conditionalFormatting sqref="F18:NA18">
    <cfRule type="cellIs" dxfId="22" priority="1" stopIfTrue="1" operator="lessThan">
      <formula>0</formula>
    </cfRule>
    <cfRule type="notContainsBlanks" dxfId="21" priority="2" stopIfTrue="1">
      <formula>LEN(TRIM(F18))&gt;0</formula>
    </cfRule>
  </conditionalFormatting>
  <conditionalFormatting sqref="F19:NA19">
    <cfRule type="cellIs" dxfId="20" priority="3" stopIfTrue="1" operator="lessThan">
      <formula>0</formula>
    </cfRule>
    <cfRule type="notContainsBlanks" dxfId="19" priority="4" stopIfTrue="1">
      <formula>LEN(TRIM(F19))&gt;0</formula>
    </cfRule>
  </conditionalFormatting>
  <dataValidations count="2">
    <dataValidation type="list" allowBlank="1" showInputMessage="1" showErrorMessage="1" sqref="C24" xr:uid="{9A51AD48-68F6-4B03-88B0-1D31202975CC}">
      <formula1>"Sunday,Monday,Tuesday,Wednesday,Thursday,Friday,Saturday"</formula1>
    </dataValidation>
    <dataValidation type="list" allowBlank="1" showInputMessage="1" showErrorMessage="1" sqref="B23" xr:uid="{58B3ECC8-973C-449D-B45F-731043B0F9D7}">
      <formula1>"M,Q,Y"</formula1>
    </dataValidation>
  </dataValidations>
  <hyperlinks>
    <hyperlink ref="A1" location="'TOC'!$A$1" display="'TOC'!$A$1" xr:uid="{338CA192-682F-48D1-890B-DEDF583C25B1}"/>
  </hyperlinks>
  <pageMargins left="0.7" right="0.7" top="0.75" bottom="0.75" header="0.3" footer="0.3"/>
  <customProperties>
    <customPr name="Description" r:id="rId1"/>
  </customPropertie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DE1DD-EDE0-4712-AB77-8E9D8B4EDF17}">
  <sheetPr codeName="Sheet10">
    <tabColor rgb="FF1F4E79"/>
  </sheetPr>
  <dimension ref="A1:Q34"/>
  <sheetViews>
    <sheetView showGridLines="0" workbookViewId="0">
      <selection activeCell="A1" sqref="A1"/>
    </sheetView>
  </sheetViews>
  <sheetFormatPr defaultRowHeight="15" x14ac:dyDescent="0.25"/>
  <cols>
    <col min="1" max="1" width="13.7109375" bestFit="1" customWidth="1"/>
    <col min="2" max="2" width="12.42578125" customWidth="1"/>
    <col min="3" max="3" width="5.85546875" bestFit="1" customWidth="1"/>
    <col min="5" max="5" width="5.7109375" bestFit="1" customWidth="1"/>
    <col min="6" max="7" width="11.42578125" bestFit="1" customWidth="1"/>
    <col min="8" max="8" width="11.7109375" bestFit="1" customWidth="1"/>
    <col min="9" max="9" width="11.28515625" customWidth="1"/>
    <col min="10" max="10" width="12.140625" bestFit="1" customWidth="1"/>
    <col min="11" max="29" width="11.42578125" bestFit="1" customWidth="1"/>
  </cols>
  <sheetData>
    <row r="1" spans="1:17" ht="45.75" x14ac:dyDescent="0.65">
      <c r="A1" s="270" t="str">
        <f>_xlfn.TEXTAFTER(CELL("filename",A1),"]")</f>
        <v>nabla.d.IsBetweenλ</v>
      </c>
      <c r="B1" s="270"/>
      <c r="C1" s="270"/>
      <c r="D1" s="270"/>
      <c r="E1" s="270"/>
      <c r="F1" s="270"/>
      <c r="G1" s="270"/>
      <c r="H1" s="270"/>
      <c r="I1" s="270"/>
      <c r="J1" s="270"/>
      <c r="K1" s="270"/>
      <c r="L1" s="270"/>
      <c r="M1" s="270"/>
      <c r="N1" s="112"/>
    </row>
    <row r="2" spans="1:17" x14ac:dyDescent="0.25">
      <c r="A2" s="273" t="s">
        <v>196</v>
      </c>
      <c r="B2" s="274"/>
      <c r="C2" s="274"/>
      <c r="D2" s="274"/>
      <c r="E2" s="274"/>
      <c r="F2" s="274"/>
      <c r="G2" s="274"/>
      <c r="H2" s="274"/>
      <c r="I2" s="274"/>
      <c r="J2" s="274"/>
      <c r="K2" s="274"/>
      <c r="L2" s="274"/>
      <c r="M2" s="274"/>
      <c r="N2" s="274"/>
      <c r="O2" s="274"/>
      <c r="P2" s="274"/>
      <c r="Q2" s="274"/>
    </row>
    <row r="3" spans="1:17" x14ac:dyDescent="0.25">
      <c r="A3" s="239"/>
      <c r="B3" s="240"/>
      <c r="C3" s="240"/>
      <c r="D3" s="240"/>
      <c r="E3" s="240"/>
      <c r="F3" s="240"/>
      <c r="G3" s="240"/>
      <c r="H3" s="240"/>
      <c r="I3" s="240"/>
      <c r="J3" s="240"/>
      <c r="K3" s="240"/>
      <c r="L3" s="240"/>
      <c r="M3" s="240"/>
      <c r="N3" s="240"/>
      <c r="O3" s="240"/>
      <c r="P3" s="240"/>
      <c r="Q3" s="240"/>
    </row>
    <row r="4" spans="1:17" x14ac:dyDescent="0.25">
      <c r="A4" s="162" t="str" cm="1">
        <f t="array" ref="A4:B16">nabla.d.IsBetweenλ()</f>
        <v>FUNCTION:</v>
      </c>
      <c r="B4" t="str">
        <v>IsBetweenλ(Values, Low, High, [Inclusive])</v>
      </c>
    </row>
    <row r="5" spans="1:17" x14ac:dyDescent="0.25">
      <c r="A5" t="str">
        <v>DESCRIPTION:</v>
      </c>
      <c r="B5" t="str">
        <v>Determine if a value is between a lower and upper limit.</v>
      </c>
    </row>
    <row r="6" spans="1:17" x14ac:dyDescent="0.25">
      <c r="A6" t="str">
        <v>WEBSITE:</v>
      </c>
      <c r="B6" t="str">
        <v>https://github.com/ryanduguid/Nabla</v>
      </c>
    </row>
    <row r="7" spans="1:17" x14ac:dyDescent="0.25">
      <c r="A7" t="str">
        <v>PARAMETERS:</v>
      </c>
      <c r="B7" t="str">
        <v/>
      </c>
    </row>
    <row r="8" spans="1:17" x14ac:dyDescent="0.25">
      <c r="A8" t="str">
        <v>Values</v>
      </c>
      <c r="B8" t="str">
        <v>(Required) one or more values to compare.</v>
      </c>
    </row>
    <row r="9" spans="1:17" x14ac:dyDescent="0.25">
      <c r="A9" t="str">
        <v>Low</v>
      </c>
      <c r="B9" t="str">
        <v>(Required) The lower limit that the value(s) must be greater than</v>
      </c>
    </row>
    <row r="10" spans="1:17" x14ac:dyDescent="0.25">
      <c r="A10" t="str">
        <v>High</v>
      </c>
      <c r="B10" t="str">
        <v>(Required) The higher limit that the value(s) must be less than</v>
      </c>
    </row>
    <row r="11" spans="1:17" x14ac:dyDescent="0.25">
      <c r="A11" t="str">
        <v>Inclusive</v>
      </c>
      <c r="B11" t="str">
        <v>(Optional) TRUE: Value(s) can be equal to Low and/or High (default)</v>
      </c>
    </row>
    <row r="12" spans="1:17" x14ac:dyDescent="0.25">
      <c r="A12" t="str">
        <v>EXAMPLES:</v>
      </c>
      <c r="B12" t="str">
        <v/>
      </c>
    </row>
    <row r="13" spans="1:17" x14ac:dyDescent="0.25">
      <c r="A13" t="str">
        <v>Result</v>
      </c>
      <c r="B13" t="str">
        <v>Formula (nabla.d is assumed to be the module's name)</v>
      </c>
    </row>
    <row r="14" spans="1:17" x14ac:dyDescent="0.25">
      <c r="A14" t="str">
        <v>FALSE</v>
      </c>
      <c r="B14" t="str">
        <v>=nabla.d.IsBetweenλ(1, 2, 4)</v>
      </c>
    </row>
    <row r="15" spans="1:17" x14ac:dyDescent="0.25">
      <c r="A15" t="str">
        <v>TRUE</v>
      </c>
      <c r="B15" t="str">
        <v>=nabla.d.IsBetweenλ(Today(), Today(), Today()+1)</v>
      </c>
    </row>
    <row r="16" spans="1:17" x14ac:dyDescent="0.25">
      <c r="A16" t="str">
        <v>FALSE</v>
      </c>
      <c r="B16" t="str">
        <v>=nabla.d.IsBetweenλ("B", "B", "D", FALSE)</v>
      </c>
    </row>
    <row r="22" spans="1:17" x14ac:dyDescent="0.25">
      <c r="E22" s="127" t="s">
        <v>150</v>
      </c>
      <c r="F22" s="132" cm="1">
        <f t="array" ref="F22:Q22">nabla.d.Timelineλ($B$25,$B$26,$B$27)</f>
        <v>45292</v>
      </c>
      <c r="G22" s="128">
        <v>46054</v>
      </c>
      <c r="H22" s="128">
        <v>46082</v>
      </c>
      <c r="I22" s="128">
        <v>46113</v>
      </c>
      <c r="J22" s="128">
        <v>46143</v>
      </c>
      <c r="K22" s="128">
        <v>46174</v>
      </c>
      <c r="L22" s="128">
        <v>46204</v>
      </c>
      <c r="M22" s="128">
        <v>46235</v>
      </c>
      <c r="N22" s="128">
        <v>46266</v>
      </c>
      <c r="O22" s="128">
        <v>46296</v>
      </c>
      <c r="P22" s="128">
        <v>46327</v>
      </c>
      <c r="Q22" s="128">
        <v>46357</v>
      </c>
    </row>
    <row r="23" spans="1:17" x14ac:dyDescent="0.25">
      <c r="A23" s="115" t="s">
        <v>137</v>
      </c>
      <c r="B23" s="116" t="s">
        <v>138</v>
      </c>
      <c r="C23" s="115" t="s">
        <v>139</v>
      </c>
      <c r="E23" s="126" t="s">
        <v>151</v>
      </c>
      <c r="F23" s="129" cm="1">
        <f t="array" ref="F23:Q23">nabla.d.Timelineλ($B$25,$B$26,$B$27,FALSE)</f>
        <v>45322</v>
      </c>
      <c r="G23" s="129">
        <v>46081</v>
      </c>
      <c r="H23" s="129">
        <v>46112</v>
      </c>
      <c r="I23" s="129">
        <v>46142</v>
      </c>
      <c r="J23" s="129">
        <v>46173</v>
      </c>
      <c r="K23" s="129">
        <v>46203</v>
      </c>
      <c r="L23" s="129">
        <v>46234</v>
      </c>
      <c r="M23" s="129">
        <v>46265</v>
      </c>
      <c r="N23" s="129">
        <v>46295</v>
      </c>
      <c r="O23" s="129">
        <v>46326</v>
      </c>
      <c r="P23" s="129">
        <v>46356</v>
      </c>
      <c r="Q23" s="129">
        <v>46387</v>
      </c>
    </row>
    <row r="24" spans="1:17" x14ac:dyDescent="0.25">
      <c r="A24" s="2" t="s">
        <v>149</v>
      </c>
    </row>
    <row r="25" spans="1:17" x14ac:dyDescent="0.25">
      <c r="A25" s="121" t="s">
        <v>150</v>
      </c>
      <c r="B25" s="119">
        <v>46023</v>
      </c>
      <c r="C25" t="s">
        <v>145</v>
      </c>
    </row>
    <row r="26" spans="1:17" x14ac:dyDescent="0.25">
      <c r="A26" s="121" t="s">
        <v>141</v>
      </c>
      <c r="B26" s="122">
        <v>12</v>
      </c>
      <c r="C26" t="s">
        <v>145</v>
      </c>
    </row>
    <row r="27" spans="1:17" x14ac:dyDescent="0.25">
      <c r="A27" s="121" t="s">
        <v>142</v>
      </c>
      <c r="B27" s="118" t="s">
        <v>144</v>
      </c>
      <c r="C27" t="s">
        <v>153</v>
      </c>
    </row>
    <row r="28" spans="1:17" x14ac:dyDescent="0.25">
      <c r="A28" s="121"/>
      <c r="B28" s="123"/>
    </row>
    <row r="29" spans="1:17" x14ac:dyDescent="0.25">
      <c r="A29" s="2" t="s">
        <v>154</v>
      </c>
      <c r="B29" s="119">
        <v>46068</v>
      </c>
      <c r="C29" t="s">
        <v>145</v>
      </c>
      <c r="F29" s="187" cm="1">
        <f t="array" ref="F29:Q29">N( nabla.d.IsBetweenλ(B29,_xlfn.ANCHORARRAY( $F$22),_xlfn.ANCHORARRAY( $F$23)))</f>
        <v>0</v>
      </c>
      <c r="G29">
        <v>1</v>
      </c>
      <c r="H29">
        <v>0</v>
      </c>
      <c r="I29">
        <v>0</v>
      </c>
      <c r="J29">
        <v>0</v>
      </c>
      <c r="K29">
        <v>0</v>
      </c>
      <c r="L29">
        <v>0</v>
      </c>
      <c r="M29">
        <v>0</v>
      </c>
      <c r="N29">
        <v>0</v>
      </c>
      <c r="O29">
        <v>0</v>
      </c>
      <c r="P29">
        <v>0</v>
      </c>
      <c r="Q29">
        <v>0</v>
      </c>
    </row>
    <row r="31" spans="1:17" x14ac:dyDescent="0.25">
      <c r="A31" s="134" t="s">
        <v>155</v>
      </c>
      <c r="B31" s="119">
        <v>46032</v>
      </c>
      <c r="C31" t="s">
        <v>145</v>
      </c>
      <c r="F31" s="154" cm="1">
        <f t="array" ref="F31:Q34">N( nabla.d.IsBetweenλ(B31:B34,_xlfn.ANCHORARRAY( $F$22),_xlfn.ANCHORARRAY( $F$23)))</f>
        <v>1</v>
      </c>
      <c r="G31">
        <v>0</v>
      </c>
      <c r="H31">
        <v>0</v>
      </c>
      <c r="I31">
        <v>0</v>
      </c>
      <c r="J31">
        <v>0</v>
      </c>
      <c r="K31">
        <v>0</v>
      </c>
      <c r="L31">
        <v>0</v>
      </c>
      <c r="M31">
        <v>0</v>
      </c>
      <c r="N31">
        <v>0</v>
      </c>
      <c r="O31">
        <v>0</v>
      </c>
      <c r="P31">
        <v>0</v>
      </c>
      <c r="Q31">
        <v>0</v>
      </c>
    </row>
    <row r="32" spans="1:17" x14ac:dyDescent="0.25">
      <c r="B32" s="119">
        <v>46091</v>
      </c>
      <c r="C32" t="s">
        <v>145</v>
      </c>
      <c r="F32">
        <v>0</v>
      </c>
      <c r="G32">
        <v>0</v>
      </c>
      <c r="H32">
        <v>1</v>
      </c>
      <c r="I32">
        <v>0</v>
      </c>
      <c r="J32">
        <v>0</v>
      </c>
      <c r="K32">
        <v>0</v>
      </c>
      <c r="L32">
        <v>0</v>
      </c>
      <c r="M32">
        <v>0</v>
      </c>
      <c r="N32">
        <v>0</v>
      </c>
      <c r="O32">
        <v>0</v>
      </c>
      <c r="P32">
        <v>0</v>
      </c>
      <c r="Q32">
        <v>0</v>
      </c>
    </row>
    <row r="33" spans="2:17" x14ac:dyDescent="0.25">
      <c r="B33" s="119">
        <v>46178</v>
      </c>
      <c r="C33" t="s">
        <v>145</v>
      </c>
      <c r="F33">
        <v>0</v>
      </c>
      <c r="G33">
        <v>0</v>
      </c>
      <c r="H33">
        <v>0</v>
      </c>
      <c r="I33">
        <v>0</v>
      </c>
      <c r="J33">
        <v>0</v>
      </c>
      <c r="K33">
        <v>1</v>
      </c>
      <c r="L33">
        <v>0</v>
      </c>
      <c r="M33">
        <v>0</v>
      </c>
      <c r="N33">
        <v>0</v>
      </c>
      <c r="O33">
        <v>0</v>
      </c>
      <c r="P33">
        <v>0</v>
      </c>
      <c r="Q33">
        <v>0</v>
      </c>
    </row>
    <row r="34" spans="2:17" x14ac:dyDescent="0.25">
      <c r="B34" s="119">
        <v>46272</v>
      </c>
      <c r="C34" t="s">
        <v>145</v>
      </c>
      <c r="F34">
        <v>0</v>
      </c>
      <c r="G34">
        <v>0</v>
      </c>
      <c r="H34">
        <v>0</v>
      </c>
      <c r="I34">
        <v>0</v>
      </c>
      <c r="J34">
        <v>0</v>
      </c>
      <c r="K34">
        <v>0</v>
      </c>
      <c r="L34">
        <v>0</v>
      </c>
      <c r="M34">
        <v>0</v>
      </c>
      <c r="N34">
        <v>1</v>
      </c>
      <c r="O34">
        <v>0</v>
      </c>
      <c r="P34">
        <v>0</v>
      </c>
      <c r="Q34">
        <v>0</v>
      </c>
    </row>
  </sheetData>
  <mergeCells count="2">
    <mergeCell ref="A1:M1"/>
    <mergeCell ref="A2:Q2"/>
  </mergeCells>
  <conditionalFormatting sqref="F22:NA22">
    <cfRule type="cellIs" dxfId="18" priority="1" stopIfTrue="1" operator="lessThan">
      <formula>0</formula>
    </cfRule>
    <cfRule type="notContainsBlanks" dxfId="17" priority="2" stopIfTrue="1">
      <formula>LEN(TRIM(F22))&gt;0</formula>
    </cfRule>
  </conditionalFormatting>
  <conditionalFormatting sqref="F23:NA23">
    <cfRule type="cellIs" dxfId="16" priority="3" stopIfTrue="1" operator="lessThan">
      <formula>0</formula>
    </cfRule>
    <cfRule type="notContainsBlanks" dxfId="15" priority="4" stopIfTrue="1">
      <formula>LEN(TRIM(F23))&gt;0</formula>
    </cfRule>
  </conditionalFormatting>
  <dataValidations count="1">
    <dataValidation type="list" allowBlank="1" showInputMessage="1" showErrorMessage="1" sqref="B27:B28" xr:uid="{6F8ECDB6-E7C4-4C8D-AD4C-E241DA0E1F43}">
      <formula1>"M,Q,Y"</formula1>
    </dataValidation>
  </dataValidations>
  <hyperlinks>
    <hyperlink ref="A1" location="'TOC'!$A$1" display="'TOC'!$A$1" xr:uid="{F51E7FBF-BB5E-4BA6-A7E3-C6981710AA0D}"/>
  </hyperlinks>
  <pageMargins left="0.7" right="0.7" top="0.75" bottom="0.75" header="0.3" footer="0.3"/>
  <pageSetup paperSize="9" orientation="portrait" horizontalDpi="360" verticalDpi="360"/>
  <customProperties>
    <customPr name="Description"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35C0-6C46-48A5-8826-26DC32EBF31E}">
  <sheetPr codeName="Sheet11">
    <tabColor rgb="FF1F4E79"/>
  </sheetPr>
  <dimension ref="A1:NH39"/>
  <sheetViews>
    <sheetView showGridLines="0" workbookViewId="0">
      <selection activeCell="A1" sqref="A1"/>
    </sheetView>
  </sheetViews>
  <sheetFormatPr defaultRowHeight="15" x14ac:dyDescent="0.25"/>
  <cols>
    <col min="1" max="1" width="22.28515625" bestFit="1" customWidth="1"/>
    <col min="2" max="2" width="11.140625" customWidth="1"/>
    <col min="3" max="3" width="11.7109375" customWidth="1"/>
    <col min="4" max="5" width="10.5703125" bestFit="1" customWidth="1"/>
    <col min="6" max="6" width="10.5703125" customWidth="1"/>
    <col min="7" max="7" width="15.28515625" bestFit="1" customWidth="1"/>
    <col min="8" max="11" width="10.7109375" bestFit="1" customWidth="1"/>
    <col min="12" max="16" width="10.140625" bestFit="1" customWidth="1"/>
    <col min="17" max="38" width="11.140625" bestFit="1" customWidth="1"/>
    <col min="39" max="47" width="10.28515625" bestFit="1" customWidth="1"/>
    <col min="48" max="67" width="11.28515625" bestFit="1" customWidth="1"/>
    <col min="68" max="76" width="10.7109375" bestFit="1" customWidth="1"/>
    <col min="77" max="98" width="11.7109375" bestFit="1" customWidth="1"/>
    <col min="99" max="107" width="10.28515625" bestFit="1" customWidth="1"/>
    <col min="108" max="128" width="11.28515625" bestFit="1" customWidth="1"/>
    <col min="129" max="137" width="11.140625" bestFit="1" customWidth="1"/>
    <col min="138" max="159" width="12.140625" bestFit="1" customWidth="1"/>
    <col min="160" max="168" width="10.28515625" bestFit="1" customWidth="1"/>
    <col min="169" max="189" width="11.28515625" bestFit="1" customWidth="1"/>
    <col min="190" max="198" width="9.5703125" bestFit="1" customWidth="1"/>
    <col min="199" max="220" width="10.5703125" bestFit="1" customWidth="1"/>
    <col min="221" max="229" width="10.7109375" bestFit="1" customWidth="1"/>
    <col min="230" max="251" width="11.7109375" bestFit="1" customWidth="1"/>
    <col min="252" max="260" width="10.42578125" bestFit="1" customWidth="1"/>
    <col min="261" max="281" width="11.42578125" bestFit="1" customWidth="1"/>
    <col min="282" max="290" width="10.28515625" bestFit="1" customWidth="1"/>
    <col min="291" max="312" width="11.28515625" bestFit="1" customWidth="1"/>
    <col min="313" max="321" width="10.7109375" bestFit="1" customWidth="1"/>
    <col min="322" max="342" width="11.7109375" bestFit="1" customWidth="1"/>
    <col min="343" max="351" width="10.42578125" bestFit="1" customWidth="1"/>
    <col min="352" max="372" width="11.42578125" bestFit="1" customWidth="1"/>
  </cols>
  <sheetData>
    <row r="1" spans="1:16" ht="45.75" x14ac:dyDescent="0.65">
      <c r="A1" s="270" t="str">
        <f>_xlfn.TEXTAFTER(CELL("filename",A1),"]")</f>
        <v>nabla.d.IsOccurrenceDateλ</v>
      </c>
      <c r="B1" s="270"/>
      <c r="C1" s="270"/>
      <c r="D1" s="270"/>
      <c r="E1" s="270"/>
      <c r="F1" s="270"/>
      <c r="G1" s="270"/>
      <c r="H1" s="270"/>
      <c r="I1" s="270"/>
      <c r="J1" s="270"/>
      <c r="K1" s="270"/>
      <c r="L1" s="270"/>
      <c r="M1" s="270"/>
      <c r="N1" s="270"/>
      <c r="O1" s="270"/>
      <c r="P1" s="270"/>
    </row>
    <row r="2" spans="1:16" x14ac:dyDescent="0.25">
      <c r="A2" s="273" t="s">
        <v>197</v>
      </c>
      <c r="B2" s="287"/>
      <c r="C2" s="287"/>
      <c r="D2" s="287"/>
      <c r="E2" s="287"/>
      <c r="F2" s="287"/>
      <c r="G2" s="287"/>
      <c r="H2" s="287"/>
      <c r="I2" s="287"/>
      <c r="J2" s="287"/>
      <c r="K2" s="287"/>
      <c r="L2" s="287"/>
      <c r="M2" s="287"/>
      <c r="N2" s="287"/>
      <c r="O2" s="287"/>
      <c r="P2" s="288"/>
    </row>
    <row r="4" spans="1:16" x14ac:dyDescent="0.25">
      <c r="A4" s="131" t="str" cm="1">
        <f t="array" ref="A4:B28">nabla.d.IsOccurrenceDateλ()</f>
        <v>FUNCTION:</v>
      </c>
      <c r="B4" t="str">
        <v>IsOccurrenceDateλ(Dates, FirstOccurrence, [LastOccurrence], [Repeats])</v>
      </c>
      <c r="K4" t="s">
        <v>248</v>
      </c>
    </row>
    <row r="5" spans="1:16" x14ac:dyDescent="0.25">
      <c r="A5" t="str">
        <v>DESCRIPTION:</v>
      </c>
      <c r="B5" t="str">
        <v>Returns TRUE if a Date is when something happens.</v>
      </c>
    </row>
    <row r="6" spans="1:16" x14ac:dyDescent="0.25">
      <c r="A6" t="str">
        <v/>
      </c>
      <c r="B6" t="str">
        <v>This was developed for budgeting where we have expenses that start,</v>
      </c>
    </row>
    <row r="7" spans="1:16" x14ac:dyDescent="0.25">
      <c r="A7" t="str">
        <v/>
      </c>
      <c r="B7" t="str">
        <v>and sometimes repeat at regular intervals.</v>
      </c>
    </row>
    <row r="8" spans="1:16" x14ac:dyDescent="0.25">
      <c r="A8" t="str">
        <v>WEBSITE:</v>
      </c>
      <c r="B8" t="str">
        <v>https://github.com/ryanduguid/Nabla</v>
      </c>
    </row>
    <row r="9" spans="1:16" x14ac:dyDescent="0.25">
      <c r="A9" t="str">
        <v>PARAMETERS:</v>
      </c>
      <c r="B9" t="str">
        <v/>
      </c>
    </row>
    <row r="10" spans="1:16" x14ac:dyDescent="0.25">
      <c r="A10" t="str">
        <v>Dates</v>
      </c>
      <c r="B10" t="str">
        <v>(Required) Date to test. Normally this is horizontal timeline by day</v>
      </c>
    </row>
    <row r="11" spans="1:16" x14ac:dyDescent="0.25">
      <c r="A11" t="str">
        <v>FirstOccurrence</v>
      </c>
      <c r="B11" t="str">
        <v>(Required) When something that may repeat, happens for the first time.</v>
      </c>
    </row>
    <row r="12" spans="1:16" x14ac:dyDescent="0.25">
      <c r="A12" t="str">
        <v>LastOccurrence</v>
      </c>
      <c r="B12" t="str">
        <v>(Optional) When something that may repeat, happens for the last time.</v>
      </c>
    </row>
    <row r="13" spans="1:16" x14ac:dyDescent="0.25">
      <c r="A13" t="str">
        <v/>
      </c>
      <c r="B13" t="str">
        <v>If omitted, it is assumed repeating items repeat forever.</v>
      </c>
    </row>
    <row r="14" spans="1:16" x14ac:dyDescent="0.25">
      <c r="A14" t="str">
        <v>Repeats</v>
      </c>
      <c r="B14" t="str">
        <v>(Optional) A code that conveys how often this thing repeats. Repeat codes are</v>
      </c>
    </row>
    <row r="15" spans="1:16" x14ac:dyDescent="0.25">
      <c r="A15" t="str">
        <v/>
      </c>
      <c r="B15" t="str">
        <v>O=One time/never repeats (default)</v>
      </c>
    </row>
    <row r="16" spans="1:16" x14ac:dyDescent="0.25">
      <c r="A16" t="str">
        <v/>
      </c>
      <c r="B16" t="str">
        <v>A=Annually</v>
      </c>
    </row>
    <row r="17" spans="1:372" x14ac:dyDescent="0.25">
      <c r="A17" t="str">
        <v/>
      </c>
      <c r="B17" t="str">
        <v>S=Semi-Annually</v>
      </c>
    </row>
    <row r="18" spans="1:372" x14ac:dyDescent="0.25">
      <c r="A18" t="str">
        <v/>
      </c>
      <c r="B18" t="str">
        <v>Q=Quarterly</v>
      </c>
    </row>
    <row r="19" spans="1:372" x14ac:dyDescent="0.25">
      <c r="A19" t="str">
        <v/>
      </c>
      <c r="B19" t="str">
        <v>M=Monthly</v>
      </c>
    </row>
    <row r="20" spans="1:372" x14ac:dyDescent="0.25">
      <c r="A20" t="str">
        <v/>
      </c>
      <c r="B20" t="str">
        <v>B=BiWeekly</v>
      </c>
    </row>
    <row r="21" spans="1:372" x14ac:dyDescent="0.25">
      <c r="A21" t="str">
        <v/>
      </c>
      <c r="B21" t="str">
        <v>W=Weekly</v>
      </c>
    </row>
    <row r="22" spans="1:372" x14ac:dyDescent="0.25">
      <c r="A22" t="str">
        <v/>
      </c>
      <c r="B22" t="str">
        <v>X=Every Workday (Monday to Friday)</v>
      </c>
    </row>
    <row r="23" spans="1:372" x14ac:dyDescent="0.25">
      <c r="A23" t="str">
        <v/>
      </c>
      <c r="B23" t="str">
        <v>D=Daily</v>
      </c>
    </row>
    <row r="24" spans="1:372" x14ac:dyDescent="0.25">
      <c r="A24" t="str">
        <v>EXAMPLES:</v>
      </c>
      <c r="B24" t="str">
        <v/>
      </c>
    </row>
    <row r="25" spans="1:372" x14ac:dyDescent="0.25">
      <c r="A25" t="str">
        <v>Result</v>
      </c>
      <c r="B25" t="str">
        <v>Formula (nabla.d is assumed to be the module's name)</v>
      </c>
    </row>
    <row r="26" spans="1:372" x14ac:dyDescent="0.25">
      <c r="A26" t="str">
        <v>72</v>
      </c>
      <c r="B26" t="str">
        <v>=SUM(N(nabla.d.IsOccurrenceDateλ(SEQUENCE(,90,"1/1/2025"), "1/1/2025", "13/3/2025", "D")))</v>
      </c>
    </row>
    <row r="27" spans="1:372" x14ac:dyDescent="0.25">
      <c r="A27" t="str">
        <v>01</v>
      </c>
      <c r="B27" t="str">
        <v>=SUM(N(nabla.d.IsOccurrenceDateλ(SEQUENCE(,90,"1/1/2025"), "1/1/2025", "13/3/2025", "O")))</v>
      </c>
    </row>
    <row r="28" spans="1:372" x14ac:dyDescent="0.25">
      <c r="A28" t="str">
        <v>11</v>
      </c>
      <c r="B28" t="str">
        <v>=SUM(N(nabla.d.IsOccurrenceDateλ(SEQUENCE(,90,"1/1/2025"), "1/1/2025", "13/3/2025", "W")))</v>
      </c>
    </row>
    <row r="31" spans="1:372" ht="20.25" x14ac:dyDescent="0.3">
      <c r="A31" s="295" t="s">
        <v>220</v>
      </c>
      <c r="B31" s="296"/>
      <c r="C31" s="296"/>
      <c r="D31" s="296"/>
      <c r="E31" s="296"/>
      <c r="F31" s="153"/>
      <c r="G31" s="135" t="s">
        <v>246</v>
      </c>
      <c r="H31" s="157" cm="1">
        <f t="array" ref="H31:NH31">nabla.f.Cumulativeλ(_xlfn.ANCHORARRAY(H32))</f>
        <v>3981</v>
      </c>
      <c r="I31" s="157">
        <v>3962</v>
      </c>
      <c r="J31" s="157">
        <v>3868</v>
      </c>
      <c r="K31" s="157">
        <v>3849</v>
      </c>
      <c r="L31" s="157">
        <v>-670</v>
      </c>
      <c r="M31" s="157">
        <v>-670</v>
      </c>
      <c r="N31" s="157">
        <v>-670</v>
      </c>
      <c r="O31" s="157">
        <v>-689</v>
      </c>
      <c r="P31" s="157">
        <v>-708</v>
      </c>
      <c r="Q31" s="157">
        <v>-1302</v>
      </c>
      <c r="R31" s="157">
        <v>-1321</v>
      </c>
      <c r="S31" s="157">
        <v>-1340</v>
      </c>
      <c r="T31" s="157">
        <v>-1340</v>
      </c>
      <c r="U31" s="157">
        <v>-1340</v>
      </c>
      <c r="V31" s="157">
        <v>4641</v>
      </c>
      <c r="W31" s="157">
        <v>4622</v>
      </c>
      <c r="X31" s="157">
        <v>4528</v>
      </c>
      <c r="Y31" s="157">
        <v>4509</v>
      </c>
      <c r="Z31" s="157">
        <v>4490</v>
      </c>
      <c r="AA31" s="157">
        <v>4490</v>
      </c>
      <c r="AB31" s="157">
        <v>4490</v>
      </c>
      <c r="AC31" s="157">
        <v>4471</v>
      </c>
      <c r="AD31" s="157">
        <v>4452</v>
      </c>
      <c r="AE31" s="157">
        <v>4358</v>
      </c>
      <c r="AF31" s="157">
        <v>4339</v>
      </c>
      <c r="AG31" s="157">
        <v>4320</v>
      </c>
      <c r="AH31" s="157">
        <v>4320</v>
      </c>
      <c r="AI31" s="157">
        <v>4320</v>
      </c>
      <c r="AJ31" s="157">
        <v>10301</v>
      </c>
      <c r="AK31" s="157">
        <v>10282</v>
      </c>
      <c r="AL31" s="157">
        <v>10188</v>
      </c>
      <c r="AM31" s="157">
        <v>10169</v>
      </c>
      <c r="AN31" s="157">
        <v>10150</v>
      </c>
      <c r="AO31" s="157">
        <v>10150</v>
      </c>
      <c r="AP31" s="157">
        <v>10150</v>
      </c>
      <c r="AQ31" s="157">
        <v>5631</v>
      </c>
      <c r="AR31" s="157">
        <v>5612</v>
      </c>
      <c r="AS31" s="157">
        <v>5518</v>
      </c>
      <c r="AT31" s="157">
        <v>5499</v>
      </c>
      <c r="AU31" s="157">
        <v>5480</v>
      </c>
      <c r="AV31" s="157">
        <v>5480</v>
      </c>
      <c r="AW31" s="157">
        <v>5480</v>
      </c>
      <c r="AX31" s="157">
        <v>11461</v>
      </c>
      <c r="AY31" s="157">
        <v>11442</v>
      </c>
      <c r="AZ31" s="157">
        <v>11348</v>
      </c>
      <c r="BA31" s="157">
        <v>11329</v>
      </c>
      <c r="BB31" s="157">
        <v>11310</v>
      </c>
      <c r="BC31" s="157">
        <v>11310</v>
      </c>
      <c r="BD31" s="157">
        <v>11310</v>
      </c>
      <c r="BE31" s="157">
        <v>11291</v>
      </c>
      <c r="BF31" s="157">
        <v>11272</v>
      </c>
      <c r="BG31" s="157">
        <v>11178</v>
      </c>
      <c r="BH31" s="157">
        <v>11159</v>
      </c>
      <c r="BI31" s="157">
        <v>11140</v>
      </c>
      <c r="BJ31" s="157">
        <v>11140</v>
      </c>
      <c r="BK31" s="157">
        <v>11140</v>
      </c>
      <c r="BL31" s="157">
        <v>17121</v>
      </c>
      <c r="BM31" s="157">
        <v>17102</v>
      </c>
      <c r="BN31" s="157">
        <v>17008</v>
      </c>
      <c r="BO31" s="157">
        <v>16989</v>
      </c>
      <c r="BP31" s="157">
        <v>16970</v>
      </c>
      <c r="BQ31" s="157">
        <v>16970</v>
      </c>
      <c r="BR31" s="157">
        <v>16970</v>
      </c>
      <c r="BS31" s="157">
        <v>16951</v>
      </c>
      <c r="BT31" s="157">
        <v>12432</v>
      </c>
      <c r="BU31" s="157">
        <v>12338</v>
      </c>
      <c r="BV31" s="157">
        <v>12319</v>
      </c>
      <c r="BW31" s="157">
        <v>12300</v>
      </c>
      <c r="BX31" s="157">
        <v>12300</v>
      </c>
      <c r="BY31" s="157">
        <v>12300</v>
      </c>
      <c r="BZ31" s="157">
        <v>18281</v>
      </c>
      <c r="CA31" s="157">
        <v>18262</v>
      </c>
      <c r="CB31" s="157">
        <v>18168</v>
      </c>
      <c r="CC31" s="157">
        <v>18149</v>
      </c>
      <c r="CD31" s="157">
        <v>18130</v>
      </c>
      <c r="CE31" s="157">
        <v>18130</v>
      </c>
      <c r="CF31" s="157">
        <v>18130</v>
      </c>
      <c r="CG31" s="157">
        <v>18111</v>
      </c>
      <c r="CH31" s="157">
        <v>18092</v>
      </c>
      <c r="CI31" s="157">
        <v>17998</v>
      </c>
      <c r="CJ31" s="157">
        <v>17979</v>
      </c>
      <c r="CK31" s="157">
        <v>17960</v>
      </c>
      <c r="CL31" s="157">
        <v>17960</v>
      </c>
      <c r="CM31" s="157">
        <v>17960</v>
      </c>
      <c r="CN31" s="157">
        <v>23941</v>
      </c>
      <c r="CO31" s="157">
        <v>23922</v>
      </c>
      <c r="CP31" s="157">
        <v>23828</v>
      </c>
      <c r="CQ31" s="157">
        <v>23809</v>
      </c>
      <c r="CR31" s="157">
        <v>23790</v>
      </c>
      <c r="CS31" s="157">
        <v>23790</v>
      </c>
      <c r="CT31" s="157">
        <v>23790</v>
      </c>
      <c r="CU31" s="157">
        <v>23771</v>
      </c>
      <c r="CV31" s="157">
        <v>23752</v>
      </c>
      <c r="CW31" s="157">
        <v>23658</v>
      </c>
      <c r="CX31" s="157">
        <v>23639</v>
      </c>
      <c r="CY31" s="157">
        <v>19120</v>
      </c>
      <c r="CZ31" s="157">
        <v>19120</v>
      </c>
      <c r="DA31" s="157">
        <v>19120</v>
      </c>
      <c r="DB31" s="157">
        <v>25101</v>
      </c>
      <c r="DC31" s="157">
        <v>25082</v>
      </c>
      <c r="DD31" s="157">
        <v>24488</v>
      </c>
      <c r="DE31" s="157">
        <v>24469</v>
      </c>
      <c r="DF31" s="157">
        <v>24450</v>
      </c>
      <c r="DG31" s="157">
        <v>24450</v>
      </c>
      <c r="DH31" s="157">
        <v>24450</v>
      </c>
      <c r="DI31" s="157">
        <v>24431</v>
      </c>
      <c r="DJ31" s="157">
        <v>24412</v>
      </c>
      <c r="DK31" s="157">
        <v>24318</v>
      </c>
      <c r="DL31" s="157">
        <v>24299</v>
      </c>
      <c r="DM31" s="157">
        <v>24280</v>
      </c>
      <c r="DN31" s="157">
        <v>24280</v>
      </c>
      <c r="DO31" s="157">
        <v>24280</v>
      </c>
      <c r="DP31" s="157">
        <v>30261</v>
      </c>
      <c r="DQ31" s="157">
        <v>30242</v>
      </c>
      <c r="DR31" s="157">
        <v>30148</v>
      </c>
      <c r="DS31" s="157">
        <v>30129</v>
      </c>
      <c r="DT31" s="157">
        <v>30110</v>
      </c>
      <c r="DU31" s="157">
        <v>30110</v>
      </c>
      <c r="DV31" s="157">
        <v>30110</v>
      </c>
      <c r="DW31" s="157">
        <v>30091</v>
      </c>
      <c r="DX31" s="157">
        <v>30072</v>
      </c>
      <c r="DY31" s="157">
        <v>29978</v>
      </c>
      <c r="DZ31" s="157">
        <v>29959</v>
      </c>
      <c r="EA31" s="157">
        <v>29940</v>
      </c>
      <c r="EB31" s="157">
        <v>29940</v>
      </c>
      <c r="EC31" s="157">
        <v>25440</v>
      </c>
      <c r="ED31" s="157">
        <v>31421</v>
      </c>
      <c r="EE31" s="157">
        <v>31402</v>
      </c>
      <c r="EF31" s="157">
        <v>31308</v>
      </c>
      <c r="EG31" s="157">
        <v>31289</v>
      </c>
      <c r="EH31" s="157">
        <v>31270</v>
      </c>
      <c r="EI31" s="157">
        <v>31270</v>
      </c>
      <c r="EJ31" s="157">
        <v>31270</v>
      </c>
      <c r="EK31" s="157">
        <v>31251</v>
      </c>
      <c r="EL31" s="157">
        <v>31232</v>
      </c>
      <c r="EM31" s="157">
        <v>31138</v>
      </c>
      <c r="EN31" s="157">
        <v>31119</v>
      </c>
      <c r="EO31" s="157">
        <v>31100</v>
      </c>
      <c r="EP31" s="157">
        <v>31100</v>
      </c>
      <c r="EQ31" s="157">
        <v>31100</v>
      </c>
      <c r="ER31" s="157">
        <v>37081</v>
      </c>
      <c r="ES31" s="157">
        <v>37062</v>
      </c>
      <c r="ET31" s="157">
        <v>36968</v>
      </c>
      <c r="EU31" s="157">
        <v>36949</v>
      </c>
      <c r="EV31" s="157">
        <v>36930</v>
      </c>
      <c r="EW31" s="157">
        <v>36930</v>
      </c>
      <c r="EX31" s="157">
        <v>36930</v>
      </c>
      <c r="EY31" s="157">
        <v>36911</v>
      </c>
      <c r="EZ31" s="157">
        <v>36892</v>
      </c>
      <c r="FA31" s="157">
        <v>36798</v>
      </c>
      <c r="FB31" s="157">
        <v>36779</v>
      </c>
      <c r="FC31" s="157">
        <v>36760</v>
      </c>
      <c r="FD31" s="157">
        <v>36760</v>
      </c>
      <c r="FE31" s="157">
        <v>36760</v>
      </c>
      <c r="FF31" s="157">
        <v>42741</v>
      </c>
      <c r="FG31" s="157">
        <v>42722</v>
      </c>
      <c r="FH31" s="157">
        <v>38128</v>
      </c>
      <c r="FI31" s="157">
        <v>38109</v>
      </c>
      <c r="FJ31" s="157">
        <v>38090</v>
      </c>
      <c r="FK31" s="157">
        <v>38090</v>
      </c>
      <c r="FL31" s="157">
        <v>38090</v>
      </c>
      <c r="FM31" s="157">
        <v>38071</v>
      </c>
      <c r="FN31" s="157">
        <v>38052</v>
      </c>
      <c r="FO31" s="157">
        <v>37958</v>
      </c>
      <c r="FP31" s="157">
        <v>37939</v>
      </c>
      <c r="FQ31" s="157">
        <v>37920</v>
      </c>
      <c r="FR31" s="157">
        <v>37920</v>
      </c>
      <c r="FS31" s="157">
        <v>37920</v>
      </c>
      <c r="FT31" s="157">
        <v>43901</v>
      </c>
      <c r="FU31" s="157">
        <v>43882</v>
      </c>
      <c r="FV31" s="157">
        <v>43788</v>
      </c>
      <c r="FW31" s="157">
        <v>43769</v>
      </c>
      <c r="FX31" s="157">
        <v>43750</v>
      </c>
      <c r="FY31" s="157">
        <v>43750</v>
      </c>
      <c r="FZ31" s="157">
        <v>43750</v>
      </c>
      <c r="GA31" s="157">
        <v>43731</v>
      </c>
      <c r="GB31" s="157">
        <v>43712</v>
      </c>
      <c r="GC31" s="157">
        <v>43618</v>
      </c>
      <c r="GD31" s="157">
        <v>43599</v>
      </c>
      <c r="GE31" s="157">
        <v>43580</v>
      </c>
      <c r="GF31" s="157">
        <v>43580</v>
      </c>
      <c r="GG31" s="157">
        <v>43580</v>
      </c>
      <c r="GH31" s="157">
        <v>47561</v>
      </c>
      <c r="GI31" s="157">
        <v>47542</v>
      </c>
      <c r="GJ31" s="157">
        <v>47448</v>
      </c>
      <c r="GK31" s="157">
        <v>47429</v>
      </c>
      <c r="GL31" s="157">
        <v>42910</v>
      </c>
      <c r="GM31" s="157">
        <v>42910</v>
      </c>
      <c r="GN31" s="157">
        <v>42910</v>
      </c>
      <c r="GO31" s="157">
        <v>42891</v>
      </c>
      <c r="GP31" s="157">
        <v>42872</v>
      </c>
      <c r="GQ31" s="157">
        <v>42278</v>
      </c>
      <c r="GR31" s="157">
        <v>42259</v>
      </c>
      <c r="GS31" s="157">
        <v>42240</v>
      </c>
      <c r="GT31" s="157">
        <v>42240</v>
      </c>
      <c r="GU31" s="157">
        <v>42240</v>
      </c>
      <c r="GV31" s="157">
        <v>48221</v>
      </c>
      <c r="GW31" s="157">
        <v>48202</v>
      </c>
      <c r="GX31" s="157">
        <v>48108</v>
      </c>
      <c r="GY31" s="157">
        <v>48089</v>
      </c>
      <c r="GZ31" s="157">
        <v>48070</v>
      </c>
      <c r="HA31" s="157">
        <v>48070</v>
      </c>
      <c r="HB31" s="157">
        <v>48070</v>
      </c>
      <c r="HC31" s="157">
        <v>48051</v>
      </c>
      <c r="HD31" s="157">
        <v>48032</v>
      </c>
      <c r="HE31" s="157">
        <v>47938</v>
      </c>
      <c r="HF31" s="157">
        <v>47919</v>
      </c>
      <c r="HG31" s="157">
        <v>47900</v>
      </c>
      <c r="HH31" s="157">
        <v>47900</v>
      </c>
      <c r="HI31" s="157">
        <v>47900</v>
      </c>
      <c r="HJ31" s="157">
        <v>53881</v>
      </c>
      <c r="HK31" s="157">
        <v>53862</v>
      </c>
      <c r="HL31" s="157">
        <v>53768</v>
      </c>
      <c r="HM31" s="157">
        <v>53749</v>
      </c>
      <c r="HN31" s="157">
        <v>53730</v>
      </c>
      <c r="HO31" s="157">
        <v>53730</v>
      </c>
      <c r="HP31" s="157">
        <v>53730</v>
      </c>
      <c r="HQ31" s="157">
        <v>49211</v>
      </c>
      <c r="HR31" s="157">
        <v>49192</v>
      </c>
      <c r="HS31" s="157">
        <v>49098</v>
      </c>
      <c r="HT31" s="157">
        <v>49079</v>
      </c>
      <c r="HU31" s="157">
        <v>49060</v>
      </c>
      <c r="HV31" s="157">
        <v>49060</v>
      </c>
      <c r="HW31" s="157">
        <v>49060</v>
      </c>
      <c r="HX31" s="157">
        <v>55041</v>
      </c>
      <c r="HY31" s="157">
        <v>55022</v>
      </c>
      <c r="HZ31" s="157">
        <v>54928</v>
      </c>
      <c r="IA31" s="157">
        <v>54909</v>
      </c>
      <c r="IB31" s="157">
        <v>54890</v>
      </c>
      <c r="IC31" s="157">
        <v>54890</v>
      </c>
      <c r="ID31" s="157">
        <v>54890</v>
      </c>
      <c r="IE31" s="157">
        <v>54871</v>
      </c>
      <c r="IF31" s="157">
        <v>54852</v>
      </c>
      <c r="IG31" s="157">
        <v>54758</v>
      </c>
      <c r="IH31" s="157">
        <v>54739</v>
      </c>
      <c r="II31" s="157">
        <v>54720</v>
      </c>
      <c r="IJ31" s="157">
        <v>54720</v>
      </c>
      <c r="IK31" s="157">
        <v>54720</v>
      </c>
      <c r="IL31" s="157">
        <v>60701</v>
      </c>
      <c r="IM31" s="157">
        <v>60682</v>
      </c>
      <c r="IN31" s="157">
        <v>60588</v>
      </c>
      <c r="IO31" s="157">
        <v>60569</v>
      </c>
      <c r="IP31" s="157">
        <v>60550</v>
      </c>
      <c r="IQ31" s="157">
        <v>60550</v>
      </c>
      <c r="IR31" s="157">
        <v>60550</v>
      </c>
      <c r="IS31" s="157">
        <v>60531</v>
      </c>
      <c r="IT31" s="157">
        <v>60512</v>
      </c>
      <c r="IU31" s="157">
        <v>60418</v>
      </c>
      <c r="IV31" s="157">
        <v>55899</v>
      </c>
      <c r="IW31" s="157">
        <v>55880</v>
      </c>
      <c r="IX31" s="157">
        <v>55880</v>
      </c>
      <c r="IY31" s="157">
        <v>55880</v>
      </c>
      <c r="IZ31" s="157">
        <v>61861</v>
      </c>
      <c r="JA31" s="157">
        <v>61842</v>
      </c>
      <c r="JB31" s="157">
        <v>61748</v>
      </c>
      <c r="JC31" s="157">
        <v>61729</v>
      </c>
      <c r="JD31" s="157">
        <v>61710</v>
      </c>
      <c r="JE31" s="157">
        <v>61710</v>
      </c>
      <c r="JF31" s="157">
        <v>61710</v>
      </c>
      <c r="JG31" s="157">
        <v>61691</v>
      </c>
      <c r="JH31" s="157">
        <v>61672</v>
      </c>
      <c r="JI31" s="157">
        <v>61578</v>
      </c>
      <c r="JJ31" s="157">
        <v>61559</v>
      </c>
      <c r="JK31" s="157">
        <v>61540</v>
      </c>
      <c r="JL31" s="157">
        <v>61540</v>
      </c>
      <c r="JM31" s="157">
        <v>61540</v>
      </c>
      <c r="JN31" s="157">
        <v>67521</v>
      </c>
      <c r="JO31" s="157">
        <v>67502</v>
      </c>
      <c r="JP31" s="157">
        <v>67408</v>
      </c>
      <c r="JQ31" s="157">
        <v>67389</v>
      </c>
      <c r="JR31" s="157">
        <v>67370</v>
      </c>
      <c r="JS31" s="157">
        <v>67370</v>
      </c>
      <c r="JT31" s="157">
        <v>67370</v>
      </c>
      <c r="JU31" s="157">
        <v>67351</v>
      </c>
      <c r="JV31" s="157">
        <v>67332</v>
      </c>
      <c r="JW31" s="157">
        <v>67238</v>
      </c>
      <c r="JX31" s="157">
        <v>67219</v>
      </c>
      <c r="JY31" s="157">
        <v>67200</v>
      </c>
      <c r="JZ31" s="157">
        <v>62700</v>
      </c>
      <c r="KA31" s="157">
        <v>62700</v>
      </c>
      <c r="KB31" s="157">
        <v>68681</v>
      </c>
      <c r="KC31" s="157">
        <v>68662</v>
      </c>
      <c r="KD31" s="157">
        <v>68568</v>
      </c>
      <c r="KE31" s="157">
        <v>68049</v>
      </c>
      <c r="KF31" s="157">
        <v>68030</v>
      </c>
      <c r="KG31" s="157">
        <v>68030</v>
      </c>
      <c r="KH31" s="157">
        <v>68030</v>
      </c>
      <c r="KI31" s="157">
        <v>68011</v>
      </c>
      <c r="KJ31" s="157">
        <v>67992</v>
      </c>
      <c r="KK31" s="157">
        <v>67898</v>
      </c>
      <c r="KL31" s="157">
        <v>67879</v>
      </c>
      <c r="KM31" s="157">
        <v>67860</v>
      </c>
      <c r="KN31" s="157">
        <v>67860</v>
      </c>
      <c r="KO31" s="157">
        <v>67860</v>
      </c>
      <c r="KP31" s="157">
        <v>73841</v>
      </c>
      <c r="KQ31" s="157">
        <v>73822</v>
      </c>
      <c r="KR31" s="157">
        <v>73728</v>
      </c>
      <c r="KS31" s="157">
        <v>73709</v>
      </c>
      <c r="KT31" s="157">
        <v>73690</v>
      </c>
      <c r="KU31" s="157">
        <v>73690</v>
      </c>
      <c r="KV31" s="157">
        <v>73690</v>
      </c>
      <c r="KW31" s="157">
        <v>73671</v>
      </c>
      <c r="KX31" s="157">
        <v>73652</v>
      </c>
      <c r="KY31" s="157">
        <v>73558</v>
      </c>
      <c r="KZ31" s="157">
        <v>73539</v>
      </c>
      <c r="LA31" s="157">
        <v>73520</v>
      </c>
      <c r="LB31" s="157">
        <v>73520</v>
      </c>
      <c r="LC31" s="157">
        <v>73520</v>
      </c>
      <c r="LD31" s="157">
        <v>79501</v>
      </c>
      <c r="LE31" s="157">
        <v>74982</v>
      </c>
      <c r="LF31" s="157">
        <v>74888</v>
      </c>
      <c r="LG31" s="157">
        <v>74869</v>
      </c>
      <c r="LH31" s="157">
        <v>74850</v>
      </c>
      <c r="LI31" s="157">
        <v>74850</v>
      </c>
      <c r="LJ31" s="157">
        <v>74850</v>
      </c>
      <c r="LK31" s="157">
        <v>74831</v>
      </c>
      <c r="LL31" s="157">
        <v>74812</v>
      </c>
      <c r="LM31" s="157">
        <v>74718</v>
      </c>
      <c r="LN31" s="157">
        <v>74699</v>
      </c>
      <c r="LO31" s="157">
        <v>74680</v>
      </c>
      <c r="LP31" s="157">
        <v>74680</v>
      </c>
      <c r="LQ31" s="157">
        <v>74680</v>
      </c>
      <c r="LR31" s="157">
        <v>80661</v>
      </c>
      <c r="LS31" s="157">
        <v>80642</v>
      </c>
      <c r="LT31" s="157">
        <v>80548</v>
      </c>
      <c r="LU31" s="157">
        <v>80529</v>
      </c>
      <c r="LV31" s="157">
        <v>80510</v>
      </c>
      <c r="LW31" s="157">
        <v>80510</v>
      </c>
      <c r="LX31" s="157">
        <v>80510</v>
      </c>
      <c r="LY31" s="157">
        <v>80491</v>
      </c>
      <c r="LZ31" s="157">
        <v>80472</v>
      </c>
      <c r="MA31" s="157">
        <v>80378</v>
      </c>
      <c r="MB31" s="157">
        <v>80359</v>
      </c>
      <c r="MC31" s="157">
        <v>80340</v>
      </c>
      <c r="MD31" s="157">
        <v>80340</v>
      </c>
      <c r="ME31" s="157">
        <v>80340</v>
      </c>
      <c r="MF31" s="157">
        <v>86321</v>
      </c>
      <c r="MG31" s="157">
        <v>86302</v>
      </c>
      <c r="MH31" s="157">
        <v>86208</v>
      </c>
      <c r="MI31" s="157">
        <v>81689</v>
      </c>
      <c r="MJ31" s="157">
        <v>81670</v>
      </c>
      <c r="MK31" s="157">
        <v>81670</v>
      </c>
      <c r="ML31" s="157">
        <v>81670</v>
      </c>
      <c r="MM31" s="157">
        <v>81651</v>
      </c>
      <c r="MN31" s="157">
        <v>81632</v>
      </c>
      <c r="MO31" s="157">
        <v>81538</v>
      </c>
      <c r="MP31" s="157">
        <v>81519</v>
      </c>
      <c r="MQ31" s="157">
        <v>81500</v>
      </c>
      <c r="MR31" s="157">
        <v>81500</v>
      </c>
      <c r="MS31" s="157">
        <v>81500</v>
      </c>
      <c r="MT31" s="157">
        <v>87481</v>
      </c>
      <c r="MU31" s="157">
        <v>87462</v>
      </c>
      <c r="MV31" s="157">
        <v>87368</v>
      </c>
      <c r="MW31" s="157">
        <v>87349</v>
      </c>
      <c r="MX31" s="157">
        <v>87330</v>
      </c>
      <c r="MY31" s="157">
        <v>87330</v>
      </c>
      <c r="MZ31" s="157">
        <v>87330</v>
      </c>
      <c r="NA31" s="157">
        <v>87311</v>
      </c>
      <c r="NB31" s="157">
        <v>87292</v>
      </c>
      <c r="NC31" s="157">
        <v>87198</v>
      </c>
      <c r="ND31" s="157">
        <v>87179</v>
      </c>
      <c r="NE31" s="157">
        <v>87160</v>
      </c>
      <c r="NF31" s="157">
        <v>87160</v>
      </c>
      <c r="NG31" s="157">
        <v>87160</v>
      </c>
      <c r="NH31" s="157">
        <v>93141</v>
      </c>
    </row>
    <row r="32" spans="1:372" x14ac:dyDescent="0.25">
      <c r="A32" s="280" t="s">
        <v>221</v>
      </c>
      <c r="B32" s="281"/>
      <c r="C32" s="281"/>
      <c r="D32" s="281"/>
      <c r="E32" s="281"/>
      <c r="F32" s="152"/>
      <c r="G32" s="158" t="s">
        <v>245</v>
      </c>
      <c r="H32" s="159" cm="1">
        <f t="array" ref="H32:NH32">nabla.e.SumColsλ(_xlfn.ANCHORARRAY($H$34))</f>
        <v>3981</v>
      </c>
      <c r="I32" s="159">
        <v>-19</v>
      </c>
      <c r="J32" s="159">
        <v>-94</v>
      </c>
      <c r="K32" s="159">
        <v>-19</v>
      </c>
      <c r="L32" s="159">
        <v>-4519</v>
      </c>
      <c r="M32" s="159">
        <v>0</v>
      </c>
      <c r="N32" s="159">
        <v>0</v>
      </c>
      <c r="O32" s="159">
        <v>-19</v>
      </c>
      <c r="P32" s="159">
        <v>-19</v>
      </c>
      <c r="Q32" s="159">
        <v>-594</v>
      </c>
      <c r="R32" s="159">
        <v>-19</v>
      </c>
      <c r="S32" s="159">
        <v>-19</v>
      </c>
      <c r="T32" s="159">
        <v>0</v>
      </c>
      <c r="U32" s="159">
        <v>0</v>
      </c>
      <c r="V32" s="159">
        <v>5981</v>
      </c>
      <c r="W32" s="159">
        <v>-19</v>
      </c>
      <c r="X32" s="159">
        <v>-94</v>
      </c>
      <c r="Y32" s="159">
        <v>-19</v>
      </c>
      <c r="Z32" s="159">
        <v>-19</v>
      </c>
      <c r="AA32" s="159">
        <v>0</v>
      </c>
      <c r="AB32" s="159">
        <v>0</v>
      </c>
      <c r="AC32" s="159">
        <v>-19</v>
      </c>
      <c r="AD32" s="159">
        <v>-19</v>
      </c>
      <c r="AE32" s="159">
        <v>-94</v>
      </c>
      <c r="AF32" s="159">
        <v>-19</v>
      </c>
      <c r="AG32" s="159">
        <v>-19</v>
      </c>
      <c r="AH32" s="159">
        <v>0</v>
      </c>
      <c r="AI32" s="159">
        <v>0</v>
      </c>
      <c r="AJ32" s="159">
        <v>5981</v>
      </c>
      <c r="AK32" s="159">
        <v>-19</v>
      </c>
      <c r="AL32" s="159">
        <v>-94</v>
      </c>
      <c r="AM32" s="159">
        <v>-19</v>
      </c>
      <c r="AN32" s="159">
        <v>-19</v>
      </c>
      <c r="AO32" s="159">
        <v>0</v>
      </c>
      <c r="AP32" s="159">
        <v>0</v>
      </c>
      <c r="AQ32" s="159">
        <v>-4519</v>
      </c>
      <c r="AR32" s="159">
        <v>-19</v>
      </c>
      <c r="AS32" s="159">
        <v>-94</v>
      </c>
      <c r="AT32" s="159">
        <v>-19</v>
      </c>
      <c r="AU32" s="159">
        <v>-19</v>
      </c>
      <c r="AV32" s="159">
        <v>0</v>
      </c>
      <c r="AW32" s="159">
        <v>0</v>
      </c>
      <c r="AX32" s="159">
        <v>5981</v>
      </c>
      <c r="AY32" s="159">
        <v>-19</v>
      </c>
      <c r="AZ32" s="159">
        <v>-94</v>
      </c>
      <c r="BA32" s="159">
        <v>-19</v>
      </c>
      <c r="BB32" s="159">
        <v>-19</v>
      </c>
      <c r="BC32" s="159">
        <v>0</v>
      </c>
      <c r="BD32" s="159">
        <v>0</v>
      </c>
      <c r="BE32" s="159">
        <v>-19</v>
      </c>
      <c r="BF32" s="159">
        <v>-19</v>
      </c>
      <c r="BG32" s="159">
        <v>-94</v>
      </c>
      <c r="BH32" s="159">
        <v>-19</v>
      </c>
      <c r="BI32" s="159">
        <v>-19</v>
      </c>
      <c r="BJ32" s="159">
        <v>0</v>
      </c>
      <c r="BK32" s="159">
        <v>0</v>
      </c>
      <c r="BL32" s="159">
        <v>5981</v>
      </c>
      <c r="BM32" s="159">
        <v>-19</v>
      </c>
      <c r="BN32" s="159">
        <v>-94</v>
      </c>
      <c r="BO32" s="159">
        <v>-19</v>
      </c>
      <c r="BP32" s="159">
        <v>-19</v>
      </c>
      <c r="BQ32" s="159">
        <v>0</v>
      </c>
      <c r="BR32" s="159">
        <v>0</v>
      </c>
      <c r="BS32" s="159">
        <v>-19</v>
      </c>
      <c r="BT32" s="159">
        <v>-4519</v>
      </c>
      <c r="BU32" s="159">
        <v>-94</v>
      </c>
      <c r="BV32" s="159">
        <v>-19</v>
      </c>
      <c r="BW32" s="159">
        <v>-19</v>
      </c>
      <c r="BX32" s="159">
        <v>0</v>
      </c>
      <c r="BY32" s="159">
        <v>0</v>
      </c>
      <c r="BZ32" s="159">
        <v>5981</v>
      </c>
      <c r="CA32" s="159">
        <v>-19</v>
      </c>
      <c r="CB32" s="159">
        <v>-94</v>
      </c>
      <c r="CC32" s="159">
        <v>-19</v>
      </c>
      <c r="CD32" s="159">
        <v>-19</v>
      </c>
      <c r="CE32" s="159">
        <v>0</v>
      </c>
      <c r="CF32" s="159">
        <v>0</v>
      </c>
      <c r="CG32" s="159">
        <v>-19</v>
      </c>
      <c r="CH32" s="159">
        <v>-19</v>
      </c>
      <c r="CI32" s="159">
        <v>-94</v>
      </c>
      <c r="CJ32" s="159">
        <v>-19</v>
      </c>
      <c r="CK32" s="159">
        <v>-19</v>
      </c>
      <c r="CL32" s="159">
        <v>0</v>
      </c>
      <c r="CM32" s="159">
        <v>0</v>
      </c>
      <c r="CN32" s="159">
        <v>5981</v>
      </c>
      <c r="CO32" s="159">
        <v>-19</v>
      </c>
      <c r="CP32" s="159">
        <v>-94</v>
      </c>
      <c r="CQ32" s="159">
        <v>-19</v>
      </c>
      <c r="CR32" s="159">
        <v>-19</v>
      </c>
      <c r="CS32" s="159">
        <v>0</v>
      </c>
      <c r="CT32" s="159">
        <v>0</v>
      </c>
      <c r="CU32" s="159">
        <v>-19</v>
      </c>
      <c r="CV32" s="159">
        <v>-19</v>
      </c>
      <c r="CW32" s="159">
        <v>-94</v>
      </c>
      <c r="CX32" s="159">
        <v>-19</v>
      </c>
      <c r="CY32" s="159">
        <v>-4519</v>
      </c>
      <c r="CZ32" s="159">
        <v>0</v>
      </c>
      <c r="DA32" s="159">
        <v>0</v>
      </c>
      <c r="DB32" s="159">
        <v>5981</v>
      </c>
      <c r="DC32" s="159">
        <v>-19</v>
      </c>
      <c r="DD32" s="159">
        <v>-594</v>
      </c>
      <c r="DE32" s="159">
        <v>-19</v>
      </c>
      <c r="DF32" s="159">
        <v>-19</v>
      </c>
      <c r="DG32" s="159">
        <v>0</v>
      </c>
      <c r="DH32" s="159">
        <v>0</v>
      </c>
      <c r="DI32" s="159">
        <v>-19</v>
      </c>
      <c r="DJ32" s="159">
        <v>-19</v>
      </c>
      <c r="DK32" s="159">
        <v>-94</v>
      </c>
      <c r="DL32" s="159">
        <v>-19</v>
      </c>
      <c r="DM32" s="159">
        <v>-19</v>
      </c>
      <c r="DN32" s="159">
        <v>0</v>
      </c>
      <c r="DO32" s="159">
        <v>0</v>
      </c>
      <c r="DP32" s="159">
        <v>5981</v>
      </c>
      <c r="DQ32" s="159">
        <v>-19</v>
      </c>
      <c r="DR32" s="159">
        <v>-94</v>
      </c>
      <c r="DS32" s="159">
        <v>-19</v>
      </c>
      <c r="DT32" s="159">
        <v>-19</v>
      </c>
      <c r="DU32" s="159">
        <v>0</v>
      </c>
      <c r="DV32" s="159">
        <v>0</v>
      </c>
      <c r="DW32" s="159">
        <v>-19</v>
      </c>
      <c r="DX32" s="159">
        <v>-19</v>
      </c>
      <c r="DY32" s="159">
        <v>-94</v>
      </c>
      <c r="DZ32" s="159">
        <v>-19</v>
      </c>
      <c r="EA32" s="159">
        <v>-19</v>
      </c>
      <c r="EB32" s="159">
        <v>0</v>
      </c>
      <c r="EC32" s="159">
        <v>-4500</v>
      </c>
      <c r="ED32" s="159">
        <v>5981</v>
      </c>
      <c r="EE32" s="159">
        <v>-19</v>
      </c>
      <c r="EF32" s="159">
        <v>-94</v>
      </c>
      <c r="EG32" s="159">
        <v>-19</v>
      </c>
      <c r="EH32" s="159">
        <v>-19</v>
      </c>
      <c r="EI32" s="159">
        <v>0</v>
      </c>
      <c r="EJ32" s="159">
        <v>0</v>
      </c>
      <c r="EK32" s="159">
        <v>-19</v>
      </c>
      <c r="EL32" s="159">
        <v>-19</v>
      </c>
      <c r="EM32" s="159">
        <v>-94</v>
      </c>
      <c r="EN32" s="159">
        <v>-19</v>
      </c>
      <c r="EO32" s="159">
        <v>-19</v>
      </c>
      <c r="EP32" s="159">
        <v>0</v>
      </c>
      <c r="EQ32" s="159">
        <v>0</v>
      </c>
      <c r="ER32" s="159">
        <v>5981</v>
      </c>
      <c r="ES32" s="159">
        <v>-19</v>
      </c>
      <c r="ET32" s="159">
        <v>-94</v>
      </c>
      <c r="EU32" s="159">
        <v>-19</v>
      </c>
      <c r="EV32" s="159">
        <v>-19</v>
      </c>
      <c r="EW32" s="159">
        <v>0</v>
      </c>
      <c r="EX32" s="159">
        <v>0</v>
      </c>
      <c r="EY32" s="159">
        <v>-19</v>
      </c>
      <c r="EZ32" s="159">
        <v>-19</v>
      </c>
      <c r="FA32" s="159">
        <v>-94</v>
      </c>
      <c r="FB32" s="159">
        <v>-19</v>
      </c>
      <c r="FC32" s="159">
        <v>-19</v>
      </c>
      <c r="FD32" s="159">
        <v>0</v>
      </c>
      <c r="FE32" s="159">
        <v>0</v>
      </c>
      <c r="FF32" s="159">
        <v>5981</v>
      </c>
      <c r="FG32" s="159">
        <v>-19</v>
      </c>
      <c r="FH32" s="159">
        <v>-4594</v>
      </c>
      <c r="FI32" s="159">
        <v>-19</v>
      </c>
      <c r="FJ32" s="159">
        <v>-19</v>
      </c>
      <c r="FK32" s="159">
        <v>0</v>
      </c>
      <c r="FL32" s="159">
        <v>0</v>
      </c>
      <c r="FM32" s="159">
        <v>-19</v>
      </c>
      <c r="FN32" s="159">
        <v>-19</v>
      </c>
      <c r="FO32" s="159">
        <v>-94</v>
      </c>
      <c r="FP32" s="159">
        <v>-19</v>
      </c>
      <c r="FQ32" s="159">
        <v>-19</v>
      </c>
      <c r="FR32" s="159">
        <v>0</v>
      </c>
      <c r="FS32" s="159">
        <v>0</v>
      </c>
      <c r="FT32" s="159">
        <v>5981</v>
      </c>
      <c r="FU32" s="159">
        <v>-19</v>
      </c>
      <c r="FV32" s="159">
        <v>-94</v>
      </c>
      <c r="FW32" s="159">
        <v>-19</v>
      </c>
      <c r="FX32" s="159">
        <v>-19</v>
      </c>
      <c r="FY32" s="159">
        <v>0</v>
      </c>
      <c r="FZ32" s="159">
        <v>0</v>
      </c>
      <c r="GA32" s="159">
        <v>-19</v>
      </c>
      <c r="GB32" s="159">
        <v>-19</v>
      </c>
      <c r="GC32" s="159">
        <v>-94</v>
      </c>
      <c r="GD32" s="159">
        <v>-19</v>
      </c>
      <c r="GE32" s="159">
        <v>-19</v>
      </c>
      <c r="GF32" s="159">
        <v>0</v>
      </c>
      <c r="GG32" s="159">
        <v>0</v>
      </c>
      <c r="GH32" s="159">
        <v>3981</v>
      </c>
      <c r="GI32" s="159">
        <v>-19</v>
      </c>
      <c r="GJ32" s="159">
        <v>-94</v>
      </c>
      <c r="GK32" s="159">
        <v>-19</v>
      </c>
      <c r="GL32" s="159">
        <v>-4519</v>
      </c>
      <c r="GM32" s="159">
        <v>0</v>
      </c>
      <c r="GN32" s="159">
        <v>0</v>
      </c>
      <c r="GO32" s="159">
        <v>-19</v>
      </c>
      <c r="GP32" s="159">
        <v>-19</v>
      </c>
      <c r="GQ32" s="159">
        <v>-594</v>
      </c>
      <c r="GR32" s="159">
        <v>-19</v>
      </c>
      <c r="GS32" s="159">
        <v>-19</v>
      </c>
      <c r="GT32" s="159">
        <v>0</v>
      </c>
      <c r="GU32" s="159">
        <v>0</v>
      </c>
      <c r="GV32" s="159">
        <v>5981</v>
      </c>
      <c r="GW32" s="159">
        <v>-19</v>
      </c>
      <c r="GX32" s="159">
        <v>-94</v>
      </c>
      <c r="GY32" s="159">
        <v>-19</v>
      </c>
      <c r="GZ32" s="159">
        <v>-19</v>
      </c>
      <c r="HA32" s="159">
        <v>0</v>
      </c>
      <c r="HB32" s="159">
        <v>0</v>
      </c>
      <c r="HC32" s="159">
        <v>-19</v>
      </c>
      <c r="HD32" s="159">
        <v>-19</v>
      </c>
      <c r="HE32" s="159">
        <v>-94</v>
      </c>
      <c r="HF32" s="159">
        <v>-19</v>
      </c>
      <c r="HG32" s="159">
        <v>-19</v>
      </c>
      <c r="HH32" s="159">
        <v>0</v>
      </c>
      <c r="HI32" s="159">
        <v>0</v>
      </c>
      <c r="HJ32" s="159">
        <v>5981</v>
      </c>
      <c r="HK32" s="159">
        <v>-19</v>
      </c>
      <c r="HL32" s="159">
        <v>-94</v>
      </c>
      <c r="HM32" s="159">
        <v>-19</v>
      </c>
      <c r="HN32" s="159">
        <v>-19</v>
      </c>
      <c r="HO32" s="159">
        <v>0</v>
      </c>
      <c r="HP32" s="159">
        <v>0</v>
      </c>
      <c r="HQ32" s="159">
        <v>-4519</v>
      </c>
      <c r="HR32" s="159">
        <v>-19</v>
      </c>
      <c r="HS32" s="159">
        <v>-94</v>
      </c>
      <c r="HT32" s="159">
        <v>-19</v>
      </c>
      <c r="HU32" s="159">
        <v>-19</v>
      </c>
      <c r="HV32" s="159">
        <v>0</v>
      </c>
      <c r="HW32" s="159">
        <v>0</v>
      </c>
      <c r="HX32" s="159">
        <v>5981</v>
      </c>
      <c r="HY32" s="159">
        <v>-19</v>
      </c>
      <c r="HZ32" s="159">
        <v>-94</v>
      </c>
      <c r="IA32" s="159">
        <v>-19</v>
      </c>
      <c r="IB32" s="159">
        <v>-19</v>
      </c>
      <c r="IC32" s="159">
        <v>0</v>
      </c>
      <c r="ID32" s="159">
        <v>0</v>
      </c>
      <c r="IE32" s="159">
        <v>-19</v>
      </c>
      <c r="IF32" s="159">
        <v>-19</v>
      </c>
      <c r="IG32" s="159">
        <v>-94</v>
      </c>
      <c r="IH32" s="159">
        <v>-19</v>
      </c>
      <c r="II32" s="159">
        <v>-19</v>
      </c>
      <c r="IJ32" s="159">
        <v>0</v>
      </c>
      <c r="IK32" s="159">
        <v>0</v>
      </c>
      <c r="IL32" s="159">
        <v>5981</v>
      </c>
      <c r="IM32" s="159">
        <v>-19</v>
      </c>
      <c r="IN32" s="159">
        <v>-94</v>
      </c>
      <c r="IO32" s="159">
        <v>-19</v>
      </c>
      <c r="IP32" s="159">
        <v>-19</v>
      </c>
      <c r="IQ32" s="159">
        <v>0</v>
      </c>
      <c r="IR32" s="159">
        <v>0</v>
      </c>
      <c r="IS32" s="159">
        <v>-19</v>
      </c>
      <c r="IT32" s="159">
        <v>-19</v>
      </c>
      <c r="IU32" s="159">
        <v>-94</v>
      </c>
      <c r="IV32" s="159">
        <v>-4519</v>
      </c>
      <c r="IW32" s="159">
        <v>-19</v>
      </c>
      <c r="IX32" s="159">
        <v>0</v>
      </c>
      <c r="IY32" s="159">
        <v>0</v>
      </c>
      <c r="IZ32" s="159">
        <v>5981</v>
      </c>
      <c r="JA32" s="159">
        <v>-19</v>
      </c>
      <c r="JB32" s="159">
        <v>-94</v>
      </c>
      <c r="JC32" s="159">
        <v>-19</v>
      </c>
      <c r="JD32" s="159">
        <v>-19</v>
      </c>
      <c r="JE32" s="159">
        <v>0</v>
      </c>
      <c r="JF32" s="159">
        <v>0</v>
      </c>
      <c r="JG32" s="159">
        <v>-19</v>
      </c>
      <c r="JH32" s="159">
        <v>-19</v>
      </c>
      <c r="JI32" s="159">
        <v>-94</v>
      </c>
      <c r="JJ32" s="159">
        <v>-19</v>
      </c>
      <c r="JK32" s="159">
        <v>-19</v>
      </c>
      <c r="JL32" s="159">
        <v>0</v>
      </c>
      <c r="JM32" s="159">
        <v>0</v>
      </c>
      <c r="JN32" s="159">
        <v>5981</v>
      </c>
      <c r="JO32" s="159">
        <v>-19</v>
      </c>
      <c r="JP32" s="159">
        <v>-94</v>
      </c>
      <c r="JQ32" s="159">
        <v>-19</v>
      </c>
      <c r="JR32" s="159">
        <v>-19</v>
      </c>
      <c r="JS32" s="159">
        <v>0</v>
      </c>
      <c r="JT32" s="159">
        <v>0</v>
      </c>
      <c r="JU32" s="159">
        <v>-19</v>
      </c>
      <c r="JV32" s="159">
        <v>-19</v>
      </c>
      <c r="JW32" s="159">
        <v>-94</v>
      </c>
      <c r="JX32" s="159">
        <v>-19</v>
      </c>
      <c r="JY32" s="159">
        <v>-19</v>
      </c>
      <c r="JZ32" s="159">
        <v>-4500</v>
      </c>
      <c r="KA32" s="159">
        <v>0</v>
      </c>
      <c r="KB32" s="159">
        <v>5981</v>
      </c>
      <c r="KC32" s="159">
        <v>-19</v>
      </c>
      <c r="KD32" s="159">
        <v>-94</v>
      </c>
      <c r="KE32" s="159">
        <v>-519</v>
      </c>
      <c r="KF32" s="159">
        <v>-19</v>
      </c>
      <c r="KG32" s="159">
        <v>0</v>
      </c>
      <c r="KH32" s="159">
        <v>0</v>
      </c>
      <c r="KI32" s="159">
        <v>-19</v>
      </c>
      <c r="KJ32" s="159">
        <v>-19</v>
      </c>
      <c r="KK32" s="159">
        <v>-94</v>
      </c>
      <c r="KL32" s="159">
        <v>-19</v>
      </c>
      <c r="KM32" s="159">
        <v>-19</v>
      </c>
      <c r="KN32" s="159">
        <v>0</v>
      </c>
      <c r="KO32" s="159">
        <v>0</v>
      </c>
      <c r="KP32" s="159">
        <v>5981</v>
      </c>
      <c r="KQ32" s="159">
        <v>-19</v>
      </c>
      <c r="KR32" s="159">
        <v>-94</v>
      </c>
      <c r="KS32" s="159">
        <v>-19</v>
      </c>
      <c r="KT32" s="159">
        <v>-19</v>
      </c>
      <c r="KU32" s="159">
        <v>0</v>
      </c>
      <c r="KV32" s="159">
        <v>0</v>
      </c>
      <c r="KW32" s="159">
        <v>-19</v>
      </c>
      <c r="KX32" s="159">
        <v>-19</v>
      </c>
      <c r="KY32" s="159">
        <v>-94</v>
      </c>
      <c r="KZ32" s="159">
        <v>-19</v>
      </c>
      <c r="LA32" s="159">
        <v>-19</v>
      </c>
      <c r="LB32" s="159">
        <v>0</v>
      </c>
      <c r="LC32" s="159">
        <v>0</v>
      </c>
      <c r="LD32" s="159">
        <v>5981</v>
      </c>
      <c r="LE32" s="159">
        <v>-4519</v>
      </c>
      <c r="LF32" s="159">
        <v>-94</v>
      </c>
      <c r="LG32" s="159">
        <v>-19</v>
      </c>
      <c r="LH32" s="159">
        <v>-19</v>
      </c>
      <c r="LI32" s="159">
        <v>0</v>
      </c>
      <c r="LJ32" s="159">
        <v>0</v>
      </c>
      <c r="LK32" s="159">
        <v>-19</v>
      </c>
      <c r="LL32" s="159">
        <v>-19</v>
      </c>
      <c r="LM32" s="159">
        <v>-94</v>
      </c>
      <c r="LN32" s="159">
        <v>-19</v>
      </c>
      <c r="LO32" s="159">
        <v>-19</v>
      </c>
      <c r="LP32" s="159">
        <v>0</v>
      </c>
      <c r="LQ32" s="159">
        <v>0</v>
      </c>
      <c r="LR32" s="159">
        <v>5981</v>
      </c>
      <c r="LS32" s="159">
        <v>-19</v>
      </c>
      <c r="LT32" s="159">
        <v>-94</v>
      </c>
      <c r="LU32" s="159">
        <v>-19</v>
      </c>
      <c r="LV32" s="159">
        <v>-19</v>
      </c>
      <c r="LW32" s="159">
        <v>0</v>
      </c>
      <c r="LX32" s="159">
        <v>0</v>
      </c>
      <c r="LY32" s="159">
        <v>-19</v>
      </c>
      <c r="LZ32" s="159">
        <v>-19</v>
      </c>
      <c r="MA32" s="159">
        <v>-94</v>
      </c>
      <c r="MB32" s="159">
        <v>-19</v>
      </c>
      <c r="MC32" s="159">
        <v>-19</v>
      </c>
      <c r="MD32" s="159">
        <v>0</v>
      </c>
      <c r="ME32" s="159">
        <v>0</v>
      </c>
      <c r="MF32" s="159">
        <v>5981</v>
      </c>
      <c r="MG32" s="159">
        <v>-19</v>
      </c>
      <c r="MH32" s="159">
        <v>-94</v>
      </c>
      <c r="MI32" s="159">
        <v>-4519</v>
      </c>
      <c r="MJ32" s="159">
        <v>-19</v>
      </c>
      <c r="MK32" s="159">
        <v>0</v>
      </c>
      <c r="ML32" s="159">
        <v>0</v>
      </c>
      <c r="MM32" s="159">
        <v>-19</v>
      </c>
      <c r="MN32" s="159">
        <v>-19</v>
      </c>
      <c r="MO32" s="159">
        <v>-94</v>
      </c>
      <c r="MP32" s="159">
        <v>-19</v>
      </c>
      <c r="MQ32" s="159">
        <v>-19</v>
      </c>
      <c r="MR32" s="159">
        <v>0</v>
      </c>
      <c r="MS32" s="159">
        <v>0</v>
      </c>
      <c r="MT32" s="159">
        <v>5981</v>
      </c>
      <c r="MU32" s="159">
        <v>-19</v>
      </c>
      <c r="MV32" s="159">
        <v>-94</v>
      </c>
      <c r="MW32" s="159">
        <v>-19</v>
      </c>
      <c r="MX32" s="159">
        <v>-19</v>
      </c>
      <c r="MY32" s="159">
        <v>0</v>
      </c>
      <c r="MZ32" s="159">
        <v>0</v>
      </c>
      <c r="NA32" s="159">
        <v>-19</v>
      </c>
      <c r="NB32" s="159">
        <v>-19</v>
      </c>
      <c r="NC32" s="159">
        <v>-94</v>
      </c>
      <c r="ND32" s="159">
        <v>-19</v>
      </c>
      <c r="NE32" s="159">
        <v>-19</v>
      </c>
      <c r="NF32" s="159">
        <v>0</v>
      </c>
      <c r="NG32" s="159">
        <v>0</v>
      </c>
      <c r="NH32" s="159">
        <v>5981</v>
      </c>
    </row>
    <row r="33" spans="1:372" x14ac:dyDescent="0.25">
      <c r="A33" s="145" t="s">
        <v>131</v>
      </c>
      <c r="B33" s="146" t="s">
        <v>249</v>
      </c>
      <c r="C33" s="146" t="s">
        <v>222</v>
      </c>
      <c r="D33" s="147" t="s">
        <v>223</v>
      </c>
      <c r="E33" s="145" t="s">
        <v>224</v>
      </c>
      <c r="G33" s="155" t="s">
        <v>247</v>
      </c>
      <c r="H33" s="156" cm="1">
        <f t="array" ref="H33:NH33">nabla.d.Timelineλ("1/1/2026", 365, "D")</f>
        <v>45292</v>
      </c>
      <c r="I33" s="156">
        <v>46024</v>
      </c>
      <c r="J33" s="156">
        <v>46025</v>
      </c>
      <c r="K33" s="156">
        <v>46026</v>
      </c>
      <c r="L33" s="156">
        <v>46027</v>
      </c>
      <c r="M33" s="156">
        <v>46028</v>
      </c>
      <c r="N33" s="156">
        <v>46029</v>
      </c>
      <c r="O33" s="156">
        <v>46030</v>
      </c>
      <c r="P33" s="156">
        <v>46031</v>
      </c>
      <c r="Q33" s="156">
        <v>46032</v>
      </c>
      <c r="R33" s="156">
        <v>46033</v>
      </c>
      <c r="S33" s="156">
        <v>46034</v>
      </c>
      <c r="T33" s="156">
        <v>46035</v>
      </c>
      <c r="U33" s="156">
        <v>46036</v>
      </c>
      <c r="V33" s="156">
        <v>46037</v>
      </c>
      <c r="W33" s="156">
        <v>46038</v>
      </c>
      <c r="X33" s="156">
        <v>46039</v>
      </c>
      <c r="Y33" s="156">
        <v>46040</v>
      </c>
      <c r="Z33" s="156">
        <v>46041</v>
      </c>
      <c r="AA33" s="156">
        <v>46042</v>
      </c>
      <c r="AB33" s="156">
        <v>46043</v>
      </c>
      <c r="AC33" s="156">
        <v>46044</v>
      </c>
      <c r="AD33" s="156">
        <v>46045</v>
      </c>
      <c r="AE33" s="156">
        <v>46046</v>
      </c>
      <c r="AF33" s="156">
        <v>46047</v>
      </c>
      <c r="AG33" s="156">
        <v>46048</v>
      </c>
      <c r="AH33" s="156">
        <v>46049</v>
      </c>
      <c r="AI33" s="156">
        <v>46050</v>
      </c>
      <c r="AJ33" s="156">
        <v>46051</v>
      </c>
      <c r="AK33" s="156">
        <v>46052</v>
      </c>
      <c r="AL33" s="156">
        <v>46053</v>
      </c>
      <c r="AM33" s="156">
        <v>46054</v>
      </c>
      <c r="AN33" s="156">
        <v>46055</v>
      </c>
      <c r="AO33" s="156">
        <v>46056</v>
      </c>
      <c r="AP33" s="156">
        <v>46057</v>
      </c>
      <c r="AQ33" s="156">
        <v>46058</v>
      </c>
      <c r="AR33" s="156">
        <v>46059</v>
      </c>
      <c r="AS33" s="156">
        <v>46060</v>
      </c>
      <c r="AT33" s="156">
        <v>46061</v>
      </c>
      <c r="AU33" s="156">
        <v>46062</v>
      </c>
      <c r="AV33" s="156">
        <v>46063</v>
      </c>
      <c r="AW33" s="156">
        <v>46064</v>
      </c>
      <c r="AX33" s="156">
        <v>46065</v>
      </c>
      <c r="AY33" s="156">
        <v>46066</v>
      </c>
      <c r="AZ33" s="156">
        <v>46067</v>
      </c>
      <c r="BA33" s="156">
        <v>46068</v>
      </c>
      <c r="BB33" s="156">
        <v>46069</v>
      </c>
      <c r="BC33" s="156">
        <v>46070</v>
      </c>
      <c r="BD33" s="156">
        <v>46071</v>
      </c>
      <c r="BE33" s="156">
        <v>46072</v>
      </c>
      <c r="BF33" s="156">
        <v>46073</v>
      </c>
      <c r="BG33" s="156">
        <v>46074</v>
      </c>
      <c r="BH33" s="156">
        <v>46075</v>
      </c>
      <c r="BI33" s="156">
        <v>46076</v>
      </c>
      <c r="BJ33" s="156">
        <v>46077</v>
      </c>
      <c r="BK33" s="156">
        <v>46078</v>
      </c>
      <c r="BL33" s="156">
        <v>46079</v>
      </c>
      <c r="BM33" s="156">
        <v>46080</v>
      </c>
      <c r="BN33" s="156">
        <v>46081</v>
      </c>
      <c r="BO33" s="156">
        <v>46081</v>
      </c>
      <c r="BP33" s="156">
        <v>46082</v>
      </c>
      <c r="BQ33" s="156">
        <v>46083</v>
      </c>
      <c r="BR33" s="156">
        <v>46084</v>
      </c>
      <c r="BS33" s="156">
        <v>46085</v>
      </c>
      <c r="BT33" s="156">
        <v>46086</v>
      </c>
      <c r="BU33" s="156">
        <v>46087</v>
      </c>
      <c r="BV33" s="156">
        <v>46088</v>
      </c>
      <c r="BW33" s="156">
        <v>46089</v>
      </c>
      <c r="BX33" s="156">
        <v>46090</v>
      </c>
      <c r="BY33" s="156">
        <v>46091</v>
      </c>
      <c r="BZ33" s="156">
        <v>46092</v>
      </c>
      <c r="CA33" s="156">
        <v>46093</v>
      </c>
      <c r="CB33" s="156">
        <v>46094</v>
      </c>
      <c r="CC33" s="156">
        <v>46095</v>
      </c>
      <c r="CD33" s="156">
        <v>46096</v>
      </c>
      <c r="CE33" s="156">
        <v>46097</v>
      </c>
      <c r="CF33" s="156">
        <v>46098</v>
      </c>
      <c r="CG33" s="156">
        <v>46099</v>
      </c>
      <c r="CH33" s="156">
        <v>46100</v>
      </c>
      <c r="CI33" s="156">
        <v>46101</v>
      </c>
      <c r="CJ33" s="156">
        <v>46102</v>
      </c>
      <c r="CK33" s="156">
        <v>46103</v>
      </c>
      <c r="CL33" s="156">
        <v>46104</v>
      </c>
      <c r="CM33" s="156">
        <v>46105</v>
      </c>
      <c r="CN33" s="156">
        <v>46106</v>
      </c>
      <c r="CO33" s="156">
        <v>46107</v>
      </c>
      <c r="CP33" s="156">
        <v>46108</v>
      </c>
      <c r="CQ33" s="156">
        <v>46109</v>
      </c>
      <c r="CR33" s="156">
        <v>46110</v>
      </c>
      <c r="CS33" s="156">
        <v>46111</v>
      </c>
      <c r="CT33" s="156">
        <v>46112</v>
      </c>
      <c r="CU33" s="156">
        <v>46113</v>
      </c>
      <c r="CV33" s="156">
        <v>46114</v>
      </c>
      <c r="CW33" s="156">
        <v>46115</v>
      </c>
      <c r="CX33" s="156">
        <v>46116</v>
      </c>
      <c r="CY33" s="156">
        <v>46117</v>
      </c>
      <c r="CZ33" s="156">
        <v>46118</v>
      </c>
      <c r="DA33" s="156">
        <v>46119</v>
      </c>
      <c r="DB33" s="156">
        <v>46120</v>
      </c>
      <c r="DC33" s="156">
        <v>46121</v>
      </c>
      <c r="DD33" s="156">
        <v>46122</v>
      </c>
      <c r="DE33" s="156">
        <v>46123</v>
      </c>
      <c r="DF33" s="156">
        <v>46124</v>
      </c>
      <c r="DG33" s="156">
        <v>46125</v>
      </c>
      <c r="DH33" s="156">
        <v>46126</v>
      </c>
      <c r="DI33" s="156">
        <v>46127</v>
      </c>
      <c r="DJ33" s="156">
        <v>46128</v>
      </c>
      <c r="DK33" s="156">
        <v>46129</v>
      </c>
      <c r="DL33" s="156">
        <v>46130</v>
      </c>
      <c r="DM33" s="156">
        <v>46131</v>
      </c>
      <c r="DN33" s="156">
        <v>46132</v>
      </c>
      <c r="DO33" s="156">
        <v>46133</v>
      </c>
      <c r="DP33" s="156">
        <v>46134</v>
      </c>
      <c r="DQ33" s="156">
        <v>46135</v>
      </c>
      <c r="DR33" s="156">
        <v>46136</v>
      </c>
      <c r="DS33" s="156">
        <v>46137</v>
      </c>
      <c r="DT33" s="156">
        <v>46138</v>
      </c>
      <c r="DU33" s="156">
        <v>46139</v>
      </c>
      <c r="DV33" s="156">
        <v>46140</v>
      </c>
      <c r="DW33" s="156">
        <v>46141</v>
      </c>
      <c r="DX33" s="156">
        <v>46142</v>
      </c>
      <c r="DY33" s="156">
        <v>46143</v>
      </c>
      <c r="DZ33" s="156">
        <v>46144</v>
      </c>
      <c r="EA33" s="156">
        <v>46145</v>
      </c>
      <c r="EB33" s="156">
        <v>46146</v>
      </c>
      <c r="EC33" s="156">
        <v>46147</v>
      </c>
      <c r="ED33" s="156">
        <v>46148</v>
      </c>
      <c r="EE33" s="156">
        <v>46149</v>
      </c>
      <c r="EF33" s="156">
        <v>46150</v>
      </c>
      <c r="EG33" s="156">
        <v>46151</v>
      </c>
      <c r="EH33" s="156">
        <v>46152</v>
      </c>
      <c r="EI33" s="156">
        <v>46153</v>
      </c>
      <c r="EJ33" s="156">
        <v>46154</v>
      </c>
      <c r="EK33" s="156">
        <v>46155</v>
      </c>
      <c r="EL33" s="156">
        <v>46156</v>
      </c>
      <c r="EM33" s="156">
        <v>46157</v>
      </c>
      <c r="EN33" s="156">
        <v>46158</v>
      </c>
      <c r="EO33" s="156">
        <v>46159</v>
      </c>
      <c r="EP33" s="156">
        <v>46160</v>
      </c>
      <c r="EQ33" s="156">
        <v>46161</v>
      </c>
      <c r="ER33" s="156">
        <v>46162</v>
      </c>
      <c r="ES33" s="156">
        <v>46163</v>
      </c>
      <c r="ET33" s="156">
        <v>46164</v>
      </c>
      <c r="EU33" s="156">
        <v>46165</v>
      </c>
      <c r="EV33" s="156">
        <v>46166</v>
      </c>
      <c r="EW33" s="156">
        <v>46167</v>
      </c>
      <c r="EX33" s="156">
        <v>46168</v>
      </c>
      <c r="EY33" s="156">
        <v>46169</v>
      </c>
      <c r="EZ33" s="156">
        <v>46170</v>
      </c>
      <c r="FA33" s="156">
        <v>46171</v>
      </c>
      <c r="FB33" s="156">
        <v>46172</v>
      </c>
      <c r="FC33" s="156">
        <v>46173</v>
      </c>
      <c r="FD33" s="156">
        <v>46174</v>
      </c>
      <c r="FE33" s="156">
        <v>46175</v>
      </c>
      <c r="FF33" s="156">
        <v>46176</v>
      </c>
      <c r="FG33" s="156">
        <v>46177</v>
      </c>
      <c r="FH33" s="156">
        <v>46178</v>
      </c>
      <c r="FI33" s="156">
        <v>46179</v>
      </c>
      <c r="FJ33" s="156">
        <v>46180</v>
      </c>
      <c r="FK33" s="156">
        <v>46181</v>
      </c>
      <c r="FL33" s="156">
        <v>46182</v>
      </c>
      <c r="FM33" s="156">
        <v>46183</v>
      </c>
      <c r="FN33" s="156">
        <v>46184</v>
      </c>
      <c r="FO33" s="156">
        <v>46185</v>
      </c>
      <c r="FP33" s="156">
        <v>46186</v>
      </c>
      <c r="FQ33" s="156">
        <v>46187</v>
      </c>
      <c r="FR33" s="156">
        <v>46188</v>
      </c>
      <c r="FS33" s="156">
        <v>46189</v>
      </c>
      <c r="FT33" s="156">
        <v>46190</v>
      </c>
      <c r="FU33" s="156">
        <v>46191</v>
      </c>
      <c r="FV33" s="156">
        <v>46192</v>
      </c>
      <c r="FW33" s="156">
        <v>46193</v>
      </c>
      <c r="FX33" s="156">
        <v>46194</v>
      </c>
      <c r="FY33" s="156">
        <v>46195</v>
      </c>
      <c r="FZ33" s="156">
        <v>46196</v>
      </c>
      <c r="GA33" s="156">
        <v>46197</v>
      </c>
      <c r="GB33" s="156">
        <v>46198</v>
      </c>
      <c r="GC33" s="156">
        <v>46199</v>
      </c>
      <c r="GD33" s="156">
        <v>46200</v>
      </c>
      <c r="GE33" s="156">
        <v>46201</v>
      </c>
      <c r="GF33" s="156">
        <v>46202</v>
      </c>
      <c r="GG33" s="156">
        <v>46203</v>
      </c>
      <c r="GH33" s="156">
        <v>46204</v>
      </c>
      <c r="GI33" s="156">
        <v>46205</v>
      </c>
      <c r="GJ33" s="156">
        <v>46206</v>
      </c>
      <c r="GK33" s="156">
        <v>46207</v>
      </c>
      <c r="GL33" s="156">
        <v>46208</v>
      </c>
      <c r="GM33" s="156">
        <v>46209</v>
      </c>
      <c r="GN33" s="156">
        <v>46210</v>
      </c>
      <c r="GO33" s="156">
        <v>46211</v>
      </c>
      <c r="GP33" s="156">
        <v>46212</v>
      </c>
      <c r="GQ33" s="156">
        <v>46213</v>
      </c>
      <c r="GR33" s="156">
        <v>46214</v>
      </c>
      <c r="GS33" s="156">
        <v>46215</v>
      </c>
      <c r="GT33" s="156">
        <v>46216</v>
      </c>
      <c r="GU33" s="156">
        <v>46217</v>
      </c>
      <c r="GV33" s="156">
        <v>46218</v>
      </c>
      <c r="GW33" s="156">
        <v>46219</v>
      </c>
      <c r="GX33" s="156">
        <v>46220</v>
      </c>
      <c r="GY33" s="156">
        <v>46221</v>
      </c>
      <c r="GZ33" s="156">
        <v>46222</v>
      </c>
      <c r="HA33" s="156">
        <v>46223</v>
      </c>
      <c r="HB33" s="156">
        <v>46224</v>
      </c>
      <c r="HC33" s="156">
        <v>46225</v>
      </c>
      <c r="HD33" s="156">
        <v>46226</v>
      </c>
      <c r="HE33" s="156">
        <v>46227</v>
      </c>
      <c r="HF33" s="156">
        <v>46228</v>
      </c>
      <c r="HG33" s="156">
        <v>46229</v>
      </c>
      <c r="HH33" s="156">
        <v>46230</v>
      </c>
      <c r="HI33" s="156">
        <v>46231</v>
      </c>
      <c r="HJ33" s="156">
        <v>46232</v>
      </c>
      <c r="HK33" s="156">
        <v>46233</v>
      </c>
      <c r="HL33" s="156">
        <v>46234</v>
      </c>
      <c r="HM33" s="156">
        <v>46235</v>
      </c>
      <c r="HN33" s="156">
        <v>46236</v>
      </c>
      <c r="HO33" s="156">
        <v>46237</v>
      </c>
      <c r="HP33" s="156">
        <v>46238</v>
      </c>
      <c r="HQ33" s="156">
        <v>46239</v>
      </c>
      <c r="HR33" s="156">
        <v>46240</v>
      </c>
      <c r="HS33" s="156">
        <v>46241</v>
      </c>
      <c r="HT33" s="156">
        <v>46242</v>
      </c>
      <c r="HU33" s="156">
        <v>46243</v>
      </c>
      <c r="HV33" s="156">
        <v>46244</v>
      </c>
      <c r="HW33" s="156">
        <v>46245</v>
      </c>
      <c r="HX33" s="156">
        <v>46246</v>
      </c>
      <c r="HY33" s="156">
        <v>46247</v>
      </c>
      <c r="HZ33" s="156">
        <v>46248</v>
      </c>
      <c r="IA33" s="156">
        <v>46249</v>
      </c>
      <c r="IB33" s="156">
        <v>46250</v>
      </c>
      <c r="IC33" s="156">
        <v>46251</v>
      </c>
      <c r="ID33" s="156">
        <v>46252</v>
      </c>
      <c r="IE33" s="156">
        <v>46253</v>
      </c>
      <c r="IF33" s="156">
        <v>46254</v>
      </c>
      <c r="IG33" s="156">
        <v>46255</v>
      </c>
      <c r="IH33" s="156">
        <v>46256</v>
      </c>
      <c r="II33" s="156">
        <v>46257</v>
      </c>
      <c r="IJ33" s="156">
        <v>46258</v>
      </c>
      <c r="IK33" s="156">
        <v>46259</v>
      </c>
      <c r="IL33" s="156">
        <v>46260</v>
      </c>
      <c r="IM33" s="156">
        <v>46261</v>
      </c>
      <c r="IN33" s="156">
        <v>46262</v>
      </c>
      <c r="IO33" s="156">
        <v>46263</v>
      </c>
      <c r="IP33" s="156">
        <v>46264</v>
      </c>
      <c r="IQ33" s="156">
        <v>46265</v>
      </c>
      <c r="IR33" s="156">
        <v>46266</v>
      </c>
      <c r="IS33" s="156">
        <v>46267</v>
      </c>
      <c r="IT33" s="156">
        <v>46268</v>
      </c>
      <c r="IU33" s="156">
        <v>46269</v>
      </c>
      <c r="IV33" s="156">
        <v>46270</v>
      </c>
      <c r="IW33" s="156">
        <v>46271</v>
      </c>
      <c r="IX33" s="156">
        <v>46272</v>
      </c>
      <c r="IY33" s="156">
        <v>46273</v>
      </c>
      <c r="IZ33" s="156">
        <v>46274</v>
      </c>
      <c r="JA33" s="156">
        <v>46275</v>
      </c>
      <c r="JB33" s="156">
        <v>46276</v>
      </c>
      <c r="JC33" s="156">
        <v>46277</v>
      </c>
      <c r="JD33" s="156">
        <v>46278</v>
      </c>
      <c r="JE33" s="156">
        <v>46279</v>
      </c>
      <c r="JF33" s="156">
        <v>46280</v>
      </c>
      <c r="JG33" s="156">
        <v>46281</v>
      </c>
      <c r="JH33" s="156">
        <v>46282</v>
      </c>
      <c r="JI33" s="156">
        <v>46283</v>
      </c>
      <c r="JJ33" s="156">
        <v>46284</v>
      </c>
      <c r="JK33" s="156">
        <v>46285</v>
      </c>
      <c r="JL33" s="156">
        <v>46286</v>
      </c>
      <c r="JM33" s="156">
        <v>46287</v>
      </c>
      <c r="JN33" s="156">
        <v>46288</v>
      </c>
      <c r="JO33" s="156">
        <v>46289</v>
      </c>
      <c r="JP33" s="156">
        <v>46290</v>
      </c>
      <c r="JQ33" s="156">
        <v>46291</v>
      </c>
      <c r="JR33" s="156">
        <v>46292</v>
      </c>
      <c r="JS33" s="156">
        <v>46293</v>
      </c>
      <c r="JT33" s="156">
        <v>46294</v>
      </c>
      <c r="JU33" s="156">
        <v>46295</v>
      </c>
      <c r="JV33" s="156">
        <v>46296</v>
      </c>
      <c r="JW33" s="156">
        <v>46297</v>
      </c>
      <c r="JX33" s="156">
        <v>46298</v>
      </c>
      <c r="JY33" s="156">
        <v>46299</v>
      </c>
      <c r="JZ33" s="156">
        <v>46300</v>
      </c>
      <c r="KA33" s="156">
        <v>46301</v>
      </c>
      <c r="KB33" s="156">
        <v>46302</v>
      </c>
      <c r="KC33" s="156">
        <v>46303</v>
      </c>
      <c r="KD33" s="156">
        <v>46304</v>
      </c>
      <c r="KE33" s="156">
        <v>46305</v>
      </c>
      <c r="KF33" s="156">
        <v>46306</v>
      </c>
      <c r="KG33" s="156">
        <v>46307</v>
      </c>
      <c r="KH33" s="156">
        <v>46308</v>
      </c>
      <c r="KI33" s="156">
        <v>46309</v>
      </c>
      <c r="KJ33" s="156">
        <v>46310</v>
      </c>
      <c r="KK33" s="156">
        <v>46311</v>
      </c>
      <c r="KL33" s="156">
        <v>46312</v>
      </c>
      <c r="KM33" s="156">
        <v>46313</v>
      </c>
      <c r="KN33" s="156">
        <v>46314</v>
      </c>
      <c r="KO33" s="156">
        <v>46315</v>
      </c>
      <c r="KP33" s="156">
        <v>46316</v>
      </c>
      <c r="KQ33" s="156">
        <v>46317</v>
      </c>
      <c r="KR33" s="156">
        <v>46318</v>
      </c>
      <c r="KS33" s="156">
        <v>46319</v>
      </c>
      <c r="KT33" s="156">
        <v>46320</v>
      </c>
      <c r="KU33" s="156">
        <v>46321</v>
      </c>
      <c r="KV33" s="156">
        <v>46322</v>
      </c>
      <c r="KW33" s="156">
        <v>46323</v>
      </c>
      <c r="KX33" s="156">
        <v>46324</v>
      </c>
      <c r="KY33" s="156">
        <v>46325</v>
      </c>
      <c r="KZ33" s="156">
        <v>46326</v>
      </c>
      <c r="LA33" s="156">
        <v>46327</v>
      </c>
      <c r="LB33" s="156">
        <v>46328</v>
      </c>
      <c r="LC33" s="156">
        <v>46329</v>
      </c>
      <c r="LD33" s="156">
        <v>46330</v>
      </c>
      <c r="LE33" s="156">
        <v>46331</v>
      </c>
      <c r="LF33" s="156">
        <v>46332</v>
      </c>
      <c r="LG33" s="156">
        <v>46333</v>
      </c>
      <c r="LH33" s="156">
        <v>46334</v>
      </c>
      <c r="LI33" s="156">
        <v>46335</v>
      </c>
      <c r="LJ33" s="156">
        <v>46336</v>
      </c>
      <c r="LK33" s="156">
        <v>46337</v>
      </c>
      <c r="LL33" s="156">
        <v>46338</v>
      </c>
      <c r="LM33" s="156">
        <v>46339</v>
      </c>
      <c r="LN33" s="156">
        <v>46340</v>
      </c>
      <c r="LO33" s="156">
        <v>46341</v>
      </c>
      <c r="LP33" s="156">
        <v>46342</v>
      </c>
      <c r="LQ33" s="156">
        <v>46343</v>
      </c>
      <c r="LR33" s="156">
        <v>46344</v>
      </c>
      <c r="LS33" s="156">
        <v>46345</v>
      </c>
      <c r="LT33" s="156">
        <v>46346</v>
      </c>
      <c r="LU33" s="156">
        <v>46347</v>
      </c>
      <c r="LV33" s="156">
        <v>46348</v>
      </c>
      <c r="LW33" s="156">
        <v>46349</v>
      </c>
      <c r="LX33" s="156">
        <v>46350</v>
      </c>
      <c r="LY33" s="156">
        <v>46351</v>
      </c>
      <c r="LZ33" s="156">
        <v>46352</v>
      </c>
      <c r="MA33" s="156">
        <v>46353</v>
      </c>
      <c r="MB33" s="156">
        <v>46354</v>
      </c>
      <c r="MC33" s="156">
        <v>46355</v>
      </c>
      <c r="MD33" s="156">
        <v>46356</v>
      </c>
      <c r="ME33" s="156">
        <v>46357</v>
      </c>
      <c r="MF33" s="156">
        <v>46358</v>
      </c>
      <c r="MG33" s="156">
        <v>46359</v>
      </c>
      <c r="MH33" s="156">
        <v>46360</v>
      </c>
      <c r="MI33" s="156">
        <v>46361</v>
      </c>
      <c r="MJ33" s="156">
        <v>46362</v>
      </c>
      <c r="MK33" s="156">
        <v>46363</v>
      </c>
      <c r="ML33" s="156">
        <v>46364</v>
      </c>
      <c r="MM33" s="156">
        <v>46365</v>
      </c>
      <c r="MN33" s="156">
        <v>46366</v>
      </c>
      <c r="MO33" s="156">
        <v>46367</v>
      </c>
      <c r="MP33" s="156">
        <v>46368</v>
      </c>
      <c r="MQ33" s="156">
        <v>46369</v>
      </c>
      <c r="MR33" s="156">
        <v>46370</v>
      </c>
      <c r="MS33" s="156">
        <v>46371</v>
      </c>
      <c r="MT33" s="156">
        <v>46372</v>
      </c>
      <c r="MU33" s="156">
        <v>46373</v>
      </c>
      <c r="MV33" s="156">
        <v>46374</v>
      </c>
      <c r="MW33" s="156">
        <v>46375</v>
      </c>
      <c r="MX33" s="156">
        <v>46376</v>
      </c>
      <c r="MY33" s="156">
        <v>46377</v>
      </c>
      <c r="MZ33" s="156">
        <v>46378</v>
      </c>
      <c r="NA33" s="156">
        <v>46379</v>
      </c>
      <c r="NB33" s="156">
        <v>46380</v>
      </c>
      <c r="NC33" s="156">
        <v>46381</v>
      </c>
      <c r="ND33" s="156">
        <v>46382</v>
      </c>
      <c r="NE33" s="156">
        <v>46383</v>
      </c>
      <c r="NF33" s="156">
        <v>46384</v>
      </c>
      <c r="NG33" s="156">
        <v>46385</v>
      </c>
      <c r="NH33" s="156">
        <v>46386</v>
      </c>
    </row>
    <row r="34" spans="1:372" x14ac:dyDescent="0.25">
      <c r="A34" s="138" t="s">
        <v>227</v>
      </c>
      <c r="B34" s="137">
        <v>6000</v>
      </c>
      <c r="C34" s="139" t="s">
        <v>225</v>
      </c>
      <c r="D34" s="140">
        <v>46023</v>
      </c>
      <c r="E34" s="140"/>
      <c r="G34" cm="1">
        <f t="array" ref="G34:G39">nabla.e.SumRowsλ(_xlfn.ANCHORARRAY(H34))</f>
        <v>162000</v>
      </c>
      <c r="H34" s="142" cm="1">
        <f t="array" ref="H34:NH39">nabla.d.IsOccurrenceDateλ(_xlfn.ANCHORARRAY( H33), tblBudget[First Date], tblBudget[Last Date], tblBudget[Schedule]) * tblBudget[Amount]</f>
        <v>6000</v>
      </c>
      <c r="I34">
        <v>0</v>
      </c>
      <c r="J34">
        <v>0</v>
      </c>
      <c r="K34">
        <v>0</v>
      </c>
      <c r="L34">
        <v>0</v>
      </c>
      <c r="M34">
        <v>0</v>
      </c>
      <c r="N34">
        <v>0</v>
      </c>
      <c r="O34">
        <v>0</v>
      </c>
      <c r="P34">
        <v>0</v>
      </c>
      <c r="Q34">
        <v>0</v>
      </c>
      <c r="R34">
        <v>0</v>
      </c>
      <c r="S34">
        <v>0</v>
      </c>
      <c r="T34">
        <v>0</v>
      </c>
      <c r="U34">
        <v>0</v>
      </c>
      <c r="V34">
        <v>6000</v>
      </c>
      <c r="W34">
        <v>0</v>
      </c>
      <c r="X34">
        <v>0</v>
      </c>
      <c r="Y34">
        <v>0</v>
      </c>
      <c r="Z34">
        <v>0</v>
      </c>
      <c r="AA34">
        <v>0</v>
      </c>
      <c r="AB34">
        <v>0</v>
      </c>
      <c r="AC34">
        <v>0</v>
      </c>
      <c r="AD34">
        <v>0</v>
      </c>
      <c r="AE34">
        <v>0</v>
      </c>
      <c r="AF34">
        <v>0</v>
      </c>
      <c r="AG34">
        <v>0</v>
      </c>
      <c r="AH34">
        <v>0</v>
      </c>
      <c r="AI34">
        <v>0</v>
      </c>
      <c r="AJ34">
        <v>6000</v>
      </c>
      <c r="AK34">
        <v>0</v>
      </c>
      <c r="AL34">
        <v>0</v>
      </c>
      <c r="AM34">
        <v>0</v>
      </c>
      <c r="AN34">
        <v>0</v>
      </c>
      <c r="AO34">
        <v>0</v>
      </c>
      <c r="AP34">
        <v>0</v>
      </c>
      <c r="AQ34">
        <v>0</v>
      </c>
      <c r="AR34">
        <v>0</v>
      </c>
      <c r="AS34">
        <v>0</v>
      </c>
      <c r="AT34">
        <v>0</v>
      </c>
      <c r="AU34">
        <v>0</v>
      </c>
      <c r="AV34">
        <v>0</v>
      </c>
      <c r="AW34">
        <v>0</v>
      </c>
      <c r="AX34">
        <v>6000</v>
      </c>
      <c r="AY34">
        <v>0</v>
      </c>
      <c r="AZ34">
        <v>0</v>
      </c>
      <c r="BA34">
        <v>0</v>
      </c>
      <c r="BB34">
        <v>0</v>
      </c>
      <c r="BC34">
        <v>0</v>
      </c>
      <c r="BD34">
        <v>0</v>
      </c>
      <c r="BE34">
        <v>0</v>
      </c>
      <c r="BF34">
        <v>0</v>
      </c>
      <c r="BG34">
        <v>0</v>
      </c>
      <c r="BH34">
        <v>0</v>
      </c>
      <c r="BI34">
        <v>0</v>
      </c>
      <c r="BJ34">
        <v>0</v>
      </c>
      <c r="BK34">
        <v>0</v>
      </c>
      <c r="BL34">
        <v>6000</v>
      </c>
      <c r="BM34">
        <v>0</v>
      </c>
      <c r="BN34">
        <v>0</v>
      </c>
      <c r="BO34">
        <v>0</v>
      </c>
      <c r="BP34">
        <v>0</v>
      </c>
      <c r="BQ34">
        <v>0</v>
      </c>
      <c r="BR34">
        <v>0</v>
      </c>
      <c r="BS34">
        <v>0</v>
      </c>
      <c r="BT34">
        <v>0</v>
      </c>
      <c r="BU34">
        <v>0</v>
      </c>
      <c r="BV34">
        <v>0</v>
      </c>
      <c r="BW34">
        <v>0</v>
      </c>
      <c r="BX34">
        <v>0</v>
      </c>
      <c r="BY34">
        <v>0</v>
      </c>
      <c r="BZ34">
        <v>6000</v>
      </c>
      <c r="CA34">
        <v>0</v>
      </c>
      <c r="CB34">
        <v>0</v>
      </c>
      <c r="CC34">
        <v>0</v>
      </c>
      <c r="CD34">
        <v>0</v>
      </c>
      <c r="CE34">
        <v>0</v>
      </c>
      <c r="CF34">
        <v>0</v>
      </c>
      <c r="CG34">
        <v>0</v>
      </c>
      <c r="CH34">
        <v>0</v>
      </c>
      <c r="CI34">
        <v>0</v>
      </c>
      <c r="CJ34">
        <v>0</v>
      </c>
      <c r="CK34">
        <v>0</v>
      </c>
      <c r="CL34">
        <v>0</v>
      </c>
      <c r="CM34">
        <v>0</v>
      </c>
      <c r="CN34">
        <v>6000</v>
      </c>
      <c r="CO34">
        <v>0</v>
      </c>
      <c r="CP34">
        <v>0</v>
      </c>
      <c r="CQ34">
        <v>0</v>
      </c>
      <c r="CR34">
        <v>0</v>
      </c>
      <c r="CS34">
        <v>0</v>
      </c>
      <c r="CT34">
        <v>0</v>
      </c>
      <c r="CU34">
        <v>0</v>
      </c>
      <c r="CV34">
        <v>0</v>
      </c>
      <c r="CW34">
        <v>0</v>
      </c>
      <c r="CX34">
        <v>0</v>
      </c>
      <c r="CY34">
        <v>0</v>
      </c>
      <c r="CZ34">
        <v>0</v>
      </c>
      <c r="DA34">
        <v>0</v>
      </c>
      <c r="DB34">
        <v>6000</v>
      </c>
      <c r="DC34">
        <v>0</v>
      </c>
      <c r="DD34">
        <v>0</v>
      </c>
      <c r="DE34">
        <v>0</v>
      </c>
      <c r="DF34">
        <v>0</v>
      </c>
      <c r="DG34">
        <v>0</v>
      </c>
      <c r="DH34">
        <v>0</v>
      </c>
      <c r="DI34">
        <v>0</v>
      </c>
      <c r="DJ34">
        <v>0</v>
      </c>
      <c r="DK34">
        <v>0</v>
      </c>
      <c r="DL34">
        <v>0</v>
      </c>
      <c r="DM34">
        <v>0</v>
      </c>
      <c r="DN34">
        <v>0</v>
      </c>
      <c r="DO34">
        <v>0</v>
      </c>
      <c r="DP34">
        <v>6000</v>
      </c>
      <c r="DQ34">
        <v>0</v>
      </c>
      <c r="DR34">
        <v>0</v>
      </c>
      <c r="DS34">
        <v>0</v>
      </c>
      <c r="DT34">
        <v>0</v>
      </c>
      <c r="DU34">
        <v>0</v>
      </c>
      <c r="DV34">
        <v>0</v>
      </c>
      <c r="DW34">
        <v>0</v>
      </c>
      <c r="DX34">
        <v>0</v>
      </c>
      <c r="DY34">
        <v>0</v>
      </c>
      <c r="DZ34">
        <v>0</v>
      </c>
      <c r="EA34">
        <v>0</v>
      </c>
      <c r="EB34">
        <v>0</v>
      </c>
      <c r="EC34">
        <v>0</v>
      </c>
      <c r="ED34">
        <v>6000</v>
      </c>
      <c r="EE34">
        <v>0</v>
      </c>
      <c r="EF34">
        <v>0</v>
      </c>
      <c r="EG34">
        <v>0</v>
      </c>
      <c r="EH34">
        <v>0</v>
      </c>
      <c r="EI34">
        <v>0</v>
      </c>
      <c r="EJ34">
        <v>0</v>
      </c>
      <c r="EK34">
        <v>0</v>
      </c>
      <c r="EL34">
        <v>0</v>
      </c>
      <c r="EM34">
        <v>0</v>
      </c>
      <c r="EN34">
        <v>0</v>
      </c>
      <c r="EO34">
        <v>0</v>
      </c>
      <c r="EP34">
        <v>0</v>
      </c>
      <c r="EQ34">
        <v>0</v>
      </c>
      <c r="ER34">
        <v>6000</v>
      </c>
      <c r="ES34">
        <v>0</v>
      </c>
      <c r="ET34">
        <v>0</v>
      </c>
      <c r="EU34">
        <v>0</v>
      </c>
      <c r="EV34">
        <v>0</v>
      </c>
      <c r="EW34">
        <v>0</v>
      </c>
      <c r="EX34">
        <v>0</v>
      </c>
      <c r="EY34">
        <v>0</v>
      </c>
      <c r="EZ34">
        <v>0</v>
      </c>
      <c r="FA34">
        <v>0</v>
      </c>
      <c r="FB34">
        <v>0</v>
      </c>
      <c r="FC34">
        <v>0</v>
      </c>
      <c r="FD34">
        <v>0</v>
      </c>
      <c r="FE34">
        <v>0</v>
      </c>
      <c r="FF34">
        <v>6000</v>
      </c>
      <c r="FG34">
        <v>0</v>
      </c>
      <c r="FH34">
        <v>0</v>
      </c>
      <c r="FI34">
        <v>0</v>
      </c>
      <c r="FJ34">
        <v>0</v>
      </c>
      <c r="FK34">
        <v>0</v>
      </c>
      <c r="FL34">
        <v>0</v>
      </c>
      <c r="FM34">
        <v>0</v>
      </c>
      <c r="FN34">
        <v>0</v>
      </c>
      <c r="FO34">
        <v>0</v>
      </c>
      <c r="FP34">
        <v>0</v>
      </c>
      <c r="FQ34">
        <v>0</v>
      </c>
      <c r="FR34">
        <v>0</v>
      </c>
      <c r="FS34">
        <v>0</v>
      </c>
      <c r="FT34">
        <v>6000</v>
      </c>
      <c r="FU34">
        <v>0</v>
      </c>
      <c r="FV34">
        <v>0</v>
      </c>
      <c r="FW34">
        <v>0</v>
      </c>
      <c r="FX34">
        <v>0</v>
      </c>
      <c r="FY34">
        <v>0</v>
      </c>
      <c r="FZ34">
        <v>0</v>
      </c>
      <c r="GA34">
        <v>0</v>
      </c>
      <c r="GB34">
        <v>0</v>
      </c>
      <c r="GC34">
        <v>0</v>
      </c>
      <c r="GD34">
        <v>0</v>
      </c>
      <c r="GE34">
        <v>0</v>
      </c>
      <c r="GF34">
        <v>0</v>
      </c>
      <c r="GG34">
        <v>0</v>
      </c>
      <c r="GH34">
        <v>6000</v>
      </c>
      <c r="GI34">
        <v>0</v>
      </c>
      <c r="GJ34">
        <v>0</v>
      </c>
      <c r="GK34">
        <v>0</v>
      </c>
      <c r="GL34">
        <v>0</v>
      </c>
      <c r="GM34">
        <v>0</v>
      </c>
      <c r="GN34">
        <v>0</v>
      </c>
      <c r="GO34">
        <v>0</v>
      </c>
      <c r="GP34">
        <v>0</v>
      </c>
      <c r="GQ34">
        <v>0</v>
      </c>
      <c r="GR34">
        <v>0</v>
      </c>
      <c r="GS34">
        <v>0</v>
      </c>
      <c r="GT34">
        <v>0</v>
      </c>
      <c r="GU34">
        <v>0</v>
      </c>
      <c r="GV34">
        <v>6000</v>
      </c>
      <c r="GW34">
        <v>0</v>
      </c>
      <c r="GX34">
        <v>0</v>
      </c>
      <c r="GY34">
        <v>0</v>
      </c>
      <c r="GZ34">
        <v>0</v>
      </c>
      <c r="HA34">
        <v>0</v>
      </c>
      <c r="HB34">
        <v>0</v>
      </c>
      <c r="HC34">
        <v>0</v>
      </c>
      <c r="HD34">
        <v>0</v>
      </c>
      <c r="HE34">
        <v>0</v>
      </c>
      <c r="HF34">
        <v>0</v>
      </c>
      <c r="HG34">
        <v>0</v>
      </c>
      <c r="HH34">
        <v>0</v>
      </c>
      <c r="HI34">
        <v>0</v>
      </c>
      <c r="HJ34">
        <v>6000</v>
      </c>
      <c r="HK34">
        <v>0</v>
      </c>
      <c r="HL34">
        <v>0</v>
      </c>
      <c r="HM34">
        <v>0</v>
      </c>
      <c r="HN34">
        <v>0</v>
      </c>
      <c r="HO34">
        <v>0</v>
      </c>
      <c r="HP34">
        <v>0</v>
      </c>
      <c r="HQ34">
        <v>0</v>
      </c>
      <c r="HR34">
        <v>0</v>
      </c>
      <c r="HS34">
        <v>0</v>
      </c>
      <c r="HT34">
        <v>0</v>
      </c>
      <c r="HU34">
        <v>0</v>
      </c>
      <c r="HV34">
        <v>0</v>
      </c>
      <c r="HW34">
        <v>0</v>
      </c>
      <c r="HX34">
        <v>6000</v>
      </c>
      <c r="HY34">
        <v>0</v>
      </c>
      <c r="HZ34">
        <v>0</v>
      </c>
      <c r="IA34">
        <v>0</v>
      </c>
      <c r="IB34">
        <v>0</v>
      </c>
      <c r="IC34">
        <v>0</v>
      </c>
      <c r="ID34">
        <v>0</v>
      </c>
      <c r="IE34">
        <v>0</v>
      </c>
      <c r="IF34">
        <v>0</v>
      </c>
      <c r="IG34">
        <v>0</v>
      </c>
      <c r="IH34">
        <v>0</v>
      </c>
      <c r="II34">
        <v>0</v>
      </c>
      <c r="IJ34">
        <v>0</v>
      </c>
      <c r="IK34">
        <v>0</v>
      </c>
      <c r="IL34">
        <v>6000</v>
      </c>
      <c r="IM34">
        <v>0</v>
      </c>
      <c r="IN34">
        <v>0</v>
      </c>
      <c r="IO34">
        <v>0</v>
      </c>
      <c r="IP34">
        <v>0</v>
      </c>
      <c r="IQ34">
        <v>0</v>
      </c>
      <c r="IR34">
        <v>0</v>
      </c>
      <c r="IS34">
        <v>0</v>
      </c>
      <c r="IT34">
        <v>0</v>
      </c>
      <c r="IU34">
        <v>0</v>
      </c>
      <c r="IV34">
        <v>0</v>
      </c>
      <c r="IW34">
        <v>0</v>
      </c>
      <c r="IX34">
        <v>0</v>
      </c>
      <c r="IY34">
        <v>0</v>
      </c>
      <c r="IZ34">
        <v>6000</v>
      </c>
      <c r="JA34">
        <v>0</v>
      </c>
      <c r="JB34">
        <v>0</v>
      </c>
      <c r="JC34">
        <v>0</v>
      </c>
      <c r="JD34">
        <v>0</v>
      </c>
      <c r="JE34">
        <v>0</v>
      </c>
      <c r="JF34">
        <v>0</v>
      </c>
      <c r="JG34">
        <v>0</v>
      </c>
      <c r="JH34">
        <v>0</v>
      </c>
      <c r="JI34">
        <v>0</v>
      </c>
      <c r="JJ34">
        <v>0</v>
      </c>
      <c r="JK34">
        <v>0</v>
      </c>
      <c r="JL34">
        <v>0</v>
      </c>
      <c r="JM34">
        <v>0</v>
      </c>
      <c r="JN34">
        <v>6000</v>
      </c>
      <c r="JO34">
        <v>0</v>
      </c>
      <c r="JP34">
        <v>0</v>
      </c>
      <c r="JQ34">
        <v>0</v>
      </c>
      <c r="JR34">
        <v>0</v>
      </c>
      <c r="JS34">
        <v>0</v>
      </c>
      <c r="JT34">
        <v>0</v>
      </c>
      <c r="JU34">
        <v>0</v>
      </c>
      <c r="JV34">
        <v>0</v>
      </c>
      <c r="JW34">
        <v>0</v>
      </c>
      <c r="JX34">
        <v>0</v>
      </c>
      <c r="JY34">
        <v>0</v>
      </c>
      <c r="JZ34">
        <v>0</v>
      </c>
      <c r="KA34">
        <v>0</v>
      </c>
      <c r="KB34">
        <v>6000</v>
      </c>
      <c r="KC34">
        <v>0</v>
      </c>
      <c r="KD34">
        <v>0</v>
      </c>
      <c r="KE34">
        <v>0</v>
      </c>
      <c r="KF34">
        <v>0</v>
      </c>
      <c r="KG34">
        <v>0</v>
      </c>
      <c r="KH34">
        <v>0</v>
      </c>
      <c r="KI34">
        <v>0</v>
      </c>
      <c r="KJ34">
        <v>0</v>
      </c>
      <c r="KK34">
        <v>0</v>
      </c>
      <c r="KL34">
        <v>0</v>
      </c>
      <c r="KM34">
        <v>0</v>
      </c>
      <c r="KN34">
        <v>0</v>
      </c>
      <c r="KO34">
        <v>0</v>
      </c>
      <c r="KP34">
        <v>6000</v>
      </c>
      <c r="KQ34">
        <v>0</v>
      </c>
      <c r="KR34">
        <v>0</v>
      </c>
      <c r="KS34">
        <v>0</v>
      </c>
      <c r="KT34">
        <v>0</v>
      </c>
      <c r="KU34">
        <v>0</v>
      </c>
      <c r="KV34">
        <v>0</v>
      </c>
      <c r="KW34">
        <v>0</v>
      </c>
      <c r="KX34">
        <v>0</v>
      </c>
      <c r="KY34">
        <v>0</v>
      </c>
      <c r="KZ34">
        <v>0</v>
      </c>
      <c r="LA34">
        <v>0</v>
      </c>
      <c r="LB34">
        <v>0</v>
      </c>
      <c r="LC34">
        <v>0</v>
      </c>
      <c r="LD34">
        <v>6000</v>
      </c>
      <c r="LE34">
        <v>0</v>
      </c>
      <c r="LF34">
        <v>0</v>
      </c>
      <c r="LG34">
        <v>0</v>
      </c>
      <c r="LH34">
        <v>0</v>
      </c>
      <c r="LI34">
        <v>0</v>
      </c>
      <c r="LJ34">
        <v>0</v>
      </c>
      <c r="LK34">
        <v>0</v>
      </c>
      <c r="LL34">
        <v>0</v>
      </c>
      <c r="LM34">
        <v>0</v>
      </c>
      <c r="LN34">
        <v>0</v>
      </c>
      <c r="LO34">
        <v>0</v>
      </c>
      <c r="LP34">
        <v>0</v>
      </c>
      <c r="LQ34">
        <v>0</v>
      </c>
      <c r="LR34">
        <v>6000</v>
      </c>
      <c r="LS34">
        <v>0</v>
      </c>
      <c r="LT34">
        <v>0</v>
      </c>
      <c r="LU34">
        <v>0</v>
      </c>
      <c r="LV34">
        <v>0</v>
      </c>
      <c r="LW34">
        <v>0</v>
      </c>
      <c r="LX34">
        <v>0</v>
      </c>
      <c r="LY34">
        <v>0</v>
      </c>
      <c r="LZ34">
        <v>0</v>
      </c>
      <c r="MA34">
        <v>0</v>
      </c>
      <c r="MB34">
        <v>0</v>
      </c>
      <c r="MC34">
        <v>0</v>
      </c>
      <c r="MD34">
        <v>0</v>
      </c>
      <c r="ME34">
        <v>0</v>
      </c>
      <c r="MF34">
        <v>6000</v>
      </c>
      <c r="MG34">
        <v>0</v>
      </c>
      <c r="MH34">
        <v>0</v>
      </c>
      <c r="MI34">
        <v>0</v>
      </c>
      <c r="MJ34">
        <v>0</v>
      </c>
      <c r="MK34">
        <v>0</v>
      </c>
      <c r="ML34">
        <v>0</v>
      </c>
      <c r="MM34">
        <v>0</v>
      </c>
      <c r="MN34">
        <v>0</v>
      </c>
      <c r="MO34">
        <v>0</v>
      </c>
      <c r="MP34">
        <v>0</v>
      </c>
      <c r="MQ34">
        <v>0</v>
      </c>
      <c r="MR34">
        <v>0</v>
      </c>
      <c r="MS34">
        <v>0</v>
      </c>
      <c r="MT34">
        <v>6000</v>
      </c>
      <c r="MU34">
        <v>0</v>
      </c>
      <c r="MV34">
        <v>0</v>
      </c>
      <c r="MW34">
        <v>0</v>
      </c>
      <c r="MX34">
        <v>0</v>
      </c>
      <c r="MY34">
        <v>0</v>
      </c>
      <c r="MZ34">
        <v>0</v>
      </c>
      <c r="NA34">
        <v>0</v>
      </c>
      <c r="NB34">
        <v>0</v>
      </c>
      <c r="NC34">
        <v>0</v>
      </c>
      <c r="ND34">
        <v>0</v>
      </c>
      <c r="NE34">
        <v>0</v>
      </c>
      <c r="NF34">
        <v>0</v>
      </c>
      <c r="NG34">
        <v>0</v>
      </c>
      <c r="NH34">
        <v>6000</v>
      </c>
    </row>
    <row r="35" spans="1:372" x14ac:dyDescent="0.25">
      <c r="A35" s="138" t="s">
        <v>228</v>
      </c>
      <c r="B35" s="137">
        <v>-4500</v>
      </c>
      <c r="C35" s="139" t="s">
        <v>144</v>
      </c>
      <c r="D35" s="140">
        <v>37261</v>
      </c>
      <c r="E35" s="140">
        <v>48579</v>
      </c>
      <c r="G35">
        <v>-54000</v>
      </c>
      <c r="H35">
        <v>0</v>
      </c>
      <c r="I35">
        <v>0</v>
      </c>
      <c r="J35">
        <v>0</v>
      </c>
      <c r="K35">
        <v>0</v>
      </c>
      <c r="L35">
        <v>-4500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-4500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-4500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-4500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-4500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-4500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-4500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-4500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-4500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-4500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-4500</v>
      </c>
      <c r="LF35">
        <v>0</v>
      </c>
      <c r="LG35">
        <v>0</v>
      </c>
      <c r="LH35">
        <v>0</v>
      </c>
      <c r="LI35">
        <v>0</v>
      </c>
      <c r="LJ35">
        <v>0</v>
      </c>
      <c r="LK35">
        <v>0</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-4500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row>
    <row r="36" spans="1:372" x14ac:dyDescent="0.25">
      <c r="A36" s="138" t="s">
        <v>229</v>
      </c>
      <c r="B36" s="137">
        <v>-2000</v>
      </c>
      <c r="C36" s="139" t="s">
        <v>230</v>
      </c>
      <c r="D36" s="140">
        <v>37257</v>
      </c>
      <c r="E36" s="140"/>
      <c r="G36">
        <v>-4000</v>
      </c>
      <c r="H36">
        <v>-2000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-2000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row>
    <row r="37" spans="1:372" x14ac:dyDescent="0.25">
      <c r="A37" s="138" t="s">
        <v>234</v>
      </c>
      <c r="B37" s="137">
        <v>-500</v>
      </c>
      <c r="C37" s="139" t="s">
        <v>233</v>
      </c>
      <c r="D37" s="140">
        <v>46032</v>
      </c>
      <c r="E37" s="140"/>
      <c r="G37">
        <v>-2000</v>
      </c>
      <c r="H37">
        <v>0</v>
      </c>
      <c r="I37">
        <v>0</v>
      </c>
      <c r="J37">
        <v>0</v>
      </c>
      <c r="K37">
        <v>0</v>
      </c>
      <c r="L37">
        <v>0</v>
      </c>
      <c r="M37">
        <v>0</v>
      </c>
      <c r="N37">
        <v>0</v>
      </c>
      <c r="O37">
        <v>0</v>
      </c>
      <c r="P37">
        <v>0</v>
      </c>
      <c r="Q37">
        <v>-500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-500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-500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-500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row>
    <row r="38" spans="1:372" x14ac:dyDescent="0.25">
      <c r="A38" s="138" t="s">
        <v>232</v>
      </c>
      <c r="B38" s="137">
        <v>-75</v>
      </c>
      <c r="C38" s="139" t="s">
        <v>231</v>
      </c>
      <c r="D38" s="140">
        <v>46025</v>
      </c>
      <c r="E38" s="140"/>
      <c r="G38">
        <v>-3900</v>
      </c>
      <c r="H38">
        <v>0</v>
      </c>
      <c r="I38">
        <v>0</v>
      </c>
      <c r="J38">
        <v>-75</v>
      </c>
      <c r="K38">
        <v>0</v>
      </c>
      <c r="L38">
        <v>0</v>
      </c>
      <c r="M38">
        <v>0</v>
      </c>
      <c r="N38">
        <v>0</v>
      </c>
      <c r="O38">
        <v>0</v>
      </c>
      <c r="P38">
        <v>0</v>
      </c>
      <c r="Q38">
        <v>-75</v>
      </c>
      <c r="R38">
        <v>0</v>
      </c>
      <c r="S38">
        <v>0</v>
      </c>
      <c r="T38">
        <v>0</v>
      </c>
      <c r="U38">
        <v>0</v>
      </c>
      <c r="V38">
        <v>0</v>
      </c>
      <c r="W38">
        <v>0</v>
      </c>
      <c r="X38">
        <v>-75</v>
      </c>
      <c r="Y38">
        <v>0</v>
      </c>
      <c r="Z38">
        <v>0</v>
      </c>
      <c r="AA38">
        <v>0</v>
      </c>
      <c r="AB38">
        <v>0</v>
      </c>
      <c r="AC38">
        <v>0</v>
      </c>
      <c r="AD38">
        <v>0</v>
      </c>
      <c r="AE38">
        <v>-75</v>
      </c>
      <c r="AF38">
        <v>0</v>
      </c>
      <c r="AG38">
        <v>0</v>
      </c>
      <c r="AH38">
        <v>0</v>
      </c>
      <c r="AI38">
        <v>0</v>
      </c>
      <c r="AJ38">
        <v>0</v>
      </c>
      <c r="AK38">
        <v>0</v>
      </c>
      <c r="AL38">
        <v>-75</v>
      </c>
      <c r="AM38">
        <v>0</v>
      </c>
      <c r="AN38">
        <v>0</v>
      </c>
      <c r="AO38">
        <v>0</v>
      </c>
      <c r="AP38">
        <v>0</v>
      </c>
      <c r="AQ38">
        <v>0</v>
      </c>
      <c r="AR38">
        <v>0</v>
      </c>
      <c r="AS38">
        <v>-75</v>
      </c>
      <c r="AT38">
        <v>0</v>
      </c>
      <c r="AU38">
        <v>0</v>
      </c>
      <c r="AV38">
        <v>0</v>
      </c>
      <c r="AW38">
        <v>0</v>
      </c>
      <c r="AX38">
        <v>0</v>
      </c>
      <c r="AY38">
        <v>0</v>
      </c>
      <c r="AZ38">
        <v>-75</v>
      </c>
      <c r="BA38">
        <v>0</v>
      </c>
      <c r="BB38">
        <v>0</v>
      </c>
      <c r="BC38">
        <v>0</v>
      </c>
      <c r="BD38">
        <v>0</v>
      </c>
      <c r="BE38">
        <v>0</v>
      </c>
      <c r="BF38">
        <v>0</v>
      </c>
      <c r="BG38">
        <v>-75</v>
      </c>
      <c r="BH38">
        <v>0</v>
      </c>
      <c r="BI38">
        <v>0</v>
      </c>
      <c r="BJ38">
        <v>0</v>
      </c>
      <c r="BK38">
        <v>0</v>
      </c>
      <c r="BL38">
        <v>0</v>
      </c>
      <c r="BM38">
        <v>0</v>
      </c>
      <c r="BN38">
        <v>-75</v>
      </c>
      <c r="BO38">
        <v>0</v>
      </c>
      <c r="BP38">
        <v>0</v>
      </c>
      <c r="BQ38">
        <v>0</v>
      </c>
      <c r="BR38">
        <v>0</v>
      </c>
      <c r="BS38">
        <v>0</v>
      </c>
      <c r="BT38">
        <v>0</v>
      </c>
      <c r="BU38">
        <v>-75</v>
      </c>
      <c r="BV38">
        <v>0</v>
      </c>
      <c r="BW38">
        <v>0</v>
      </c>
      <c r="BX38">
        <v>0</v>
      </c>
      <c r="BY38">
        <v>0</v>
      </c>
      <c r="BZ38">
        <v>0</v>
      </c>
      <c r="CA38">
        <v>0</v>
      </c>
      <c r="CB38">
        <v>-75</v>
      </c>
      <c r="CC38">
        <v>0</v>
      </c>
      <c r="CD38">
        <v>0</v>
      </c>
      <c r="CE38">
        <v>0</v>
      </c>
      <c r="CF38">
        <v>0</v>
      </c>
      <c r="CG38">
        <v>0</v>
      </c>
      <c r="CH38">
        <v>0</v>
      </c>
      <c r="CI38">
        <v>-75</v>
      </c>
      <c r="CJ38">
        <v>0</v>
      </c>
      <c r="CK38">
        <v>0</v>
      </c>
      <c r="CL38">
        <v>0</v>
      </c>
      <c r="CM38">
        <v>0</v>
      </c>
      <c r="CN38">
        <v>0</v>
      </c>
      <c r="CO38">
        <v>0</v>
      </c>
      <c r="CP38">
        <v>-75</v>
      </c>
      <c r="CQ38">
        <v>0</v>
      </c>
      <c r="CR38">
        <v>0</v>
      </c>
      <c r="CS38">
        <v>0</v>
      </c>
      <c r="CT38">
        <v>0</v>
      </c>
      <c r="CU38">
        <v>0</v>
      </c>
      <c r="CV38">
        <v>0</v>
      </c>
      <c r="CW38">
        <v>-75</v>
      </c>
      <c r="CX38">
        <v>0</v>
      </c>
      <c r="CY38">
        <v>0</v>
      </c>
      <c r="CZ38">
        <v>0</v>
      </c>
      <c r="DA38">
        <v>0</v>
      </c>
      <c r="DB38">
        <v>0</v>
      </c>
      <c r="DC38">
        <v>0</v>
      </c>
      <c r="DD38">
        <v>-75</v>
      </c>
      <c r="DE38">
        <v>0</v>
      </c>
      <c r="DF38">
        <v>0</v>
      </c>
      <c r="DG38">
        <v>0</v>
      </c>
      <c r="DH38">
        <v>0</v>
      </c>
      <c r="DI38">
        <v>0</v>
      </c>
      <c r="DJ38">
        <v>0</v>
      </c>
      <c r="DK38">
        <v>-75</v>
      </c>
      <c r="DL38">
        <v>0</v>
      </c>
      <c r="DM38">
        <v>0</v>
      </c>
      <c r="DN38">
        <v>0</v>
      </c>
      <c r="DO38">
        <v>0</v>
      </c>
      <c r="DP38">
        <v>0</v>
      </c>
      <c r="DQ38">
        <v>0</v>
      </c>
      <c r="DR38">
        <v>-75</v>
      </c>
      <c r="DS38">
        <v>0</v>
      </c>
      <c r="DT38">
        <v>0</v>
      </c>
      <c r="DU38">
        <v>0</v>
      </c>
      <c r="DV38">
        <v>0</v>
      </c>
      <c r="DW38">
        <v>0</v>
      </c>
      <c r="DX38">
        <v>0</v>
      </c>
      <c r="DY38">
        <v>-75</v>
      </c>
      <c r="DZ38">
        <v>0</v>
      </c>
      <c r="EA38">
        <v>0</v>
      </c>
      <c r="EB38">
        <v>0</v>
      </c>
      <c r="EC38">
        <v>0</v>
      </c>
      <c r="ED38">
        <v>0</v>
      </c>
      <c r="EE38">
        <v>0</v>
      </c>
      <c r="EF38">
        <v>-75</v>
      </c>
      <c r="EG38">
        <v>0</v>
      </c>
      <c r="EH38">
        <v>0</v>
      </c>
      <c r="EI38">
        <v>0</v>
      </c>
      <c r="EJ38">
        <v>0</v>
      </c>
      <c r="EK38">
        <v>0</v>
      </c>
      <c r="EL38">
        <v>0</v>
      </c>
      <c r="EM38">
        <v>-75</v>
      </c>
      <c r="EN38">
        <v>0</v>
      </c>
      <c r="EO38">
        <v>0</v>
      </c>
      <c r="EP38">
        <v>0</v>
      </c>
      <c r="EQ38">
        <v>0</v>
      </c>
      <c r="ER38">
        <v>0</v>
      </c>
      <c r="ES38">
        <v>0</v>
      </c>
      <c r="ET38">
        <v>-75</v>
      </c>
      <c r="EU38">
        <v>0</v>
      </c>
      <c r="EV38">
        <v>0</v>
      </c>
      <c r="EW38">
        <v>0</v>
      </c>
      <c r="EX38">
        <v>0</v>
      </c>
      <c r="EY38">
        <v>0</v>
      </c>
      <c r="EZ38">
        <v>0</v>
      </c>
      <c r="FA38">
        <v>-75</v>
      </c>
      <c r="FB38">
        <v>0</v>
      </c>
      <c r="FC38">
        <v>0</v>
      </c>
      <c r="FD38">
        <v>0</v>
      </c>
      <c r="FE38">
        <v>0</v>
      </c>
      <c r="FF38">
        <v>0</v>
      </c>
      <c r="FG38">
        <v>0</v>
      </c>
      <c r="FH38">
        <v>-75</v>
      </c>
      <c r="FI38">
        <v>0</v>
      </c>
      <c r="FJ38">
        <v>0</v>
      </c>
      <c r="FK38">
        <v>0</v>
      </c>
      <c r="FL38">
        <v>0</v>
      </c>
      <c r="FM38">
        <v>0</v>
      </c>
      <c r="FN38">
        <v>0</v>
      </c>
      <c r="FO38">
        <v>-75</v>
      </c>
      <c r="FP38">
        <v>0</v>
      </c>
      <c r="FQ38">
        <v>0</v>
      </c>
      <c r="FR38">
        <v>0</v>
      </c>
      <c r="FS38">
        <v>0</v>
      </c>
      <c r="FT38">
        <v>0</v>
      </c>
      <c r="FU38">
        <v>0</v>
      </c>
      <c r="FV38">
        <v>-75</v>
      </c>
      <c r="FW38">
        <v>0</v>
      </c>
      <c r="FX38">
        <v>0</v>
      </c>
      <c r="FY38">
        <v>0</v>
      </c>
      <c r="FZ38">
        <v>0</v>
      </c>
      <c r="GA38">
        <v>0</v>
      </c>
      <c r="GB38">
        <v>0</v>
      </c>
      <c r="GC38">
        <v>-75</v>
      </c>
      <c r="GD38">
        <v>0</v>
      </c>
      <c r="GE38">
        <v>0</v>
      </c>
      <c r="GF38">
        <v>0</v>
      </c>
      <c r="GG38">
        <v>0</v>
      </c>
      <c r="GH38">
        <v>0</v>
      </c>
      <c r="GI38">
        <v>0</v>
      </c>
      <c r="GJ38">
        <v>-75</v>
      </c>
      <c r="GK38">
        <v>0</v>
      </c>
      <c r="GL38">
        <v>0</v>
      </c>
      <c r="GM38">
        <v>0</v>
      </c>
      <c r="GN38">
        <v>0</v>
      </c>
      <c r="GO38">
        <v>0</v>
      </c>
      <c r="GP38">
        <v>0</v>
      </c>
      <c r="GQ38">
        <v>-75</v>
      </c>
      <c r="GR38">
        <v>0</v>
      </c>
      <c r="GS38">
        <v>0</v>
      </c>
      <c r="GT38">
        <v>0</v>
      </c>
      <c r="GU38">
        <v>0</v>
      </c>
      <c r="GV38">
        <v>0</v>
      </c>
      <c r="GW38">
        <v>0</v>
      </c>
      <c r="GX38">
        <v>-75</v>
      </c>
      <c r="GY38">
        <v>0</v>
      </c>
      <c r="GZ38">
        <v>0</v>
      </c>
      <c r="HA38">
        <v>0</v>
      </c>
      <c r="HB38">
        <v>0</v>
      </c>
      <c r="HC38">
        <v>0</v>
      </c>
      <c r="HD38">
        <v>0</v>
      </c>
      <c r="HE38">
        <v>-75</v>
      </c>
      <c r="HF38">
        <v>0</v>
      </c>
      <c r="HG38">
        <v>0</v>
      </c>
      <c r="HH38">
        <v>0</v>
      </c>
      <c r="HI38">
        <v>0</v>
      </c>
      <c r="HJ38">
        <v>0</v>
      </c>
      <c r="HK38">
        <v>0</v>
      </c>
      <c r="HL38">
        <v>-75</v>
      </c>
      <c r="HM38">
        <v>0</v>
      </c>
      <c r="HN38">
        <v>0</v>
      </c>
      <c r="HO38">
        <v>0</v>
      </c>
      <c r="HP38">
        <v>0</v>
      </c>
      <c r="HQ38">
        <v>0</v>
      </c>
      <c r="HR38">
        <v>0</v>
      </c>
      <c r="HS38">
        <v>-75</v>
      </c>
      <c r="HT38">
        <v>0</v>
      </c>
      <c r="HU38">
        <v>0</v>
      </c>
      <c r="HV38">
        <v>0</v>
      </c>
      <c r="HW38">
        <v>0</v>
      </c>
      <c r="HX38">
        <v>0</v>
      </c>
      <c r="HY38">
        <v>0</v>
      </c>
      <c r="HZ38">
        <v>-75</v>
      </c>
      <c r="IA38">
        <v>0</v>
      </c>
      <c r="IB38">
        <v>0</v>
      </c>
      <c r="IC38">
        <v>0</v>
      </c>
      <c r="ID38">
        <v>0</v>
      </c>
      <c r="IE38">
        <v>0</v>
      </c>
      <c r="IF38">
        <v>0</v>
      </c>
      <c r="IG38">
        <v>-75</v>
      </c>
      <c r="IH38">
        <v>0</v>
      </c>
      <c r="II38">
        <v>0</v>
      </c>
      <c r="IJ38">
        <v>0</v>
      </c>
      <c r="IK38">
        <v>0</v>
      </c>
      <c r="IL38">
        <v>0</v>
      </c>
      <c r="IM38">
        <v>0</v>
      </c>
      <c r="IN38">
        <v>-75</v>
      </c>
      <c r="IO38">
        <v>0</v>
      </c>
      <c r="IP38">
        <v>0</v>
      </c>
      <c r="IQ38">
        <v>0</v>
      </c>
      <c r="IR38">
        <v>0</v>
      </c>
      <c r="IS38">
        <v>0</v>
      </c>
      <c r="IT38">
        <v>0</v>
      </c>
      <c r="IU38">
        <v>-75</v>
      </c>
      <c r="IV38">
        <v>0</v>
      </c>
      <c r="IW38">
        <v>0</v>
      </c>
      <c r="IX38">
        <v>0</v>
      </c>
      <c r="IY38">
        <v>0</v>
      </c>
      <c r="IZ38">
        <v>0</v>
      </c>
      <c r="JA38">
        <v>0</v>
      </c>
      <c r="JB38">
        <v>-75</v>
      </c>
      <c r="JC38">
        <v>0</v>
      </c>
      <c r="JD38">
        <v>0</v>
      </c>
      <c r="JE38">
        <v>0</v>
      </c>
      <c r="JF38">
        <v>0</v>
      </c>
      <c r="JG38">
        <v>0</v>
      </c>
      <c r="JH38">
        <v>0</v>
      </c>
      <c r="JI38">
        <v>-75</v>
      </c>
      <c r="JJ38">
        <v>0</v>
      </c>
      <c r="JK38">
        <v>0</v>
      </c>
      <c r="JL38">
        <v>0</v>
      </c>
      <c r="JM38">
        <v>0</v>
      </c>
      <c r="JN38">
        <v>0</v>
      </c>
      <c r="JO38">
        <v>0</v>
      </c>
      <c r="JP38">
        <v>-75</v>
      </c>
      <c r="JQ38">
        <v>0</v>
      </c>
      <c r="JR38">
        <v>0</v>
      </c>
      <c r="JS38">
        <v>0</v>
      </c>
      <c r="JT38">
        <v>0</v>
      </c>
      <c r="JU38">
        <v>0</v>
      </c>
      <c r="JV38">
        <v>0</v>
      </c>
      <c r="JW38">
        <v>-75</v>
      </c>
      <c r="JX38">
        <v>0</v>
      </c>
      <c r="JY38">
        <v>0</v>
      </c>
      <c r="JZ38">
        <v>0</v>
      </c>
      <c r="KA38">
        <v>0</v>
      </c>
      <c r="KB38">
        <v>0</v>
      </c>
      <c r="KC38">
        <v>0</v>
      </c>
      <c r="KD38">
        <v>-75</v>
      </c>
      <c r="KE38">
        <v>0</v>
      </c>
      <c r="KF38">
        <v>0</v>
      </c>
      <c r="KG38">
        <v>0</v>
      </c>
      <c r="KH38">
        <v>0</v>
      </c>
      <c r="KI38">
        <v>0</v>
      </c>
      <c r="KJ38">
        <v>0</v>
      </c>
      <c r="KK38">
        <v>-75</v>
      </c>
      <c r="KL38">
        <v>0</v>
      </c>
      <c r="KM38">
        <v>0</v>
      </c>
      <c r="KN38">
        <v>0</v>
      </c>
      <c r="KO38">
        <v>0</v>
      </c>
      <c r="KP38">
        <v>0</v>
      </c>
      <c r="KQ38">
        <v>0</v>
      </c>
      <c r="KR38">
        <v>-75</v>
      </c>
      <c r="KS38">
        <v>0</v>
      </c>
      <c r="KT38">
        <v>0</v>
      </c>
      <c r="KU38">
        <v>0</v>
      </c>
      <c r="KV38">
        <v>0</v>
      </c>
      <c r="KW38">
        <v>0</v>
      </c>
      <c r="KX38">
        <v>0</v>
      </c>
      <c r="KY38">
        <v>-75</v>
      </c>
      <c r="KZ38">
        <v>0</v>
      </c>
      <c r="LA38">
        <v>0</v>
      </c>
      <c r="LB38">
        <v>0</v>
      </c>
      <c r="LC38">
        <v>0</v>
      </c>
      <c r="LD38">
        <v>0</v>
      </c>
      <c r="LE38">
        <v>0</v>
      </c>
      <c r="LF38">
        <v>-75</v>
      </c>
      <c r="LG38">
        <v>0</v>
      </c>
      <c r="LH38">
        <v>0</v>
      </c>
      <c r="LI38">
        <v>0</v>
      </c>
      <c r="LJ38">
        <v>0</v>
      </c>
      <c r="LK38">
        <v>0</v>
      </c>
      <c r="LL38">
        <v>0</v>
      </c>
      <c r="LM38">
        <v>-75</v>
      </c>
      <c r="LN38">
        <v>0</v>
      </c>
      <c r="LO38">
        <v>0</v>
      </c>
      <c r="LP38">
        <v>0</v>
      </c>
      <c r="LQ38">
        <v>0</v>
      </c>
      <c r="LR38">
        <v>0</v>
      </c>
      <c r="LS38">
        <v>0</v>
      </c>
      <c r="LT38">
        <v>-75</v>
      </c>
      <c r="LU38">
        <v>0</v>
      </c>
      <c r="LV38">
        <v>0</v>
      </c>
      <c r="LW38">
        <v>0</v>
      </c>
      <c r="LX38">
        <v>0</v>
      </c>
      <c r="LY38">
        <v>0</v>
      </c>
      <c r="LZ38">
        <v>0</v>
      </c>
      <c r="MA38">
        <v>-75</v>
      </c>
      <c r="MB38">
        <v>0</v>
      </c>
      <c r="MC38">
        <v>0</v>
      </c>
      <c r="MD38">
        <v>0</v>
      </c>
      <c r="ME38">
        <v>0</v>
      </c>
      <c r="MF38">
        <v>0</v>
      </c>
      <c r="MG38">
        <v>0</v>
      </c>
      <c r="MH38">
        <v>-75</v>
      </c>
      <c r="MI38">
        <v>0</v>
      </c>
      <c r="MJ38">
        <v>0</v>
      </c>
      <c r="MK38">
        <v>0</v>
      </c>
      <c r="ML38">
        <v>0</v>
      </c>
      <c r="MM38">
        <v>0</v>
      </c>
      <c r="MN38">
        <v>0</v>
      </c>
      <c r="MO38">
        <v>-75</v>
      </c>
      <c r="MP38">
        <v>0</v>
      </c>
      <c r="MQ38">
        <v>0</v>
      </c>
      <c r="MR38">
        <v>0</v>
      </c>
      <c r="MS38">
        <v>0</v>
      </c>
      <c r="MT38">
        <v>0</v>
      </c>
      <c r="MU38">
        <v>0</v>
      </c>
      <c r="MV38">
        <v>-75</v>
      </c>
      <c r="MW38">
        <v>0</v>
      </c>
      <c r="MX38">
        <v>0</v>
      </c>
      <c r="MY38">
        <v>0</v>
      </c>
      <c r="MZ38">
        <v>0</v>
      </c>
      <c r="NA38">
        <v>0</v>
      </c>
      <c r="NB38">
        <v>0</v>
      </c>
      <c r="NC38">
        <v>-75</v>
      </c>
      <c r="ND38">
        <v>0</v>
      </c>
      <c r="NE38">
        <v>0</v>
      </c>
      <c r="NF38">
        <v>0</v>
      </c>
      <c r="NG38">
        <v>0</v>
      </c>
      <c r="NH38">
        <v>0</v>
      </c>
    </row>
    <row r="39" spans="1:372" x14ac:dyDescent="0.25">
      <c r="A39" s="108" t="s">
        <v>235</v>
      </c>
      <c r="B39" s="137">
        <v>-19</v>
      </c>
      <c r="C39" s="143" t="s">
        <v>226</v>
      </c>
      <c r="D39" s="144">
        <v>46023</v>
      </c>
      <c r="E39" s="144"/>
      <c r="G39">
        <v>-4959</v>
      </c>
      <c r="H39">
        <v>-19</v>
      </c>
      <c r="I39">
        <v>-19</v>
      </c>
      <c r="J39">
        <v>-19</v>
      </c>
      <c r="K39">
        <v>-19</v>
      </c>
      <c r="L39">
        <v>-19</v>
      </c>
      <c r="M39">
        <v>0</v>
      </c>
      <c r="N39">
        <v>0</v>
      </c>
      <c r="O39">
        <v>-19</v>
      </c>
      <c r="P39">
        <v>-19</v>
      </c>
      <c r="Q39">
        <v>-19</v>
      </c>
      <c r="R39">
        <v>-19</v>
      </c>
      <c r="S39">
        <v>-19</v>
      </c>
      <c r="T39">
        <v>0</v>
      </c>
      <c r="U39">
        <v>0</v>
      </c>
      <c r="V39">
        <v>-19</v>
      </c>
      <c r="W39">
        <v>-19</v>
      </c>
      <c r="X39">
        <v>-19</v>
      </c>
      <c r="Y39">
        <v>-19</v>
      </c>
      <c r="Z39">
        <v>-19</v>
      </c>
      <c r="AA39">
        <v>0</v>
      </c>
      <c r="AB39">
        <v>0</v>
      </c>
      <c r="AC39">
        <v>-19</v>
      </c>
      <c r="AD39">
        <v>-19</v>
      </c>
      <c r="AE39">
        <v>-19</v>
      </c>
      <c r="AF39">
        <v>-19</v>
      </c>
      <c r="AG39">
        <v>-19</v>
      </c>
      <c r="AH39">
        <v>0</v>
      </c>
      <c r="AI39">
        <v>0</v>
      </c>
      <c r="AJ39">
        <v>-19</v>
      </c>
      <c r="AK39">
        <v>-19</v>
      </c>
      <c r="AL39">
        <v>-19</v>
      </c>
      <c r="AM39">
        <v>-19</v>
      </c>
      <c r="AN39">
        <v>-19</v>
      </c>
      <c r="AO39">
        <v>0</v>
      </c>
      <c r="AP39">
        <v>0</v>
      </c>
      <c r="AQ39">
        <v>-19</v>
      </c>
      <c r="AR39">
        <v>-19</v>
      </c>
      <c r="AS39">
        <v>-19</v>
      </c>
      <c r="AT39">
        <v>-19</v>
      </c>
      <c r="AU39">
        <v>-19</v>
      </c>
      <c r="AV39">
        <v>0</v>
      </c>
      <c r="AW39">
        <v>0</v>
      </c>
      <c r="AX39">
        <v>-19</v>
      </c>
      <c r="AY39">
        <v>-19</v>
      </c>
      <c r="AZ39">
        <v>-19</v>
      </c>
      <c r="BA39">
        <v>-19</v>
      </c>
      <c r="BB39">
        <v>-19</v>
      </c>
      <c r="BC39">
        <v>0</v>
      </c>
      <c r="BD39">
        <v>0</v>
      </c>
      <c r="BE39">
        <v>-19</v>
      </c>
      <c r="BF39">
        <v>-19</v>
      </c>
      <c r="BG39">
        <v>-19</v>
      </c>
      <c r="BH39">
        <v>-19</v>
      </c>
      <c r="BI39">
        <v>-19</v>
      </c>
      <c r="BJ39">
        <v>0</v>
      </c>
      <c r="BK39">
        <v>0</v>
      </c>
      <c r="BL39">
        <v>-19</v>
      </c>
      <c r="BM39">
        <v>-19</v>
      </c>
      <c r="BN39">
        <v>-19</v>
      </c>
      <c r="BO39">
        <v>-19</v>
      </c>
      <c r="BP39">
        <v>-19</v>
      </c>
      <c r="BQ39">
        <v>0</v>
      </c>
      <c r="BR39">
        <v>0</v>
      </c>
      <c r="BS39">
        <v>-19</v>
      </c>
      <c r="BT39">
        <v>-19</v>
      </c>
      <c r="BU39">
        <v>-19</v>
      </c>
      <c r="BV39">
        <v>-19</v>
      </c>
      <c r="BW39">
        <v>-19</v>
      </c>
      <c r="BX39">
        <v>0</v>
      </c>
      <c r="BY39">
        <v>0</v>
      </c>
      <c r="BZ39">
        <v>-19</v>
      </c>
      <c r="CA39">
        <v>-19</v>
      </c>
      <c r="CB39">
        <v>-19</v>
      </c>
      <c r="CC39">
        <v>-19</v>
      </c>
      <c r="CD39">
        <v>-19</v>
      </c>
      <c r="CE39">
        <v>0</v>
      </c>
      <c r="CF39">
        <v>0</v>
      </c>
      <c r="CG39">
        <v>-19</v>
      </c>
      <c r="CH39">
        <v>-19</v>
      </c>
      <c r="CI39">
        <v>-19</v>
      </c>
      <c r="CJ39">
        <v>-19</v>
      </c>
      <c r="CK39">
        <v>-19</v>
      </c>
      <c r="CL39">
        <v>0</v>
      </c>
      <c r="CM39">
        <v>0</v>
      </c>
      <c r="CN39">
        <v>-19</v>
      </c>
      <c r="CO39">
        <v>-19</v>
      </c>
      <c r="CP39">
        <v>-19</v>
      </c>
      <c r="CQ39">
        <v>-19</v>
      </c>
      <c r="CR39">
        <v>-19</v>
      </c>
      <c r="CS39">
        <v>0</v>
      </c>
      <c r="CT39">
        <v>0</v>
      </c>
      <c r="CU39">
        <v>-19</v>
      </c>
      <c r="CV39">
        <v>-19</v>
      </c>
      <c r="CW39">
        <v>-19</v>
      </c>
      <c r="CX39">
        <v>-19</v>
      </c>
      <c r="CY39">
        <v>-19</v>
      </c>
      <c r="CZ39">
        <v>0</v>
      </c>
      <c r="DA39">
        <v>0</v>
      </c>
      <c r="DB39">
        <v>-19</v>
      </c>
      <c r="DC39">
        <v>-19</v>
      </c>
      <c r="DD39">
        <v>-19</v>
      </c>
      <c r="DE39">
        <v>-19</v>
      </c>
      <c r="DF39">
        <v>-19</v>
      </c>
      <c r="DG39">
        <v>0</v>
      </c>
      <c r="DH39">
        <v>0</v>
      </c>
      <c r="DI39">
        <v>-19</v>
      </c>
      <c r="DJ39">
        <v>-19</v>
      </c>
      <c r="DK39">
        <v>-19</v>
      </c>
      <c r="DL39">
        <v>-19</v>
      </c>
      <c r="DM39">
        <v>-19</v>
      </c>
      <c r="DN39">
        <v>0</v>
      </c>
      <c r="DO39">
        <v>0</v>
      </c>
      <c r="DP39">
        <v>-19</v>
      </c>
      <c r="DQ39">
        <v>-19</v>
      </c>
      <c r="DR39">
        <v>-19</v>
      </c>
      <c r="DS39">
        <v>-19</v>
      </c>
      <c r="DT39">
        <v>-19</v>
      </c>
      <c r="DU39">
        <v>0</v>
      </c>
      <c r="DV39">
        <v>0</v>
      </c>
      <c r="DW39">
        <v>-19</v>
      </c>
      <c r="DX39">
        <v>-19</v>
      </c>
      <c r="DY39">
        <v>-19</v>
      </c>
      <c r="DZ39">
        <v>-19</v>
      </c>
      <c r="EA39">
        <v>-19</v>
      </c>
      <c r="EB39">
        <v>0</v>
      </c>
      <c r="EC39">
        <v>0</v>
      </c>
      <c r="ED39">
        <v>-19</v>
      </c>
      <c r="EE39">
        <v>-19</v>
      </c>
      <c r="EF39">
        <v>-19</v>
      </c>
      <c r="EG39">
        <v>-19</v>
      </c>
      <c r="EH39">
        <v>-19</v>
      </c>
      <c r="EI39">
        <v>0</v>
      </c>
      <c r="EJ39">
        <v>0</v>
      </c>
      <c r="EK39">
        <v>-19</v>
      </c>
      <c r="EL39">
        <v>-19</v>
      </c>
      <c r="EM39">
        <v>-19</v>
      </c>
      <c r="EN39">
        <v>-19</v>
      </c>
      <c r="EO39">
        <v>-19</v>
      </c>
      <c r="EP39">
        <v>0</v>
      </c>
      <c r="EQ39">
        <v>0</v>
      </c>
      <c r="ER39">
        <v>-19</v>
      </c>
      <c r="ES39">
        <v>-19</v>
      </c>
      <c r="ET39">
        <v>-19</v>
      </c>
      <c r="EU39">
        <v>-19</v>
      </c>
      <c r="EV39">
        <v>-19</v>
      </c>
      <c r="EW39">
        <v>0</v>
      </c>
      <c r="EX39">
        <v>0</v>
      </c>
      <c r="EY39">
        <v>-19</v>
      </c>
      <c r="EZ39">
        <v>-19</v>
      </c>
      <c r="FA39">
        <v>-19</v>
      </c>
      <c r="FB39">
        <v>-19</v>
      </c>
      <c r="FC39">
        <v>-19</v>
      </c>
      <c r="FD39">
        <v>0</v>
      </c>
      <c r="FE39">
        <v>0</v>
      </c>
      <c r="FF39">
        <v>-19</v>
      </c>
      <c r="FG39">
        <v>-19</v>
      </c>
      <c r="FH39">
        <v>-19</v>
      </c>
      <c r="FI39">
        <v>-19</v>
      </c>
      <c r="FJ39">
        <v>-19</v>
      </c>
      <c r="FK39">
        <v>0</v>
      </c>
      <c r="FL39">
        <v>0</v>
      </c>
      <c r="FM39">
        <v>-19</v>
      </c>
      <c r="FN39">
        <v>-19</v>
      </c>
      <c r="FO39">
        <v>-19</v>
      </c>
      <c r="FP39">
        <v>-19</v>
      </c>
      <c r="FQ39">
        <v>-19</v>
      </c>
      <c r="FR39">
        <v>0</v>
      </c>
      <c r="FS39">
        <v>0</v>
      </c>
      <c r="FT39">
        <v>-19</v>
      </c>
      <c r="FU39">
        <v>-19</v>
      </c>
      <c r="FV39">
        <v>-19</v>
      </c>
      <c r="FW39">
        <v>-19</v>
      </c>
      <c r="FX39">
        <v>-19</v>
      </c>
      <c r="FY39">
        <v>0</v>
      </c>
      <c r="FZ39">
        <v>0</v>
      </c>
      <c r="GA39">
        <v>-19</v>
      </c>
      <c r="GB39">
        <v>-19</v>
      </c>
      <c r="GC39">
        <v>-19</v>
      </c>
      <c r="GD39">
        <v>-19</v>
      </c>
      <c r="GE39">
        <v>-19</v>
      </c>
      <c r="GF39">
        <v>0</v>
      </c>
      <c r="GG39">
        <v>0</v>
      </c>
      <c r="GH39">
        <v>-19</v>
      </c>
      <c r="GI39">
        <v>-19</v>
      </c>
      <c r="GJ39">
        <v>-19</v>
      </c>
      <c r="GK39">
        <v>-19</v>
      </c>
      <c r="GL39">
        <v>-19</v>
      </c>
      <c r="GM39">
        <v>0</v>
      </c>
      <c r="GN39">
        <v>0</v>
      </c>
      <c r="GO39">
        <v>-19</v>
      </c>
      <c r="GP39">
        <v>-19</v>
      </c>
      <c r="GQ39">
        <v>-19</v>
      </c>
      <c r="GR39">
        <v>-19</v>
      </c>
      <c r="GS39">
        <v>-19</v>
      </c>
      <c r="GT39">
        <v>0</v>
      </c>
      <c r="GU39">
        <v>0</v>
      </c>
      <c r="GV39">
        <v>-19</v>
      </c>
      <c r="GW39">
        <v>-19</v>
      </c>
      <c r="GX39">
        <v>-19</v>
      </c>
      <c r="GY39">
        <v>-19</v>
      </c>
      <c r="GZ39">
        <v>-19</v>
      </c>
      <c r="HA39">
        <v>0</v>
      </c>
      <c r="HB39">
        <v>0</v>
      </c>
      <c r="HC39">
        <v>-19</v>
      </c>
      <c r="HD39">
        <v>-19</v>
      </c>
      <c r="HE39">
        <v>-19</v>
      </c>
      <c r="HF39">
        <v>-19</v>
      </c>
      <c r="HG39">
        <v>-19</v>
      </c>
      <c r="HH39">
        <v>0</v>
      </c>
      <c r="HI39">
        <v>0</v>
      </c>
      <c r="HJ39">
        <v>-19</v>
      </c>
      <c r="HK39">
        <v>-19</v>
      </c>
      <c r="HL39">
        <v>-19</v>
      </c>
      <c r="HM39">
        <v>-19</v>
      </c>
      <c r="HN39">
        <v>-19</v>
      </c>
      <c r="HO39">
        <v>0</v>
      </c>
      <c r="HP39">
        <v>0</v>
      </c>
      <c r="HQ39">
        <v>-19</v>
      </c>
      <c r="HR39">
        <v>-19</v>
      </c>
      <c r="HS39">
        <v>-19</v>
      </c>
      <c r="HT39">
        <v>-19</v>
      </c>
      <c r="HU39">
        <v>-19</v>
      </c>
      <c r="HV39">
        <v>0</v>
      </c>
      <c r="HW39">
        <v>0</v>
      </c>
      <c r="HX39">
        <v>-19</v>
      </c>
      <c r="HY39">
        <v>-19</v>
      </c>
      <c r="HZ39">
        <v>-19</v>
      </c>
      <c r="IA39">
        <v>-19</v>
      </c>
      <c r="IB39">
        <v>-19</v>
      </c>
      <c r="IC39">
        <v>0</v>
      </c>
      <c r="ID39">
        <v>0</v>
      </c>
      <c r="IE39">
        <v>-19</v>
      </c>
      <c r="IF39">
        <v>-19</v>
      </c>
      <c r="IG39">
        <v>-19</v>
      </c>
      <c r="IH39">
        <v>-19</v>
      </c>
      <c r="II39">
        <v>-19</v>
      </c>
      <c r="IJ39">
        <v>0</v>
      </c>
      <c r="IK39">
        <v>0</v>
      </c>
      <c r="IL39">
        <v>-19</v>
      </c>
      <c r="IM39">
        <v>-19</v>
      </c>
      <c r="IN39">
        <v>-19</v>
      </c>
      <c r="IO39">
        <v>-19</v>
      </c>
      <c r="IP39">
        <v>-19</v>
      </c>
      <c r="IQ39">
        <v>0</v>
      </c>
      <c r="IR39">
        <v>0</v>
      </c>
      <c r="IS39">
        <v>-19</v>
      </c>
      <c r="IT39">
        <v>-19</v>
      </c>
      <c r="IU39">
        <v>-19</v>
      </c>
      <c r="IV39">
        <v>-19</v>
      </c>
      <c r="IW39">
        <v>-19</v>
      </c>
      <c r="IX39">
        <v>0</v>
      </c>
      <c r="IY39">
        <v>0</v>
      </c>
      <c r="IZ39">
        <v>-19</v>
      </c>
      <c r="JA39">
        <v>-19</v>
      </c>
      <c r="JB39">
        <v>-19</v>
      </c>
      <c r="JC39">
        <v>-19</v>
      </c>
      <c r="JD39">
        <v>-19</v>
      </c>
      <c r="JE39">
        <v>0</v>
      </c>
      <c r="JF39">
        <v>0</v>
      </c>
      <c r="JG39">
        <v>-19</v>
      </c>
      <c r="JH39">
        <v>-19</v>
      </c>
      <c r="JI39">
        <v>-19</v>
      </c>
      <c r="JJ39">
        <v>-19</v>
      </c>
      <c r="JK39">
        <v>-19</v>
      </c>
      <c r="JL39">
        <v>0</v>
      </c>
      <c r="JM39">
        <v>0</v>
      </c>
      <c r="JN39">
        <v>-19</v>
      </c>
      <c r="JO39">
        <v>-19</v>
      </c>
      <c r="JP39">
        <v>-19</v>
      </c>
      <c r="JQ39">
        <v>-19</v>
      </c>
      <c r="JR39">
        <v>-19</v>
      </c>
      <c r="JS39">
        <v>0</v>
      </c>
      <c r="JT39">
        <v>0</v>
      </c>
      <c r="JU39">
        <v>-19</v>
      </c>
      <c r="JV39">
        <v>-19</v>
      </c>
      <c r="JW39">
        <v>-19</v>
      </c>
      <c r="JX39">
        <v>-19</v>
      </c>
      <c r="JY39">
        <v>-19</v>
      </c>
      <c r="JZ39">
        <v>0</v>
      </c>
      <c r="KA39">
        <v>0</v>
      </c>
      <c r="KB39">
        <v>-19</v>
      </c>
      <c r="KC39">
        <v>-19</v>
      </c>
      <c r="KD39">
        <v>-19</v>
      </c>
      <c r="KE39">
        <v>-19</v>
      </c>
      <c r="KF39">
        <v>-19</v>
      </c>
      <c r="KG39">
        <v>0</v>
      </c>
      <c r="KH39">
        <v>0</v>
      </c>
      <c r="KI39">
        <v>-19</v>
      </c>
      <c r="KJ39">
        <v>-19</v>
      </c>
      <c r="KK39">
        <v>-19</v>
      </c>
      <c r="KL39">
        <v>-19</v>
      </c>
      <c r="KM39">
        <v>-19</v>
      </c>
      <c r="KN39">
        <v>0</v>
      </c>
      <c r="KO39">
        <v>0</v>
      </c>
      <c r="KP39">
        <v>-19</v>
      </c>
      <c r="KQ39">
        <v>-19</v>
      </c>
      <c r="KR39">
        <v>-19</v>
      </c>
      <c r="KS39">
        <v>-19</v>
      </c>
      <c r="KT39">
        <v>-19</v>
      </c>
      <c r="KU39">
        <v>0</v>
      </c>
      <c r="KV39">
        <v>0</v>
      </c>
      <c r="KW39">
        <v>-19</v>
      </c>
      <c r="KX39">
        <v>-19</v>
      </c>
      <c r="KY39">
        <v>-19</v>
      </c>
      <c r="KZ39">
        <v>-19</v>
      </c>
      <c r="LA39">
        <v>-19</v>
      </c>
      <c r="LB39">
        <v>0</v>
      </c>
      <c r="LC39">
        <v>0</v>
      </c>
      <c r="LD39">
        <v>-19</v>
      </c>
      <c r="LE39">
        <v>-19</v>
      </c>
      <c r="LF39">
        <v>-19</v>
      </c>
      <c r="LG39">
        <v>-19</v>
      </c>
      <c r="LH39">
        <v>-19</v>
      </c>
      <c r="LI39">
        <v>0</v>
      </c>
      <c r="LJ39">
        <v>0</v>
      </c>
      <c r="LK39">
        <v>-19</v>
      </c>
      <c r="LL39">
        <v>-19</v>
      </c>
      <c r="LM39">
        <v>-19</v>
      </c>
      <c r="LN39">
        <v>-19</v>
      </c>
      <c r="LO39">
        <v>-19</v>
      </c>
      <c r="LP39">
        <v>0</v>
      </c>
      <c r="LQ39">
        <v>0</v>
      </c>
      <c r="LR39">
        <v>-19</v>
      </c>
      <c r="LS39">
        <v>-19</v>
      </c>
      <c r="LT39">
        <v>-19</v>
      </c>
      <c r="LU39">
        <v>-19</v>
      </c>
      <c r="LV39">
        <v>-19</v>
      </c>
      <c r="LW39">
        <v>0</v>
      </c>
      <c r="LX39">
        <v>0</v>
      </c>
      <c r="LY39">
        <v>-19</v>
      </c>
      <c r="LZ39">
        <v>-19</v>
      </c>
      <c r="MA39">
        <v>-19</v>
      </c>
      <c r="MB39">
        <v>-19</v>
      </c>
      <c r="MC39">
        <v>-19</v>
      </c>
      <c r="MD39">
        <v>0</v>
      </c>
      <c r="ME39">
        <v>0</v>
      </c>
      <c r="MF39">
        <v>-19</v>
      </c>
      <c r="MG39">
        <v>-19</v>
      </c>
      <c r="MH39">
        <v>-19</v>
      </c>
      <c r="MI39">
        <v>-19</v>
      </c>
      <c r="MJ39">
        <v>-19</v>
      </c>
      <c r="MK39">
        <v>0</v>
      </c>
      <c r="ML39">
        <v>0</v>
      </c>
      <c r="MM39">
        <v>-19</v>
      </c>
      <c r="MN39">
        <v>-19</v>
      </c>
      <c r="MO39">
        <v>-19</v>
      </c>
      <c r="MP39">
        <v>-19</v>
      </c>
      <c r="MQ39">
        <v>-19</v>
      </c>
      <c r="MR39">
        <v>0</v>
      </c>
      <c r="MS39">
        <v>0</v>
      </c>
      <c r="MT39">
        <v>-19</v>
      </c>
      <c r="MU39">
        <v>-19</v>
      </c>
      <c r="MV39">
        <v>-19</v>
      </c>
      <c r="MW39">
        <v>-19</v>
      </c>
      <c r="MX39">
        <v>-19</v>
      </c>
      <c r="MY39">
        <v>0</v>
      </c>
      <c r="MZ39">
        <v>0</v>
      </c>
      <c r="NA39">
        <v>-19</v>
      </c>
      <c r="NB39">
        <v>-19</v>
      </c>
      <c r="NC39">
        <v>-19</v>
      </c>
      <c r="ND39">
        <v>-19</v>
      </c>
      <c r="NE39">
        <v>-19</v>
      </c>
      <c r="NF39">
        <v>0</v>
      </c>
      <c r="NG39">
        <v>0</v>
      </c>
      <c r="NH39">
        <v>-19</v>
      </c>
    </row>
  </sheetData>
  <mergeCells count="4">
    <mergeCell ref="A1:P1"/>
    <mergeCell ref="A2:P2"/>
    <mergeCell ref="A31:E31"/>
    <mergeCell ref="A32:E32"/>
  </mergeCells>
  <hyperlinks>
    <hyperlink ref="A1" location="'TOC'!$A$1" display="'TOC'!$A$1" xr:uid="{EFBF30BF-5B04-4745-A1A3-822A69517131}"/>
  </hyperlinks>
  <pageMargins left="0.7" right="0.7" top="0.75" bottom="0.75" header="0.3" footer="0.3"/>
  <customProperties>
    <customPr name="Description" r:id="rId1"/>
  </customProperties>
  <ignoredErrors>
    <ignoredError sqref="B34" calculatedColumn="1"/>
  </ignoredErrors>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4AAC-B93F-4992-9FA6-E7BEE77877E4}">
  <sheetPr codeName="Sheet12">
    <tabColor rgb="FF1F4E79"/>
  </sheetPr>
  <dimension ref="A1:S25"/>
  <sheetViews>
    <sheetView showGridLines="0" workbookViewId="0">
      <selection activeCell="A1" sqref="A1"/>
    </sheetView>
  </sheetViews>
  <sheetFormatPr defaultRowHeight="15" x14ac:dyDescent="0.25"/>
  <cols>
    <col min="1" max="1" width="12.7109375" bestFit="1" customWidth="1"/>
    <col min="2" max="2" width="24" customWidth="1"/>
    <col min="3" max="3" width="11.28515625" bestFit="1" customWidth="1"/>
    <col min="4" max="4" width="11.7109375" bestFit="1" customWidth="1"/>
    <col min="7" max="7" width="15.5703125" bestFit="1" customWidth="1"/>
    <col min="8" max="19" width="12.28515625" customWidth="1"/>
  </cols>
  <sheetData>
    <row r="1" spans="1:15" ht="45.75" x14ac:dyDescent="0.65">
      <c r="A1" s="270" t="str">
        <f>_xlfn.TEXTAFTER(CELL("filename",A1),"]")</f>
        <v>nabla.d.OverLapDaysλ</v>
      </c>
      <c r="B1" s="270"/>
      <c r="C1" s="270"/>
      <c r="D1" s="270"/>
      <c r="E1" s="270"/>
      <c r="F1" s="270"/>
      <c r="G1" s="270"/>
      <c r="H1" s="270"/>
      <c r="I1" s="270"/>
      <c r="J1" s="270"/>
      <c r="K1" s="270"/>
      <c r="L1" s="270"/>
      <c r="M1" s="270"/>
      <c r="N1" s="270"/>
      <c r="O1" s="270"/>
    </row>
    <row r="2" spans="1:15" x14ac:dyDescent="0.25">
      <c r="A2" s="273" t="s">
        <v>198</v>
      </c>
      <c r="B2" s="287"/>
      <c r="C2" s="287"/>
      <c r="D2" s="287"/>
      <c r="E2" s="287"/>
      <c r="F2" s="287"/>
      <c r="G2" s="287"/>
      <c r="H2" s="287"/>
      <c r="I2" s="287"/>
      <c r="J2" s="287"/>
      <c r="K2" s="287"/>
      <c r="L2" s="287"/>
      <c r="M2" s="287"/>
      <c r="N2" s="288"/>
      <c r="O2" s="104"/>
    </row>
    <row r="4" spans="1:15" x14ac:dyDescent="0.25">
      <c r="A4" s="142" t="str" cm="1">
        <f t="array" ref="A4:B16">nabla.d.OverLapDaysλ()</f>
        <v>FUNCTION:</v>
      </c>
      <c r="B4" t="str">
        <v>OverLapDaysλ(Period1Start, Period1End, Period2Start, Period2End)</v>
      </c>
    </row>
    <row r="5" spans="1:15" x14ac:dyDescent="0.25">
      <c r="A5" t="str">
        <v>DESCRIPTION:</v>
      </c>
      <c r="B5" t="str">
        <v>Count days shared between two sets of periods.</v>
      </c>
    </row>
    <row r="6" spans="1:15" x14ac:dyDescent="0.25">
      <c r="A6" t="str">
        <v>WEBSITE:</v>
      </c>
      <c r="B6" t="str">
        <v>https://github.com/ryanduguid/Nabla</v>
      </c>
    </row>
    <row r="7" spans="1:15" x14ac:dyDescent="0.25">
      <c r="A7" t="str">
        <v>PARAMETERS:</v>
      </c>
      <c r="B7" t="str">
        <v/>
      </c>
    </row>
    <row r="8" spans="1:15" x14ac:dyDescent="0.25">
      <c r="A8" t="str">
        <v>Period1Start</v>
      </c>
      <c r="B8" t="str">
        <v>(Required) First period's start date.</v>
      </c>
    </row>
    <row r="9" spans="1:15" x14ac:dyDescent="0.25">
      <c r="A9" t="str">
        <v>Period1End</v>
      </c>
      <c r="B9" t="str">
        <v>(Required) First period's end date.</v>
      </c>
    </row>
    <row r="10" spans="1:15" x14ac:dyDescent="0.25">
      <c r="A10" t="str">
        <v>Period2Start</v>
      </c>
      <c r="B10" t="str">
        <v>(Required) Second period's start date.</v>
      </c>
    </row>
    <row r="11" spans="1:15" x14ac:dyDescent="0.25">
      <c r="A11" t="str">
        <v>Period2End</v>
      </c>
      <c r="B11" t="str">
        <v>(Required) Decond period's end date.</v>
      </c>
    </row>
    <row r="12" spans="1:15" x14ac:dyDescent="0.25">
      <c r="A12" t="str">
        <v>EXAMPLES:</v>
      </c>
      <c r="B12" t="str">
        <v/>
      </c>
    </row>
    <row r="13" spans="1:15" x14ac:dyDescent="0.25">
      <c r="A13" t="str">
        <v>Result</v>
      </c>
      <c r="B13" t="str">
        <v>Formula (nabla.d is assumed to be the module's name)</v>
      </c>
    </row>
    <row r="14" spans="1:15" x14ac:dyDescent="0.25">
      <c r="A14" t="str">
        <v>5</v>
      </c>
      <c r="B14" t="str">
        <v>=nabla.d.OverLapDaysλ(08, 14, 10, 17)</v>
      </c>
    </row>
    <row r="15" spans="1:15" x14ac:dyDescent="0.25">
      <c r="A15" t="str">
        <v>8</v>
      </c>
      <c r="B15" t="str">
        <v>=nabla.d.OverLapDaysλ(10, 20, 11, 18)</v>
      </c>
    </row>
    <row r="16" spans="1:15" x14ac:dyDescent="0.25">
      <c r="A16" t="str">
        <v>12</v>
      </c>
      <c r="B16" t="str">
        <v>=nabla.d.OverLapDaysλ("17/1/2025", "25/1/2025", "7/1/2025", "18/1/2025")</v>
      </c>
    </row>
    <row r="20" spans="1:19" ht="20.25" x14ac:dyDescent="0.3">
      <c r="A20" s="295" t="s">
        <v>243</v>
      </c>
      <c r="B20" s="296"/>
      <c r="C20" s="296"/>
      <c r="D20" s="296"/>
      <c r="E20" s="296"/>
    </row>
    <row r="21" spans="1:19" x14ac:dyDescent="0.25">
      <c r="A21" s="280"/>
      <c r="B21" s="281"/>
      <c r="C21" s="281"/>
      <c r="D21" s="281"/>
      <c r="E21" s="281"/>
      <c r="G21" s="150" t="s">
        <v>151</v>
      </c>
      <c r="H21" s="151" cm="1">
        <f t="array" ref="H21:S21">nabla.d.Timelineλ("1/1/2026", ,,FALSE)</f>
        <v>45322</v>
      </c>
      <c r="I21" s="151">
        <v>46081</v>
      </c>
      <c r="J21" s="151">
        <v>46112</v>
      </c>
      <c r="K21" s="151">
        <v>46142</v>
      </c>
      <c r="L21" s="151">
        <v>46173</v>
      </c>
      <c r="M21" s="151">
        <v>46203</v>
      </c>
      <c r="N21" s="151">
        <v>46234</v>
      </c>
      <c r="O21" s="151">
        <v>46265</v>
      </c>
      <c r="P21" s="151">
        <v>46295</v>
      </c>
      <c r="Q21" s="151">
        <v>46326</v>
      </c>
      <c r="R21" s="151">
        <v>46356</v>
      </c>
      <c r="S21" s="151">
        <v>46387</v>
      </c>
    </row>
    <row r="22" spans="1:19" x14ac:dyDescent="0.25">
      <c r="A22" s="114" t="s">
        <v>244</v>
      </c>
      <c r="B22" t="s">
        <v>241</v>
      </c>
      <c r="C22" s="114" t="s">
        <v>236</v>
      </c>
      <c r="D22" s="114" t="s">
        <v>237</v>
      </c>
      <c r="E22" s="114" t="s">
        <v>238</v>
      </c>
      <c r="G22" s="149" t="s">
        <v>276</v>
      </c>
      <c r="H22" s="1" cm="1">
        <f t="array" ref="H22:S22">nabla.d.Timelineλ("1/1/2026")</f>
        <v>45292</v>
      </c>
      <c r="I22" s="1">
        <v>46054</v>
      </c>
      <c r="J22" s="1">
        <v>46082</v>
      </c>
      <c r="K22" s="1">
        <v>46113</v>
      </c>
      <c r="L22" s="1">
        <v>46143</v>
      </c>
      <c r="M22" s="1">
        <v>46174</v>
      </c>
      <c r="N22" s="1">
        <v>46204</v>
      </c>
      <c r="O22" s="1">
        <v>46235</v>
      </c>
      <c r="P22" s="1">
        <v>46266</v>
      </c>
      <c r="Q22" s="1">
        <v>46296</v>
      </c>
      <c r="R22" s="1">
        <v>46327</v>
      </c>
      <c r="S22" s="1">
        <v>46357</v>
      </c>
    </row>
    <row r="23" spans="1:19" x14ac:dyDescent="0.25">
      <c r="A23" cm="1">
        <f t="array" ref="A23">ROW()-ROW(tblRent[#Headers])</f>
        <v>1</v>
      </c>
      <c r="B23" t="s">
        <v>240</v>
      </c>
      <c r="C23" s="141">
        <v>46068</v>
      </c>
      <c r="D23" s="141">
        <v>46272</v>
      </c>
      <c r="E23" s="148">
        <v>12</v>
      </c>
      <c r="G23" cm="1">
        <f t="array" ref="G23:G25">nabla.e.SumRowsλ(_xlfn.ANCHORARRAY(H23))</f>
        <v>2472</v>
      </c>
      <c r="H23" s="142" cm="1">
        <f t="array" ref="H23:S25">nabla.d.OverLapDaysλ(_xlfn.ANCHORARRAY(H22),_xlfn.ANCHORARRAY(H21),tblRent[Start],tblRent[End]) * tblRent[Daily Rate]</f>
        <v>0</v>
      </c>
      <c r="I23">
        <v>180</v>
      </c>
      <c r="J23">
        <v>372</v>
      </c>
      <c r="K23">
        <v>360</v>
      </c>
      <c r="L23">
        <v>372</v>
      </c>
      <c r="M23">
        <v>360</v>
      </c>
      <c r="N23">
        <v>372</v>
      </c>
      <c r="O23">
        <v>372</v>
      </c>
      <c r="P23">
        <v>84</v>
      </c>
      <c r="Q23">
        <v>0</v>
      </c>
      <c r="R23">
        <v>0</v>
      </c>
      <c r="S23">
        <v>0</v>
      </c>
    </row>
    <row r="24" spans="1:19" x14ac:dyDescent="0.25">
      <c r="A24" cm="1">
        <f t="array" ref="A24">ROW()-ROW(tblRent[#Headers])</f>
        <v>2</v>
      </c>
      <c r="B24" t="s">
        <v>239</v>
      </c>
      <c r="C24" s="141">
        <v>46037</v>
      </c>
      <c r="D24" s="141">
        <v>46102</v>
      </c>
      <c r="E24" s="148">
        <v>10</v>
      </c>
      <c r="G24">
        <v>670</v>
      </c>
      <c r="H24">
        <v>170</v>
      </c>
      <c r="I24">
        <v>290</v>
      </c>
      <c r="J24">
        <v>210</v>
      </c>
      <c r="K24">
        <v>0</v>
      </c>
      <c r="L24">
        <v>0</v>
      </c>
      <c r="M24">
        <v>0</v>
      </c>
      <c r="N24">
        <v>0</v>
      </c>
      <c r="O24">
        <v>0</v>
      </c>
      <c r="P24">
        <v>0</v>
      </c>
      <c r="Q24">
        <v>0</v>
      </c>
      <c r="R24">
        <v>0</v>
      </c>
      <c r="S24">
        <v>0</v>
      </c>
    </row>
    <row r="25" spans="1:19" x14ac:dyDescent="0.25">
      <c r="A25" cm="1">
        <f t="array" ref="A25">ROW()-ROW(tblRent[#Headers])</f>
        <v>3</v>
      </c>
      <c r="B25" t="s">
        <v>242</v>
      </c>
      <c r="C25" s="141">
        <v>46023</v>
      </c>
      <c r="D25" s="141">
        <v>46053</v>
      </c>
      <c r="E25" s="148">
        <v>4.5</v>
      </c>
      <c r="G25">
        <v>139.5</v>
      </c>
      <c r="H25">
        <v>139.5</v>
      </c>
      <c r="I25">
        <v>0</v>
      </c>
      <c r="J25">
        <v>0</v>
      </c>
      <c r="K25">
        <v>0</v>
      </c>
      <c r="L25">
        <v>0</v>
      </c>
      <c r="M25">
        <v>0</v>
      </c>
      <c r="N25">
        <v>0</v>
      </c>
      <c r="O25">
        <v>0</v>
      </c>
      <c r="P25">
        <v>0</v>
      </c>
      <c r="Q25">
        <v>0</v>
      </c>
      <c r="R25">
        <v>0</v>
      </c>
      <c r="S25">
        <v>0</v>
      </c>
    </row>
  </sheetData>
  <mergeCells count="4">
    <mergeCell ref="A1:O1"/>
    <mergeCell ref="A20:E20"/>
    <mergeCell ref="A21:E21"/>
    <mergeCell ref="A2:N2"/>
  </mergeCells>
  <hyperlinks>
    <hyperlink ref="A1" location="'TOC'!$A$1" display="'TOC'!$A$1" xr:uid="{854710B1-251D-4EAE-A9BD-09D9EE7173D9}"/>
  </hyperlinks>
  <pageMargins left="0.7" right="0.7" top="0.75" bottom="0.75" header="0.3" footer="0.3"/>
  <customProperties>
    <customPr name="Description" r:id="rId1"/>
  </customProperties>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D972-75C4-4131-B4FA-F0B645CD6C7D}">
  <sheetPr codeName="Sheet13">
    <tabColor rgb="FF1F4E79"/>
  </sheetPr>
  <dimension ref="A1:T29"/>
  <sheetViews>
    <sheetView showGridLines="0" workbookViewId="0">
      <selection activeCell="A1" sqref="A1"/>
    </sheetView>
  </sheetViews>
  <sheetFormatPr defaultRowHeight="15" x14ac:dyDescent="0.25"/>
  <cols>
    <col min="1" max="1" width="12.7109375" bestFit="1" customWidth="1"/>
    <col min="2" max="2" width="13.28515625" customWidth="1"/>
    <col min="3" max="3" width="7.28515625" bestFit="1" customWidth="1"/>
    <col min="4" max="4" width="7" bestFit="1" customWidth="1"/>
  </cols>
  <sheetData>
    <row r="1" spans="1:20" ht="45.75" x14ac:dyDescent="0.65">
      <c r="A1" s="270" t="str">
        <f>_xlfn.TEXTAFTER(CELL("filename",A1),"]")</f>
        <v>nabla.d.Periodsλ</v>
      </c>
      <c r="B1" s="270"/>
      <c r="C1" s="270"/>
      <c r="D1" s="270"/>
      <c r="E1" s="270"/>
      <c r="F1" s="270"/>
      <c r="G1" s="270"/>
      <c r="H1" s="270"/>
      <c r="I1" s="270"/>
      <c r="J1" s="270"/>
      <c r="K1" s="270"/>
      <c r="L1" s="270"/>
      <c r="M1" s="270"/>
      <c r="N1" s="270"/>
      <c r="O1" s="270"/>
      <c r="P1" s="270"/>
    </row>
    <row r="2" spans="1:20" x14ac:dyDescent="0.25">
      <c r="A2" s="273" t="s">
        <v>199</v>
      </c>
      <c r="B2" s="274"/>
      <c r="C2" s="274"/>
      <c r="D2" s="274"/>
      <c r="E2" s="274"/>
      <c r="F2" s="274"/>
      <c r="G2" s="274"/>
      <c r="H2" s="274"/>
      <c r="I2" s="274"/>
      <c r="J2" s="274"/>
      <c r="K2" s="274"/>
      <c r="L2" s="274"/>
      <c r="M2" s="274"/>
      <c r="N2" s="274"/>
      <c r="O2" s="274"/>
      <c r="P2" s="274"/>
      <c r="Q2" s="274"/>
      <c r="R2" s="274"/>
      <c r="S2" s="274"/>
      <c r="T2" s="274"/>
    </row>
    <row r="4" spans="1:20" x14ac:dyDescent="0.25">
      <c r="A4" s="162" t="str" cm="1">
        <f t="array" ref="A4:B20">nabla.d.Periodsλ()</f>
        <v>FUNCTION:</v>
      </c>
      <c r="B4" t="str">
        <v>Periodsλ(Starts, Ends, [Intervals])</v>
      </c>
    </row>
    <row r="5" spans="1:20" x14ac:dyDescent="0.25">
      <c r="A5" t="str">
        <v>DESCRIPTION:</v>
      </c>
      <c r="B5" t="str">
        <v>Determine the number of periods from date1 to date 2 inclusive.</v>
      </c>
    </row>
    <row r="6" spans="1:20" x14ac:dyDescent="0.25">
      <c r="A6" t="str">
        <v/>
      </c>
      <c r="B6" t="str">
        <v>Differences to Excel4.0's DateDif are:</v>
      </c>
    </row>
    <row r="7" spans="1:20" x14ac:dyDescent="0.25">
      <c r="A7" t="str">
        <v/>
      </c>
      <c r="B7" t="str">
        <v>* Interval includes Weeks &amp; Quarters</v>
      </c>
    </row>
    <row r="8" spans="1:20" x14ac:dyDescent="0.25">
      <c r="A8" t="str">
        <v/>
      </c>
      <c r="B8" t="str">
        <v>* End Date is inclusive</v>
      </c>
    </row>
    <row r="9" spans="1:20" x14ac:dyDescent="0.25">
      <c r="A9" t="str">
        <v/>
      </c>
      <c r="B9" t="str">
        <v>* Returns negative values if Date1 is after Date2</v>
      </c>
    </row>
    <row r="10" spans="1:20" x14ac:dyDescent="0.25">
      <c r="A10" t="str">
        <v>WEBPAGE:</v>
      </c>
      <c r="B10" t="str">
        <v>https://github.com/ryanduguid/Nabla</v>
      </c>
    </row>
    <row r="11" spans="1:20" x14ac:dyDescent="0.25">
      <c r="A11" t="str">
        <v>PARAMETERS:</v>
      </c>
      <c r="B11" t="str">
        <v/>
      </c>
    </row>
    <row r="12" spans="1:20" x14ac:dyDescent="0.25">
      <c r="A12" t="str">
        <v>Starts</v>
      </c>
      <c r="B12" t="str">
        <v>(Required) First date (normally older). This can be a single number or array.</v>
      </c>
    </row>
    <row r="13" spans="1:20" x14ac:dyDescent="0.25">
      <c r="A13" t="str">
        <v>Ends</v>
      </c>
      <c r="B13" t="str">
        <v>(Required) Second date (normally newer). This must be the same shape (# of rows &amp; columns) as Date1.</v>
      </c>
    </row>
    <row r="14" spans="1:20" x14ac:dyDescent="0.25">
      <c r="A14" t="str">
        <v>Intervals</v>
      </c>
      <c r="B14" t="str">
        <v>(Optional) Days, Weeks, Months (default), Quarters, or Years (D, W, M, Q, Y)</v>
      </c>
    </row>
    <row r="15" spans="1:20" x14ac:dyDescent="0.25">
      <c r="A15" t="str">
        <v>EXAMPLES:</v>
      </c>
      <c r="B15" t="str">
        <v/>
      </c>
    </row>
    <row r="16" spans="1:20" x14ac:dyDescent="0.25">
      <c r="A16" t="str">
        <v>Result</v>
      </c>
      <c r="B16" t="str">
        <v>Formula (nabla.d is assumed to be the module's name)</v>
      </c>
    </row>
    <row r="17" spans="1:4" x14ac:dyDescent="0.25">
      <c r="A17" t="str">
        <v>2</v>
      </c>
      <c r="B17" t="str">
        <v>=nabla.d.Periodsλ("31/3/2025", "15/5/2025")</v>
      </c>
    </row>
    <row r="18" spans="1:4" x14ac:dyDescent="0.25">
      <c r="A18" t="str">
        <v>-2</v>
      </c>
      <c r="B18" t="str">
        <v>=nabla.d.Periodsλ("15/5/2025", "31/3/2025")</v>
      </c>
    </row>
    <row r="19" spans="1:4" x14ac:dyDescent="0.25">
      <c r="A19" t="str">
        <v>-12</v>
      </c>
      <c r="B19" t="str">
        <v>=nabla.d.Periodsλ("15/1/2026", "16/1/2025", , FALSE)</v>
      </c>
    </row>
    <row r="20" spans="1:4" x14ac:dyDescent="0.25">
      <c r="A20" t="str">
        <v>-53</v>
      </c>
      <c r="B20" t="str">
        <v>=nabla.d.Periodsλ("15/1/2026", "16/1/2025", "W")</v>
      </c>
    </row>
    <row r="24" spans="1:4" x14ac:dyDescent="0.25">
      <c r="A24" s="160" t="s">
        <v>250</v>
      </c>
      <c r="B24" s="160" t="s">
        <v>251</v>
      </c>
      <c r="C24" s="161" t="s">
        <v>142</v>
      </c>
      <c r="D24" s="161" t="s">
        <v>141</v>
      </c>
    </row>
    <row r="25" spans="1:4" x14ac:dyDescent="0.25">
      <c r="A25" s="141">
        <v>46081</v>
      </c>
      <c r="B25" s="141">
        <v>46356</v>
      </c>
      <c r="C25" t="inlineStr">
        <is>
          <t>M</t>
        </is>
      </c>
      <c r="D25" s="162" t="e" cm="1">
        <f t="array" ref="D25:D29">nabla.d.Periodsλ(A25:A29,B25:B29,C25:C29)</f>
        <v>#VALUE!</v>
      </c>
    </row>
    <row r="26" spans="1:4" x14ac:dyDescent="0.25">
      <c r="A26" s="141">
        <v>46203</v>
      </c>
      <c r="B26" s="141">
        <v>46600</v>
      </c>
      <c r="C26" t="inlineStr">
        <is>
          <t>Q</t>
        </is>
      </c>
      <c r="D26" t="e">
        <f/>
        <v>#VALUE!</v>
      </c>
    </row>
    <row r="27" spans="1:4" x14ac:dyDescent="0.25">
      <c r="A27" s="141">
        <v>46023</v>
      </c>
      <c r="B27" s="141">
        <v>46387</v>
      </c>
      <c r="C27" t="inlineStr">
        <is>
          <t>Y</t>
        </is>
      </c>
      <c r="D27" t="e">
        <f/>
        <v>#VALUE!</v>
      </c>
    </row>
    <row r="28" spans="1:4" x14ac:dyDescent="0.25">
      <c r="A28" s="141">
        <v>46142</v>
      </c>
      <c r="B28" s="141">
        <v>46508</v>
      </c>
      <c r="C28" t="inlineStr">
        <is>
          <t>W</t>
        </is>
      </c>
      <c r="D28" t="e">
        <f/>
        <v>#VALUE!</v>
      </c>
    </row>
    <row r="29" spans="1:4" x14ac:dyDescent="0.25">
      <c r="A29" s="141">
        <v>46265</v>
      </c>
      <c r="B29" s="141">
        <v>46630</v>
      </c>
      <c r="C29" t="inlineStr">
        <is>
          <t>D</t>
        </is>
      </c>
      <c r="D29" t="e">
        <f/>
        <v>#VALUE!</v>
      </c>
    </row>
  </sheetData>
  <mergeCells count="2">
    <mergeCell ref="A1:P1"/>
    <mergeCell ref="A2:T2"/>
  </mergeCells>
  <conditionalFormatting sqref="A25:D29">
    <cfRule type="expression" dxfId="14" priority="1">
      <formula>MOD(ROW(),2)=0</formula>
    </cfRule>
  </conditionalFormatting>
  <hyperlinks>
    <hyperlink ref="A1" location="'TOC'!$A$1" display="'TOC'!$A$1" xr:uid="{FF541985-AB12-499A-963A-3723AD1F7A4A}"/>
  </hyperlinks>
  <pageMargins left="0.7" right="0.7" top="0.75" bottom="0.75" header="0.3" footer="0.3"/>
  <customProperties>
    <customPr name="Description" r:id="rId1"/>
  </customPropertie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DBDE-AFB6-4BFF-967B-BA352B4CFE4B}">
  <sheetPr codeName="Sheet14">
    <tabColor rgb="FF1F4E79"/>
  </sheetPr>
  <dimension ref="A1:P26"/>
  <sheetViews>
    <sheetView showGridLines="0" workbookViewId="0">
      <selection activeCell="A1" sqref="A1"/>
    </sheetView>
  </sheetViews>
  <sheetFormatPr defaultRowHeight="15" x14ac:dyDescent="0.25"/>
  <cols>
    <col min="1" max="1" width="12.7109375" bestFit="1" customWidth="1"/>
    <col min="3" max="4" width="11" bestFit="1" customWidth="1"/>
    <col min="5" max="7" width="11.140625" bestFit="1" customWidth="1"/>
    <col min="8" max="8" width="11" bestFit="1" customWidth="1"/>
    <col min="9" max="11" width="11.28515625" bestFit="1" customWidth="1"/>
    <col min="12" max="12" width="11.140625" bestFit="1" customWidth="1"/>
    <col min="13" max="14" width="11.7109375" bestFit="1" customWidth="1"/>
    <col min="15" max="19" width="12.28515625" customWidth="1"/>
  </cols>
  <sheetData>
    <row r="1" spans="1:16" ht="45.75" x14ac:dyDescent="0.65">
      <c r="A1" s="270" t="str">
        <f>_xlfn.TEXTAFTER(CELL("filename",A1),"]")</f>
        <v>nabla.d.PeriodLabelλ</v>
      </c>
      <c r="B1" s="270"/>
      <c r="C1" s="270"/>
      <c r="D1" s="270"/>
      <c r="E1" s="270"/>
      <c r="F1" s="270"/>
      <c r="G1" s="270"/>
      <c r="H1" s="270"/>
      <c r="I1" s="270"/>
      <c r="J1" s="270"/>
      <c r="K1" s="270"/>
      <c r="L1" s="270"/>
      <c r="M1" s="270"/>
      <c r="N1" s="270"/>
      <c r="O1" s="270"/>
      <c r="P1" s="270"/>
    </row>
    <row r="2" spans="1:16" x14ac:dyDescent="0.25">
      <c r="A2" s="273" t="s">
        <v>200</v>
      </c>
      <c r="B2" s="287"/>
      <c r="C2" s="287"/>
      <c r="D2" s="287"/>
      <c r="E2" s="287"/>
      <c r="F2" s="287"/>
      <c r="G2" s="287"/>
      <c r="H2" s="287"/>
      <c r="I2" s="287"/>
      <c r="J2" s="287"/>
      <c r="K2" s="287"/>
      <c r="L2" s="287"/>
      <c r="M2" s="287"/>
      <c r="N2" s="287"/>
      <c r="O2" s="287"/>
      <c r="P2" s="288"/>
    </row>
    <row r="4" spans="1:16" x14ac:dyDescent="0.25">
      <c r="A4" s="162" t="str" cm="1">
        <f t="array" ref="A4:B22">nabla.d.PeriodLabelλ()</f>
        <v>FUNCTION:</v>
      </c>
      <c r="B4" t="str">
        <v>PeriodLabelλ(Date, [Interval])</v>
      </c>
    </row>
    <row r="5" spans="1:16" x14ac:dyDescent="0.25">
      <c r="A5" t="str">
        <v>DESCRIPTION:</v>
      </c>
      <c r="B5" t="str">
        <v>Creates a label for a date based on period interval</v>
      </c>
    </row>
    <row r="6" spans="1:16" x14ac:dyDescent="0.25">
      <c r="A6" t="str">
        <v>WEBPAGE:</v>
      </c>
      <c r="B6" t="str">
        <v>https://github.com/ryanduguid/Nabla</v>
      </c>
    </row>
    <row r="7" spans="1:16" x14ac:dyDescent="0.25">
      <c r="A7" t="str">
        <v>PARAMETERS:</v>
      </c>
      <c r="B7" t="str">
        <v/>
      </c>
    </row>
    <row r="8" spans="1:16" x14ac:dyDescent="0.25">
      <c r="A8" t="str">
        <v>Date</v>
      </c>
      <c r="B8" t="str">
        <v>(Required) A single date or array of date(s) where the first date is the first date of a calendar year.</v>
      </c>
    </row>
    <row r="9" spans="1:16" x14ac:dyDescent="0.25">
      <c r="A9" t="str">
        <v>Interval</v>
      </c>
      <c r="B9" t="str">
        <v>(Optional) Must be one of:</v>
      </c>
    </row>
    <row r="10" spans="1:16" x14ac:dyDescent="0.25">
      <c r="A10" t="str">
        <v/>
      </c>
      <c r="B10" t="str">
        <v>D=Daily</v>
      </c>
    </row>
    <row r="11" spans="1:16" x14ac:dyDescent="0.25">
      <c r="A11" t="str">
        <v/>
      </c>
      <c r="B11" t="str">
        <v>W=Weekly</v>
      </c>
    </row>
    <row r="12" spans="1:16" x14ac:dyDescent="0.25">
      <c r="A12" t="str">
        <v/>
      </c>
      <c r="B12" t="str">
        <v>I=Weekly (using ISO week number)</v>
      </c>
    </row>
    <row r="13" spans="1:16" x14ac:dyDescent="0.25">
      <c r="A13" t="str">
        <v/>
      </c>
      <c r="B13" t="str">
        <v>M=Monthly</v>
      </c>
    </row>
    <row r="14" spans="1:16" x14ac:dyDescent="0.25">
      <c r="A14" t="str">
        <v/>
      </c>
      <c r="B14" t="str">
        <v>Q=Quarterly</v>
      </c>
    </row>
    <row r="15" spans="1:16" x14ac:dyDescent="0.25">
      <c r="A15" t="str">
        <v/>
      </c>
      <c r="B15" t="str">
        <v>S=Semi-Annually</v>
      </c>
    </row>
    <row r="16" spans="1:16" x14ac:dyDescent="0.25">
      <c r="A16" t="str">
        <v/>
      </c>
      <c r="B16" t="str">
        <v>A or Y=Annually</v>
      </c>
    </row>
    <row r="17" spans="1:14" x14ac:dyDescent="0.25">
      <c r="A17" t="str">
        <v>EXAMPLES:</v>
      </c>
      <c r="B17" t="str">
        <v/>
      </c>
    </row>
    <row r="18" spans="1:14" x14ac:dyDescent="0.25">
      <c r="A18" t="str">
        <v>Result</v>
      </c>
      <c r="B18" t="str">
        <v>Formula (nabla.d is assumed to be the module's name)</v>
      </c>
    </row>
    <row r="19" spans="1:14" x14ac:dyDescent="0.25">
      <c r="A19" t="str">
        <v>2023-Feb-26</v>
      </c>
      <c r="B19" t="str">
        <v>=nabla.d.PeriodLabelλ(DATEVALUE("26/2/2025"), "D")</v>
      </c>
    </row>
    <row r="20" spans="1:14" x14ac:dyDescent="0.25">
      <c r="A20" t="str">
        <v>2023-Feb</v>
      </c>
      <c r="B20" t="str">
        <v>=nabla.d.PeriodLabelλ(DATEVALUE("26/2/2025"), "M")</v>
      </c>
    </row>
    <row r="21" spans="1:14" x14ac:dyDescent="0.25">
      <c r="A21" t="str">
        <v>2023:Q01</v>
      </c>
      <c r="B21" t="str">
        <v>=nabla.d.PeriodLabelλ(DATEVALUE("26/2/2025"), "Q")</v>
      </c>
    </row>
    <row r="22" spans="1:14" x14ac:dyDescent="0.25">
      <c r="A22" t="str">
        <v>2023</v>
      </c>
      <c r="B22" t="str">
        <v>=nabla.d.PeriodLabelλ(DATEVALUE("26/2/2025"), "Y")</v>
      </c>
    </row>
    <row r="25" spans="1:14" x14ac:dyDescent="0.25">
      <c r="A25" t="s">
        <v>149</v>
      </c>
      <c r="B25" t="s">
        <v>253</v>
      </c>
      <c r="C25" s="1" cm="1">
        <f t="array" ref="C25:N25">nabla.d.Timelineλ("1/1/2026", 12, _xlfn.SWITCH(B26, "I", "W", "S", "Q", B26))</f>
        <v>45292</v>
      </c>
      <c r="D25" s="1">
        <v>46388</v>
      </c>
      <c r="E25" s="1">
        <v>46753</v>
      </c>
      <c r="F25" s="1">
        <v>47119</v>
      </c>
      <c r="G25" s="1">
        <v>47484</v>
      </c>
      <c r="H25" s="1">
        <v>47849</v>
      </c>
      <c r="I25" s="1">
        <v>48214</v>
      </c>
      <c r="J25" s="1">
        <v>48580</v>
      </c>
      <c r="K25" s="1">
        <v>48945</v>
      </c>
      <c r="L25" s="1">
        <v>49310</v>
      </c>
      <c r="M25" s="1">
        <v>49675</v>
      </c>
      <c r="N25" s="1">
        <v>50041</v>
      </c>
    </row>
    <row r="26" spans="1:14" x14ac:dyDescent="0.25">
      <c r="A26" t="s">
        <v>252</v>
      </c>
      <c r="B26" s="232" t="s">
        <v>24</v>
      </c>
      <c r="C26" s="162" t="str" cm="1">
        <f t="array" ref="C26:N26">nabla.d.PeriodLabelλ(_xlfn.ANCHORARRAY(C25),B26)</f>
        <v>2024</v>
      </c>
      <c r="D26" t="str">
        <v>2025</v>
      </c>
      <c r="E26" t="str">
        <v>2026</v>
      </c>
      <c r="F26" t="str">
        <v>2027</v>
      </c>
      <c r="G26" t="str">
        <v>2028</v>
      </c>
      <c r="H26" t="str">
        <v>2029</v>
      </c>
      <c r="I26" t="str">
        <v>2030</v>
      </c>
      <c r="J26" t="str">
        <v>2031</v>
      </c>
      <c r="K26" t="str">
        <v>2032</v>
      </c>
      <c r="L26" t="str">
        <v>2033</v>
      </c>
      <c r="M26" t="str">
        <v>2034</v>
      </c>
      <c r="N26" t="str">
        <v>2035</v>
      </c>
    </row>
  </sheetData>
  <mergeCells count="2">
    <mergeCell ref="A1:P1"/>
    <mergeCell ref="A2:P2"/>
  </mergeCells>
  <dataValidations count="1">
    <dataValidation type="list" allowBlank="1" showInputMessage="1" showErrorMessage="1" sqref="B26" xr:uid="{18A55FE3-E8C5-43CC-A8D2-2BB1CE755784}">
      <formula1>"D,W,I,M,Q,S,Y"</formula1>
    </dataValidation>
  </dataValidations>
  <hyperlinks>
    <hyperlink ref="A1" location="'TOC'!$A$1" display="'TOC'!$A$1" xr:uid="{CEACC5E1-D644-438B-92B3-FB4A111CDDC8}"/>
  </hyperlinks>
  <pageMargins left="0.7" right="0.7" top="0.75" bottom="0.75" header="0.3" footer="0.3"/>
  <customProperties>
    <customPr name="Description" r:id="rId1"/>
  </customPropertie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9DC5B-2BCD-4E2E-8CF4-88D199BAF318}">
  <sheetPr codeName="Sheet15">
    <tabColor rgb="FF1F4E79"/>
  </sheetPr>
  <dimension ref="A1:Q48"/>
  <sheetViews>
    <sheetView showGridLines="0" workbookViewId="0">
      <selection activeCell="A1" sqref="A1"/>
    </sheetView>
  </sheetViews>
  <sheetFormatPr defaultRowHeight="15" x14ac:dyDescent="0.25"/>
  <cols>
    <col min="1" max="1" width="15" bestFit="1" customWidth="1"/>
    <col min="2" max="2" width="14" customWidth="1"/>
    <col min="3" max="3" width="10" bestFit="1" customWidth="1"/>
    <col min="6" max="17" width="12.28515625" customWidth="1"/>
  </cols>
  <sheetData>
    <row r="1" spans="1:15" ht="45.75" x14ac:dyDescent="0.65">
      <c r="A1" s="270" t="str">
        <f>_xlfn.TEXTAFTER(CELL("filename",A1),"]")</f>
        <v>nabla.d.ScheduleRatesλ</v>
      </c>
      <c r="B1" s="270"/>
      <c r="C1" s="270"/>
      <c r="D1" s="270"/>
      <c r="E1" s="270"/>
      <c r="F1" s="270"/>
      <c r="G1" s="270"/>
      <c r="H1" s="270"/>
      <c r="I1" s="270"/>
      <c r="J1" s="270"/>
      <c r="K1" s="270"/>
      <c r="L1" s="270"/>
      <c r="M1" s="270"/>
      <c r="N1" s="112"/>
    </row>
    <row r="2" spans="1:15" x14ac:dyDescent="0.25">
      <c r="A2" s="273" t="s">
        <v>201</v>
      </c>
      <c r="B2" s="274"/>
      <c r="C2" s="274"/>
      <c r="D2" s="274"/>
      <c r="E2" s="274"/>
      <c r="F2" s="274"/>
      <c r="G2" s="274"/>
      <c r="H2" s="274"/>
      <c r="I2" s="274"/>
      <c r="J2" s="274"/>
      <c r="K2" s="274"/>
      <c r="L2" s="274"/>
      <c r="M2" s="274"/>
      <c r="N2" s="274"/>
      <c r="O2" s="274"/>
    </row>
    <row r="4" spans="1:15" x14ac:dyDescent="0.25">
      <c r="A4" s="131" t="str" cm="1">
        <f t="array" ref="A4:B14">nabla.d.ScheduleRatesλ()</f>
        <v>FUNCTION:</v>
      </c>
      <c r="B4" t="str">
        <v>ScheduleRatesλ(PeriodEnds, RateStarts, Rates)</v>
      </c>
    </row>
    <row r="5" spans="1:15" x14ac:dyDescent="0.25">
      <c r="A5" t="str">
        <v>DESCRIPTION:</v>
      </c>
      <c r="B5" t="str">
        <v>Schedules rates that persist until replaced in a timeline from a schedule in a table.</v>
      </c>
    </row>
    <row r="6" spans="1:15" x14ac:dyDescent="0.25">
      <c r="A6" t="str">
        <v>NOTE!</v>
      </c>
      <c r="B6" t="str">
        <v>If 2 rates are scheduled within the same period, only the last rate will be selected.</v>
      </c>
    </row>
    <row r="7" spans="1:15" x14ac:dyDescent="0.25">
      <c r="A7" t="str">
        <v>WEBPAGE:</v>
      </c>
      <c r="B7" t="str">
        <v>https://github.com/ryanduguid/Nabla</v>
      </c>
    </row>
    <row r="8" spans="1:15" x14ac:dyDescent="0.25">
      <c r="A8" t="str">
        <v>PARAMETERS:</v>
      </c>
      <c r="B8" t="str">
        <v/>
      </c>
    </row>
    <row r="9" spans="1:15" x14ac:dyDescent="0.25">
      <c r="A9" t="str">
        <v>PeriodEnds</v>
      </c>
      <c r="B9" t="str">
        <v>(Required) A row of period end dates (timeline).</v>
      </c>
    </row>
    <row r="10" spans="1:15" x14ac:dyDescent="0.25">
      <c r="A10" t="str">
        <v>RateStarts</v>
      </c>
      <c r="B10" t="str">
        <v>(Required) A column or row of rate effective dates in any order.</v>
      </c>
    </row>
    <row r="11" spans="1:15" x14ac:dyDescent="0.25">
      <c r="A11" t="str">
        <v>Rates</v>
      </c>
      <c r="B11" t="str">
        <v>(Required) A column or row of rates associated with RateStarts.</v>
      </c>
    </row>
    <row r="12" spans="1:15" x14ac:dyDescent="0.25">
      <c r="A12" t="str">
        <v>EXAMPLES:</v>
      </c>
      <c r="B12" t="str">
        <v/>
      </c>
    </row>
    <row r="13" spans="1:15" x14ac:dyDescent="0.25">
      <c r="A13" t="str">
        <v>Result</v>
      </c>
      <c r="B13" t="str">
        <v>Formula (nabla.d is assumed to be the module's name)</v>
      </c>
    </row>
    <row r="14" spans="1:15" x14ac:dyDescent="0.25">
      <c r="A14" t="str">
        <v>_,10,20,30,30</v>
      </c>
      <c r="B14" t="str">
        <v>=nabla.d.ScheduleRatesλ(Timelineλ("1/1/2025",5,"W"),{45662; 45670; 45676}, {10; 20; 30})</v>
      </c>
    </row>
    <row r="18" spans="1:17" x14ac:dyDescent="0.25">
      <c r="E18" s="127" t="s">
        <v>150</v>
      </c>
      <c r="F18" s="132" cm="1">
        <f t="array" ref="F18:Q18">nabla.d.Timelineλ($B$21,$B$22,$B$23)</f>
        <v>45292</v>
      </c>
      <c r="G18" s="132">
        <v>46054</v>
      </c>
      <c r="H18" s="132">
        <v>46082</v>
      </c>
      <c r="I18" s="132">
        <v>46113</v>
      </c>
      <c r="J18" s="132">
        <v>46143</v>
      </c>
      <c r="K18" s="132">
        <v>46174</v>
      </c>
      <c r="L18" s="132">
        <v>46204</v>
      </c>
      <c r="M18" s="132">
        <v>46235</v>
      </c>
      <c r="N18" s="132">
        <v>46266</v>
      </c>
      <c r="O18" s="132">
        <v>46296</v>
      </c>
      <c r="P18" s="132">
        <v>46327</v>
      </c>
      <c r="Q18" s="132">
        <v>46357</v>
      </c>
    </row>
    <row r="19" spans="1:17" x14ac:dyDescent="0.25">
      <c r="A19" s="115" t="s">
        <v>137</v>
      </c>
      <c r="B19" s="116" t="s">
        <v>138</v>
      </c>
      <c r="C19" s="115" t="s">
        <v>139</v>
      </c>
      <c r="E19" s="126" t="s">
        <v>151</v>
      </c>
      <c r="F19" s="1" cm="1">
        <f t="array" ref="F19:Q19">nabla.d.Timelineλ($B$21,$B$22,$B$23, FALSE)</f>
        <v>45322</v>
      </c>
      <c r="G19" s="1">
        <v>46081</v>
      </c>
      <c r="H19" s="1">
        <v>46112</v>
      </c>
      <c r="I19" s="1">
        <v>46142</v>
      </c>
      <c r="J19" s="1">
        <v>46173</v>
      </c>
      <c r="K19" s="1">
        <v>46203</v>
      </c>
      <c r="L19" s="1">
        <v>46234</v>
      </c>
      <c r="M19" s="1">
        <v>46265</v>
      </c>
      <c r="N19" s="1">
        <v>46295</v>
      </c>
      <c r="O19" s="1">
        <v>46326</v>
      </c>
      <c r="P19" s="1">
        <v>46356</v>
      </c>
      <c r="Q19" s="1">
        <v>46387</v>
      </c>
    </row>
    <row r="20" spans="1:17" ht="20.25" x14ac:dyDescent="0.3">
      <c r="A20" s="283" t="s">
        <v>181</v>
      </c>
      <c r="B20" s="283"/>
      <c r="C20" s="283"/>
    </row>
    <row r="21" spans="1:17" x14ac:dyDescent="0.25">
      <c r="A21" s="121" t="s">
        <v>150</v>
      </c>
      <c r="B21" s="119">
        <v>46023</v>
      </c>
      <c r="C21" t="s">
        <v>145</v>
      </c>
    </row>
    <row r="22" spans="1:17" x14ac:dyDescent="0.25">
      <c r="A22" s="121" t="s">
        <v>141</v>
      </c>
      <c r="B22" s="122">
        <v>12</v>
      </c>
      <c r="C22" t="s">
        <v>145</v>
      </c>
    </row>
    <row r="23" spans="1:17" x14ac:dyDescent="0.25">
      <c r="A23" s="121" t="s">
        <v>142</v>
      </c>
      <c r="B23" s="118" t="s">
        <v>144</v>
      </c>
      <c r="C23" t="s">
        <v>153</v>
      </c>
    </row>
    <row r="25" spans="1:17" ht="20.25" x14ac:dyDescent="0.3">
      <c r="A25" s="283" t="s">
        <v>156</v>
      </c>
      <c r="B25" s="283"/>
      <c r="C25" s="283"/>
    </row>
    <row r="26" spans="1:17" x14ac:dyDescent="0.25">
      <c r="A26" s="133" t="s">
        <v>157</v>
      </c>
      <c r="B26" s="119">
        <v>46023</v>
      </c>
      <c r="C26" t="s">
        <v>145</v>
      </c>
    </row>
    <row r="27" spans="1:17" x14ac:dyDescent="0.25">
      <c r="A27" s="133" t="s">
        <v>158</v>
      </c>
      <c r="B27" s="119">
        <v>46174</v>
      </c>
      <c r="C27" t="s">
        <v>145</v>
      </c>
    </row>
    <row r="28" spans="1:17" x14ac:dyDescent="0.25">
      <c r="A28" s="133" t="s">
        <v>159</v>
      </c>
      <c r="B28" s="124">
        <v>5</v>
      </c>
      <c r="C28" t="s">
        <v>161</v>
      </c>
    </row>
    <row r="29" spans="1:17" x14ac:dyDescent="0.25">
      <c r="A29" s="133" t="s">
        <v>160</v>
      </c>
      <c r="B29" s="124">
        <v>10</v>
      </c>
      <c r="C29" t="s">
        <v>161</v>
      </c>
      <c r="F29" s="131" cm="1">
        <f t="array" ref="F29:Q29">nabla.d.ScheduleRatesλ(_xlfn.ANCHORARRAY($F$19),$B$26:$B$27,$B$28:$B$29)</f>
        <v>5</v>
      </c>
      <c r="G29">
        <v>5</v>
      </c>
      <c r="H29">
        <v>5</v>
      </c>
      <c r="I29">
        <v>5</v>
      </c>
      <c r="J29">
        <v>5</v>
      </c>
      <c r="K29">
        <v>10</v>
      </c>
      <c r="L29">
        <v>10</v>
      </c>
      <c r="M29">
        <v>10</v>
      </c>
      <c r="N29">
        <v>10</v>
      </c>
      <c r="O29">
        <v>10</v>
      </c>
      <c r="P29">
        <v>10</v>
      </c>
      <c r="Q29">
        <v>10</v>
      </c>
    </row>
    <row r="33" spans="1:17" ht="20.25" x14ac:dyDescent="0.3">
      <c r="A33" s="283" t="s">
        <v>180</v>
      </c>
      <c r="B33" s="298"/>
      <c r="C33" s="117"/>
    </row>
    <row r="34" spans="1:17" x14ac:dyDescent="0.25">
      <c r="A34" s="280"/>
      <c r="B34" s="282"/>
    </row>
    <row r="35" spans="1:17" x14ac:dyDescent="0.25">
      <c r="A35" s="135" t="s">
        <v>162</v>
      </c>
      <c r="B35" s="125" t="s">
        <v>163</v>
      </c>
      <c r="F35" s="131" cm="1">
        <f t="array" ref="F35:Q35">nabla.d.ScheduleRatesλ(_xlfn.ANCHORARRAY(F19),tblRents[Rate Starts],tblRents[Rate Amount])</f>
        <v>100</v>
      </c>
      <c r="G35">
        <v>100</v>
      </c>
      <c r="H35">
        <v>125</v>
      </c>
      <c r="I35">
        <v>125</v>
      </c>
      <c r="J35">
        <v>125</v>
      </c>
      <c r="K35">
        <v>150</v>
      </c>
      <c r="L35">
        <v>150</v>
      </c>
      <c r="M35">
        <v>150</v>
      </c>
      <c r="N35">
        <v>150</v>
      </c>
      <c r="O35">
        <v>150</v>
      </c>
      <c r="P35">
        <v>150</v>
      </c>
      <c r="Q35">
        <v>150</v>
      </c>
    </row>
    <row r="36" spans="1:17" x14ac:dyDescent="0.25">
      <c r="A36" s="120">
        <v>46023</v>
      </c>
      <c r="B36">
        <v>100</v>
      </c>
    </row>
    <row r="37" spans="1:17" x14ac:dyDescent="0.25">
      <c r="A37" s="120">
        <v>46096</v>
      </c>
      <c r="B37">
        <v>125</v>
      </c>
    </row>
    <row r="38" spans="1:17" x14ac:dyDescent="0.25">
      <c r="A38" s="120">
        <v>46188</v>
      </c>
      <c r="B38">
        <v>150</v>
      </c>
    </row>
    <row r="40" spans="1:17" ht="20.25" x14ac:dyDescent="0.3">
      <c r="A40" s="283" t="s">
        <v>179</v>
      </c>
      <c r="B40" s="297"/>
      <c r="C40" s="298"/>
    </row>
    <row r="41" spans="1:17" x14ac:dyDescent="0.25">
      <c r="A41" s="280"/>
      <c r="B41" s="281"/>
      <c r="C41" s="282"/>
    </row>
    <row r="42" spans="1:17" x14ac:dyDescent="0.25">
      <c r="A42" s="114" t="s">
        <v>164</v>
      </c>
      <c r="B42" s="114" t="s">
        <v>165</v>
      </c>
      <c r="C42" s="114" t="s">
        <v>166</v>
      </c>
      <c r="F42" s="131" cm="1">
        <f t="array" ref="F42:Q42">nabla.d.ScheduleRatesλ(_xlfn.ANCHORARRAY(F19),tblUnits[Ready Dates],tblUnits[Total Units])</f>
        <v>10</v>
      </c>
      <c r="G42">
        <v>20</v>
      </c>
      <c r="H42">
        <v>20</v>
      </c>
      <c r="I42">
        <v>25</v>
      </c>
      <c r="J42">
        <v>40</v>
      </c>
      <c r="K42">
        <v>40</v>
      </c>
      <c r="L42">
        <v>40</v>
      </c>
      <c r="M42">
        <v>40</v>
      </c>
      <c r="N42">
        <v>40</v>
      </c>
      <c r="O42">
        <v>40</v>
      </c>
      <c r="P42">
        <v>40</v>
      </c>
      <c r="Q42">
        <v>40</v>
      </c>
    </row>
    <row r="43" spans="1:17" x14ac:dyDescent="0.25">
      <c r="A43" s="120">
        <v>46023</v>
      </c>
      <c r="B43">
        <v>10</v>
      </c>
      <c r="C43">
        <f>SUMIFS(tblUnits[Units Built],tblUnits[Ready Dates],"&lt;=" &amp; tblUnits[[#This Row],[Ready Dates]])</f>
        <v>10</v>
      </c>
    </row>
    <row r="44" spans="1:17" x14ac:dyDescent="0.25">
      <c r="A44" s="120">
        <v>46054</v>
      </c>
      <c r="B44">
        <v>10</v>
      </c>
      <c r="C44">
        <f>SUMIFS(tblUnits[Units Built],tblUnits[Ready Dates],"&lt;=" &amp; tblUnits[[#This Row],[Ready Dates]])</f>
        <v>20</v>
      </c>
    </row>
    <row r="45" spans="1:17" x14ac:dyDescent="0.25">
      <c r="A45" s="120">
        <v>46113</v>
      </c>
      <c r="B45">
        <v>5</v>
      </c>
      <c r="C45">
        <f>SUMIFS(tblUnits[Units Built],tblUnits[Ready Dates],"&lt;=" &amp; tblUnits[[#This Row],[Ready Dates]])</f>
        <v>25</v>
      </c>
    </row>
    <row r="46" spans="1:17" x14ac:dyDescent="0.25">
      <c r="A46" s="120">
        <v>46143</v>
      </c>
      <c r="B46">
        <v>15</v>
      </c>
      <c r="C46">
        <f>SUMIFS(tblUnits[Units Built],tblUnits[Ready Dates],"&lt;=" &amp; tblUnits[[#This Row],[Ready Dates]])</f>
        <v>40</v>
      </c>
    </row>
    <row r="48" spans="1:17" x14ac:dyDescent="0.25">
      <c r="A48" s="2" t="s">
        <v>167</v>
      </c>
      <c r="F48" cm="1">
        <f t="array" ref="F48:Q48">_xlfn.ANCHORARRAY(F42)*_xlfn.ANCHORARRAY(F35)</f>
        <v>1000</v>
      </c>
      <c r="G48">
        <v>2000</v>
      </c>
      <c r="H48">
        <v>2500</v>
      </c>
      <c r="I48">
        <v>3125</v>
      </c>
      <c r="J48">
        <v>5000</v>
      </c>
      <c r="K48">
        <v>6000</v>
      </c>
      <c r="L48">
        <v>6000</v>
      </c>
      <c r="M48">
        <v>6000</v>
      </c>
      <c r="N48">
        <v>6000</v>
      </c>
      <c r="O48">
        <v>6000</v>
      </c>
      <c r="P48">
        <v>6000</v>
      </c>
      <c r="Q48">
        <v>6000</v>
      </c>
    </row>
  </sheetData>
  <mergeCells count="8">
    <mergeCell ref="A41:C41"/>
    <mergeCell ref="A40:C40"/>
    <mergeCell ref="A25:C25"/>
    <mergeCell ref="A20:C20"/>
    <mergeCell ref="A1:M1"/>
    <mergeCell ref="A34:B34"/>
    <mergeCell ref="A33:B33"/>
    <mergeCell ref="A2:O2"/>
  </mergeCells>
  <dataValidations disablePrompts="1" count="1">
    <dataValidation type="list" allowBlank="1" showInputMessage="1" showErrorMessage="1" sqref="B23" xr:uid="{672B3F80-1A45-446D-8779-8DF7A2FB36D8}">
      <formula1>"M,Q,Y"</formula1>
    </dataValidation>
  </dataValidations>
  <hyperlinks>
    <hyperlink ref="A1" location="'TOC'!$A$1" display="'TOC'!$A$1" xr:uid="{65A05DB4-6192-495B-9957-06B33056669F}"/>
  </hyperlinks>
  <pageMargins left="0.7" right="0.7" top="0.75" bottom="0.75" header="0.3" footer="0.3"/>
  <customProperties>
    <customPr name="Description" r:id="rId1"/>
  </customProperties>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E6D54-E14E-4966-8F52-B7900E227797}">
  <sheetPr codeName="Sheet16">
    <tabColor rgb="FF1F4E79"/>
  </sheetPr>
  <dimension ref="A1:T38"/>
  <sheetViews>
    <sheetView showGridLines="0" workbookViewId="0">
      <selection activeCell="A1" sqref="A1"/>
    </sheetView>
  </sheetViews>
  <sheetFormatPr defaultRowHeight="15" x14ac:dyDescent="0.25"/>
  <cols>
    <col min="1" max="1" width="12.7109375" bestFit="1" customWidth="1"/>
    <col min="2" max="2" width="10.5703125" bestFit="1" customWidth="1"/>
    <col min="5" max="5" width="11.28515625" bestFit="1" customWidth="1"/>
    <col min="9" max="20" width="12.28515625" customWidth="1"/>
  </cols>
  <sheetData>
    <row r="1" spans="1:16" ht="45.75" x14ac:dyDescent="0.65">
      <c r="A1" s="270" t="str">
        <f>_xlfn.TEXTAFTER(CELL("filename",A1),"]")</f>
        <v>nabla.d.ScheduleRatesByItemsλ</v>
      </c>
      <c r="B1" s="270"/>
      <c r="C1" s="270"/>
      <c r="D1" s="270"/>
      <c r="E1" s="270"/>
      <c r="F1" s="270"/>
      <c r="G1" s="270"/>
      <c r="H1" s="270"/>
      <c r="I1" s="270"/>
      <c r="J1" s="270"/>
      <c r="K1" s="270"/>
      <c r="L1" s="270"/>
      <c r="M1" s="270"/>
      <c r="N1" s="270"/>
      <c r="O1" s="270"/>
      <c r="P1" s="270"/>
    </row>
    <row r="2" spans="1:16" x14ac:dyDescent="0.25">
      <c r="A2" s="273" t="s">
        <v>202</v>
      </c>
      <c r="B2" s="287"/>
      <c r="C2" s="287"/>
      <c r="D2" s="287"/>
      <c r="E2" s="287"/>
      <c r="F2" s="287"/>
      <c r="G2" s="287"/>
      <c r="H2" s="287"/>
      <c r="I2" s="287"/>
      <c r="J2" s="287"/>
      <c r="K2" s="287"/>
      <c r="L2" s="287"/>
      <c r="M2" s="287"/>
      <c r="N2" s="287"/>
      <c r="O2" s="287"/>
      <c r="P2" s="288"/>
    </row>
    <row r="4" spans="1:16" x14ac:dyDescent="0.25">
      <c r="A4" s="162" t="str" cm="1">
        <f t="array" ref="A4:B20">nabla.d.ScheduleRatesByItemsλ()</f>
        <v>FUNCTION:</v>
      </c>
      <c r="B4" t="str">
        <v>ScheduleRatesByItemsλ(PeriodEnds, ItemFilter, ItemList, EffectiveList, RateList)</v>
      </c>
    </row>
    <row r="5" spans="1:16" x14ac:dyDescent="0.25">
      <c r="A5" t="str">
        <v>DESCRIPTION:</v>
      </c>
      <c r="B5" t="str">
        <v>Schedules each item's rates by period until another rate takes effect.</v>
      </c>
    </row>
    <row r="6" spans="1:16" x14ac:dyDescent="0.25">
      <c r="A6" t="str">
        <v>NOTE!</v>
      </c>
      <c r="B6" t="str">
        <v>If 2 rates are scheduled within the same period for the same item, .</v>
      </c>
    </row>
    <row r="7" spans="1:16" x14ac:dyDescent="0.25">
      <c r="A7" t="str">
        <v/>
      </c>
      <c r="B7" t="str">
        <v>only the last rate will be selected.</v>
      </c>
    </row>
    <row r="8" spans="1:16" x14ac:dyDescent="0.25">
      <c r="A8" t="str">
        <v>WEBPAGE:</v>
      </c>
      <c r="B8" t="str">
        <v>https://github.com/ryanduguid/Nabla</v>
      </c>
    </row>
    <row r="9" spans="1:16" x14ac:dyDescent="0.25">
      <c r="A9" t="str">
        <v>PARAMETERS:</v>
      </c>
      <c r="B9" t="str">
        <v/>
      </c>
    </row>
    <row r="10" spans="1:16" x14ac:dyDescent="0.25">
      <c r="A10" t="str">
        <v>PeriodEnds</v>
      </c>
      <c r="B10" t="str">
        <v>(Required) A row or column of period end dates (timeline).</v>
      </c>
    </row>
    <row r="11" spans="1:16" x14ac:dyDescent="0.25">
      <c r="A11" t="str">
        <v>ItemFilter</v>
      </c>
      <c r="B11" t="str">
        <v>(Required) 1 or more items to filter a rate schedule by.</v>
      </c>
    </row>
    <row r="12" spans="1:16" x14ac:dyDescent="0.25">
      <c r="A12" t="str">
        <v/>
      </c>
      <c r="B12" t="str">
        <v>A 'rate schedule' is a table/list where each row contains a unique item/effective date pair with a rate.</v>
      </c>
    </row>
    <row r="13" spans="1:16" x14ac:dyDescent="0.25">
      <c r="A13" t="str">
        <v>ItemList</v>
      </c>
      <c r="B13" t="str">
        <v>(Required) Items in a rate schedule.</v>
      </c>
    </row>
    <row r="14" spans="1:16" x14ac:dyDescent="0.25">
      <c r="A14" t="str">
        <v>EffectiveList</v>
      </c>
      <c r="B14" t="str">
        <v>(Required) Effective dates in the rate schedule.</v>
      </c>
    </row>
    <row r="15" spans="1:16" x14ac:dyDescent="0.25">
      <c r="A15" t="str">
        <v>RateList</v>
      </c>
      <c r="B15" t="str">
        <v>(Required) Rates in a rate schedule for each item/effective date pair.</v>
      </c>
    </row>
    <row r="16" spans="1:16" x14ac:dyDescent="0.25">
      <c r="A16" t="str">
        <v>DoNotUse</v>
      </c>
      <c r="B16" t="str">
        <v>This is a counter used internally. Do not make any entry.</v>
      </c>
    </row>
    <row r="17" spans="1:20" x14ac:dyDescent="0.25">
      <c r="A17" t="str">
        <v>EXAMPLES:</v>
      </c>
      <c r="B17" t="str">
        <v/>
      </c>
    </row>
    <row r="18" spans="1:20" x14ac:dyDescent="0.25">
      <c r="A18" t="str">
        <v>Result</v>
      </c>
      <c r="B18" t="str">
        <v>Formula (nabla.d is assumed to be the module's name)</v>
      </c>
    </row>
    <row r="19" spans="1:20" x14ac:dyDescent="0.25">
      <c r="A19" t="str">
        <v/>
      </c>
      <c r="B19" t="str">
        <v>nabla.d.ScheduleRatesByItemsλ( Timelineλ( "1/1/2025"), UNIQUE( tblRates(Unit)),</v>
      </c>
    </row>
    <row r="20" spans="1:20" x14ac:dyDescent="0.25">
      <c r="A20" t="str">
        <v/>
      </c>
      <c r="B20" t="str">
        <v>tblRates[Unit], tblRates[Rent], tblRates[Effective])</v>
      </c>
    </row>
    <row r="22" spans="1:20" ht="20.25" x14ac:dyDescent="0.3">
      <c r="D22" s="299" t="s">
        <v>356</v>
      </c>
      <c r="E22" s="300"/>
      <c r="F22" s="300"/>
    </row>
    <row r="23" spans="1:20" x14ac:dyDescent="0.25">
      <c r="D23" s="301"/>
      <c r="E23" s="300"/>
      <c r="F23" s="300"/>
      <c r="I23" s="125" t="s">
        <v>254</v>
      </c>
    </row>
    <row r="24" spans="1:20" x14ac:dyDescent="0.25">
      <c r="A24" s="115" t="s">
        <v>6</v>
      </c>
      <c r="B24" s="115" t="s">
        <v>138</v>
      </c>
      <c r="D24" t="s">
        <v>255</v>
      </c>
      <c r="E24" s="114" t="s">
        <v>256</v>
      </c>
      <c r="F24" s="114" t="s">
        <v>257</v>
      </c>
      <c r="H24" s="115" t="s">
        <v>258</v>
      </c>
      <c r="I24" s="1" cm="1">
        <f t="array" ref="I24:T24">nabla.d.Timelineλ(B25, B27, B26, FALSE)</f>
        <v>44957</v>
      </c>
      <c r="J24" s="1">
        <v>45716</v>
      </c>
      <c r="K24" s="1">
        <v>45747</v>
      </c>
      <c r="L24" s="1">
        <v>45777</v>
      </c>
      <c r="M24" s="1">
        <v>45808</v>
      </c>
      <c r="N24" s="1">
        <v>45838</v>
      </c>
      <c r="O24" s="1">
        <v>45869</v>
      </c>
      <c r="P24" s="1">
        <v>45900</v>
      </c>
      <c r="Q24" s="1">
        <v>45930</v>
      </c>
      <c r="R24" s="1">
        <v>45961</v>
      </c>
      <c r="S24" s="1">
        <v>45991</v>
      </c>
      <c r="T24" s="1">
        <v>46022</v>
      </c>
    </row>
    <row r="25" spans="1:20" x14ac:dyDescent="0.25">
      <c r="A25" t="s">
        <v>236</v>
      </c>
      <c r="B25" s="163">
        <v>45658</v>
      </c>
      <c r="D25" t="s">
        <v>259</v>
      </c>
      <c r="E25" s="141">
        <v>45681</v>
      </c>
      <c r="F25">
        <v>291</v>
      </c>
      <c r="H25" t="str" cm="1">
        <f t="array" ref="H25:H29">_xlfn._xlws.SORT(_xlfn.UNIQUE(tblItems[Item]))</f>
        <v>Unit 100</v>
      </c>
      <c r="I25" s="162" cm="1">
        <f t="array" ref="I25:T29">nabla.d.ScheduleRatesByItemsλ(_xlfn.ANCHORARRAY(I24),_xlfn.ANCHORARRAY( H25), tblItems[Item],tblItems[Effective],tblItems[Rate])</f>
        <v>0</v>
      </c>
      <c r="J25">
        <v>0</v>
      </c>
      <c r="K25">
        <v>0</v>
      </c>
      <c r="L25">
        <v>291</v>
      </c>
      <c r="M25">
        <v>291</v>
      </c>
      <c r="N25">
        <v>291</v>
      </c>
      <c r="O25">
        <v>291</v>
      </c>
      <c r="P25">
        <v>291</v>
      </c>
      <c r="Q25">
        <v>291</v>
      </c>
      <c r="R25">
        <v>325</v>
      </c>
      <c r="S25">
        <v>325</v>
      </c>
      <c r="T25">
        <v>325</v>
      </c>
    </row>
    <row r="26" spans="1:20" x14ac:dyDescent="0.25">
      <c r="A26" t="s">
        <v>142</v>
      </c>
      <c r="B26" s="124" t="s">
        <v>144</v>
      </c>
      <c r="D26" t="s">
        <v>261</v>
      </c>
      <c r="E26" s="141">
        <v>45685</v>
      </c>
      <c r="F26">
        <v>515</v>
      </c>
      <c r="H26" t="str">
        <v>Unit 200</v>
      </c>
      <c r="I26">
        <v>291</v>
      </c>
      <c r="J26">
        <v>291</v>
      </c>
      <c r="K26">
        <v>291</v>
      </c>
      <c r="L26">
        <v>291</v>
      </c>
      <c r="M26">
        <v>291</v>
      </c>
      <c r="N26">
        <v>291</v>
      </c>
      <c r="O26">
        <v>291</v>
      </c>
      <c r="P26">
        <v>295</v>
      </c>
      <c r="Q26">
        <v>295</v>
      </c>
      <c r="R26">
        <v>295</v>
      </c>
      <c r="S26">
        <v>295</v>
      </c>
      <c r="T26">
        <v>295</v>
      </c>
    </row>
    <row r="27" spans="1:20" x14ac:dyDescent="0.25">
      <c r="A27" t="s">
        <v>141</v>
      </c>
      <c r="B27" s="164">
        <v>12</v>
      </c>
      <c r="D27" t="s">
        <v>263</v>
      </c>
      <c r="E27" s="141">
        <v>45689</v>
      </c>
      <c r="F27">
        <v>100</v>
      </c>
      <c r="H27" t="str">
        <v>Unit 300</v>
      </c>
      <c r="I27">
        <v>515</v>
      </c>
      <c r="J27">
        <v>515</v>
      </c>
      <c r="K27">
        <v>515</v>
      </c>
      <c r="L27">
        <v>515</v>
      </c>
      <c r="M27">
        <v>515</v>
      </c>
      <c r="N27">
        <v>520</v>
      </c>
      <c r="O27">
        <v>520</v>
      </c>
      <c r="P27">
        <v>520</v>
      </c>
      <c r="Q27">
        <v>520</v>
      </c>
      <c r="R27">
        <v>535</v>
      </c>
      <c r="S27">
        <v>535</v>
      </c>
      <c r="T27">
        <v>535</v>
      </c>
    </row>
    <row r="28" spans="1:20" x14ac:dyDescent="0.25">
      <c r="D28" t="s">
        <v>260</v>
      </c>
      <c r="E28" s="141">
        <v>45750</v>
      </c>
      <c r="F28">
        <v>291</v>
      </c>
      <c r="H28" t="str">
        <v>Unit 400</v>
      </c>
      <c r="I28">
        <v>0</v>
      </c>
      <c r="J28">
        <v>0</v>
      </c>
      <c r="K28">
        <v>0</v>
      </c>
      <c r="L28">
        <v>0</v>
      </c>
      <c r="M28">
        <v>0</v>
      </c>
      <c r="N28">
        <v>0</v>
      </c>
      <c r="O28">
        <v>0</v>
      </c>
      <c r="P28">
        <v>250</v>
      </c>
      <c r="Q28">
        <v>275</v>
      </c>
      <c r="R28">
        <v>300</v>
      </c>
      <c r="S28">
        <v>300</v>
      </c>
      <c r="T28">
        <v>300</v>
      </c>
    </row>
    <row r="29" spans="1:20" x14ac:dyDescent="0.25">
      <c r="D29" t="s">
        <v>261</v>
      </c>
      <c r="E29" s="141">
        <v>45809</v>
      </c>
      <c r="F29">
        <v>520</v>
      </c>
      <c r="H29" t="str">
        <v>Unit 500</v>
      </c>
      <c r="I29">
        <v>0</v>
      </c>
      <c r="J29">
        <v>100</v>
      </c>
      <c r="K29">
        <v>100</v>
      </c>
      <c r="L29">
        <v>100</v>
      </c>
      <c r="M29">
        <v>100</v>
      </c>
      <c r="N29">
        <v>125</v>
      </c>
      <c r="O29">
        <v>125</v>
      </c>
      <c r="P29">
        <v>125</v>
      </c>
      <c r="Q29">
        <v>125</v>
      </c>
      <c r="R29">
        <v>125</v>
      </c>
      <c r="S29">
        <v>150</v>
      </c>
      <c r="T29">
        <v>150</v>
      </c>
    </row>
    <row r="30" spans="1:20" x14ac:dyDescent="0.25">
      <c r="D30" t="s">
        <v>263</v>
      </c>
      <c r="E30" s="141">
        <v>45809</v>
      </c>
      <c r="F30">
        <v>125</v>
      </c>
    </row>
    <row r="31" spans="1:20" x14ac:dyDescent="0.25">
      <c r="D31" t="s">
        <v>259</v>
      </c>
      <c r="E31" s="141">
        <v>45875</v>
      </c>
      <c r="F31">
        <v>295</v>
      </c>
    </row>
    <row r="32" spans="1:20" x14ac:dyDescent="0.25">
      <c r="D32" t="s">
        <v>262</v>
      </c>
      <c r="E32" s="141">
        <v>45880</v>
      </c>
      <c r="F32">
        <v>250</v>
      </c>
      <c r="J32">
        <f>SIGN(0)</f>
        <v>0</v>
      </c>
    </row>
    <row r="33" spans="4:6" x14ac:dyDescent="0.25">
      <c r="D33" t="s">
        <v>262</v>
      </c>
      <c r="E33" s="141">
        <v>45911</v>
      </c>
      <c r="F33">
        <v>275</v>
      </c>
    </row>
    <row r="34" spans="4:6" x14ac:dyDescent="0.25">
      <c r="D34" t="s">
        <v>260</v>
      </c>
      <c r="E34" s="141">
        <v>45935</v>
      </c>
      <c r="F34">
        <v>325</v>
      </c>
    </row>
    <row r="35" spans="4:6" x14ac:dyDescent="0.25">
      <c r="D35" t="s">
        <v>261</v>
      </c>
      <c r="E35" s="141">
        <v>45953</v>
      </c>
      <c r="F35">
        <v>535</v>
      </c>
    </row>
    <row r="36" spans="4:6" x14ac:dyDescent="0.25">
      <c r="D36" t="s">
        <v>262</v>
      </c>
      <c r="E36" s="141">
        <v>45955</v>
      </c>
      <c r="F36">
        <v>300</v>
      </c>
    </row>
    <row r="37" spans="4:6" x14ac:dyDescent="0.25">
      <c r="D37" t="s">
        <v>263</v>
      </c>
      <c r="E37" s="141">
        <v>45966</v>
      </c>
      <c r="F37">
        <v>150</v>
      </c>
    </row>
    <row r="38" spans="4:6" x14ac:dyDescent="0.25">
      <c r="D38" t="s">
        <v>259</v>
      </c>
      <c r="E38" s="141">
        <v>46115</v>
      </c>
      <c r="F38">
        <v>300</v>
      </c>
    </row>
  </sheetData>
  <mergeCells count="4">
    <mergeCell ref="A1:P1"/>
    <mergeCell ref="A2:P2"/>
    <mergeCell ref="D22:F22"/>
    <mergeCell ref="D23:F23"/>
  </mergeCells>
  <conditionalFormatting sqref="I25:T29">
    <cfRule type="expression" dxfId="13" priority="1">
      <formula>MOD(ROW(),2)=0</formula>
    </cfRule>
  </conditionalFormatting>
  <dataValidations disablePrompts="1" count="1">
    <dataValidation type="list" allowBlank="1" showInputMessage="1" showErrorMessage="1" sqref="B26" xr:uid="{A277C7ED-A3B7-4A7E-AD95-DD6D7481455A}">
      <formula1>"Y,Q,M,W,D"</formula1>
    </dataValidation>
  </dataValidations>
  <hyperlinks>
    <hyperlink ref="A1" location="'TOC'!$A$1" display="'TOC'!$A$1" xr:uid="{BF56E448-6C37-493D-BF91-703838BA4A25}"/>
  </hyperlinks>
  <pageMargins left="0.7" right="0.7" top="0.75" bottom="0.75" header="0.3" footer="0.3"/>
  <customProperties>
    <customPr name="Description" r:id="rId1"/>
  </customProperties>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5E22-2C79-4747-AEE1-64688BA99DA0}">
  <sheetPr codeName="Sheet17">
    <tabColor rgb="FF1F4E79"/>
  </sheetPr>
  <dimension ref="A1:X41"/>
  <sheetViews>
    <sheetView showGridLines="0" workbookViewId="0">
      <selection activeCell="A1" sqref="A1"/>
    </sheetView>
  </sheetViews>
  <sheetFormatPr defaultRowHeight="15" x14ac:dyDescent="0.25"/>
  <cols>
    <col min="1" max="1" width="12.85546875" bestFit="1" customWidth="1"/>
    <col min="2" max="2" width="10" bestFit="1" customWidth="1"/>
    <col min="5" max="5" width="5.28515625" bestFit="1" customWidth="1"/>
    <col min="6" max="6" width="6.28515625" bestFit="1" customWidth="1"/>
    <col min="7" max="8" width="11.85546875" bestFit="1" customWidth="1"/>
    <col min="9" max="9" width="7.85546875" bestFit="1" customWidth="1"/>
    <col min="10" max="10" width="7.28515625" customWidth="1"/>
    <col min="11" max="11" width="21.85546875" bestFit="1" customWidth="1"/>
    <col min="12" max="12" width="15.5703125" bestFit="1" customWidth="1"/>
    <col min="13" max="24" width="12.42578125" customWidth="1"/>
    <col min="25" max="26" width="12.28515625" customWidth="1"/>
  </cols>
  <sheetData>
    <row r="1" spans="1:20" ht="45.75" x14ac:dyDescent="0.65">
      <c r="A1" s="270" t="str">
        <f>_xlfn.TEXTAFTER(CELL("filename",A1),"]")</f>
        <v>nabla.d.ScheduleValuesλ</v>
      </c>
      <c r="B1" s="270"/>
      <c r="C1" s="270"/>
      <c r="D1" s="270"/>
      <c r="E1" s="270"/>
      <c r="F1" s="270"/>
      <c r="G1" s="270"/>
      <c r="H1" s="270"/>
      <c r="I1" s="270"/>
      <c r="J1" s="270"/>
      <c r="K1" s="270"/>
      <c r="L1" s="270"/>
      <c r="M1" s="270"/>
      <c r="N1" s="270"/>
      <c r="O1" s="270"/>
      <c r="P1" s="270"/>
      <c r="Q1" s="270"/>
      <c r="R1" s="270"/>
      <c r="S1" s="270"/>
      <c r="T1" s="270"/>
    </row>
    <row r="2" spans="1:20" x14ac:dyDescent="0.25">
      <c r="A2" s="273" t="s">
        <v>203</v>
      </c>
      <c r="B2" s="287"/>
      <c r="C2" s="287"/>
      <c r="D2" s="287"/>
      <c r="E2" s="287"/>
      <c r="F2" s="287"/>
      <c r="G2" s="287"/>
      <c r="H2" s="287"/>
      <c r="I2" s="287"/>
      <c r="J2" s="287"/>
      <c r="K2" s="287"/>
      <c r="L2" s="287"/>
      <c r="M2" s="287"/>
      <c r="N2" s="287"/>
      <c r="O2" s="287"/>
      <c r="P2" s="288"/>
      <c r="Q2" s="104"/>
      <c r="R2" s="104"/>
      <c r="S2" s="104"/>
      <c r="T2" s="104"/>
    </row>
    <row r="4" spans="1:20" x14ac:dyDescent="0.25">
      <c r="A4" s="162" t="str" cm="1">
        <f t="array" ref="A4:B14">nabla.d.ScheduleValuesλ()</f>
        <v>FUNCTION:</v>
      </c>
      <c r="B4" t="str">
        <v>ScheduleValuesλ(PeriodStarts, PeriodEnds, Values, EffectiveDates)</v>
      </c>
    </row>
    <row r="5" spans="1:20" x14ac:dyDescent="0.25">
      <c r="A5" t="str">
        <v>DESCRIPTION:</v>
      </c>
      <c r="B5" t="str">
        <v>Place values from a table into a timeline's appropriate period.</v>
      </c>
    </row>
    <row r="6" spans="1:20" x14ac:dyDescent="0.25">
      <c r="A6" t="str">
        <v>WEBSITE:</v>
      </c>
      <c r="B6" t="str">
        <v>https://github.com/ryanduguid/Nabla</v>
      </c>
    </row>
    <row r="7" spans="1:20" x14ac:dyDescent="0.25">
      <c r="A7" t="str">
        <v>PARAMETERS:</v>
      </c>
      <c r="B7" t="str">
        <v/>
      </c>
    </row>
    <row r="8" spans="1:20" x14ac:dyDescent="0.25">
      <c r="A8" t="str">
        <v>PeriodStarts</v>
      </c>
      <c r="B8" t="str">
        <v>(Required) A column or row of period start dates (timeline).</v>
      </c>
    </row>
    <row r="9" spans="1:20" x14ac:dyDescent="0.25">
      <c r="A9" t="str">
        <v>PeriodEnds</v>
      </c>
      <c r="B9" t="str">
        <v>(Required) A column or row of period ends dates (timeline).</v>
      </c>
    </row>
    <row r="10" spans="1:20" x14ac:dyDescent="0.25">
      <c r="A10" t="str">
        <v>Values</v>
      </c>
      <c r="B10" t="str">
        <v>(Required) A column or row of values to be scheduled.</v>
      </c>
    </row>
    <row r="11" spans="1:20" x14ac:dyDescent="0.25">
      <c r="A11" t="str">
        <v>EffectiveDates</v>
      </c>
      <c r="B11" t="str">
        <v>(Required) A column or row of when a value is scheduled.</v>
      </c>
    </row>
    <row r="12" spans="1:20" x14ac:dyDescent="0.25">
      <c r="A12" t="str">
        <v>EXAMPLES:</v>
      </c>
      <c r="B12" t="str">
        <v/>
      </c>
    </row>
    <row r="13" spans="1:20" x14ac:dyDescent="0.25">
      <c r="A13" t="str">
        <v>Result</v>
      </c>
      <c r="B13" t="str">
        <v>Formula (nabla.d is assumed to be the module's name)</v>
      </c>
    </row>
    <row r="14" spans="1:20" x14ac:dyDescent="0.25">
      <c r="A14" t="str">
        <v/>
      </c>
      <c r="B14" t="str">
        <v>=nabla.d.ScheduleValuesλ(Timelineλ("1/1/2025"), Timelineλ("1/1/2025",,,FALSE), {1;3}, {"1/1/2025"; "15/2/2025"})</v>
      </c>
    </row>
    <row r="17" spans="1:24" ht="20.25" x14ac:dyDescent="0.3">
      <c r="A17" s="302" t="s">
        <v>272</v>
      </c>
      <c r="B17" s="302"/>
      <c r="C17" s="302"/>
      <c r="E17" s="299" t="s">
        <v>278</v>
      </c>
      <c r="F17" s="304"/>
      <c r="G17" s="304"/>
      <c r="H17" s="304"/>
      <c r="I17" s="305"/>
    </row>
    <row r="18" spans="1:24" x14ac:dyDescent="0.25">
      <c r="E18" s="301"/>
      <c r="F18" s="306"/>
      <c r="G18" s="306"/>
      <c r="H18" s="306"/>
      <c r="I18" s="306"/>
      <c r="L18" s="166" t="s">
        <v>279</v>
      </c>
      <c r="M18" s="165" cm="1">
        <f t="array" ref="M18:X18">nabla.d.Timelineλ(B20,B21,B22, FALSE)</f>
        <v>45322</v>
      </c>
      <c r="N18" s="165">
        <v>46081</v>
      </c>
      <c r="O18" s="165">
        <v>46112</v>
      </c>
      <c r="P18" s="165">
        <v>46142</v>
      </c>
      <c r="Q18" s="165">
        <v>46173</v>
      </c>
      <c r="R18" s="165">
        <v>46203</v>
      </c>
      <c r="S18" s="165">
        <v>46234</v>
      </c>
      <c r="T18" s="165">
        <v>46265</v>
      </c>
      <c r="U18" s="165">
        <v>46295</v>
      </c>
      <c r="V18" s="165">
        <v>46326</v>
      </c>
      <c r="W18" s="165">
        <v>46356</v>
      </c>
      <c r="X18" s="165">
        <v>46387</v>
      </c>
    </row>
    <row r="19" spans="1:24" x14ac:dyDescent="0.25">
      <c r="A19" s="161" t="s">
        <v>273</v>
      </c>
      <c r="B19" s="161" t="s">
        <v>138</v>
      </c>
      <c r="C19" s="161" t="s">
        <v>139</v>
      </c>
      <c r="E19" s="114" t="s">
        <v>280</v>
      </c>
      <c r="F19" t="s">
        <v>264</v>
      </c>
      <c r="G19" t="s">
        <v>269</v>
      </c>
      <c r="H19" t="s">
        <v>274</v>
      </c>
      <c r="I19" t="s">
        <v>249</v>
      </c>
      <c r="L19" s="149" t="s">
        <v>276</v>
      </c>
      <c r="M19" s="156" cm="1">
        <f t="array" ref="M19:X19">nabla.d.Timelineλ(B20,B21,B22)</f>
        <v>45292</v>
      </c>
      <c r="N19" s="1">
        <v>46054</v>
      </c>
      <c r="O19" s="1">
        <v>46082</v>
      </c>
      <c r="P19" s="1">
        <v>46113</v>
      </c>
      <c r="Q19" s="1">
        <v>46143</v>
      </c>
      <c r="R19" s="1">
        <v>46174</v>
      </c>
      <c r="S19" s="1">
        <v>46204</v>
      </c>
      <c r="T19" s="1">
        <v>46235</v>
      </c>
      <c r="U19" s="1">
        <v>46266</v>
      </c>
      <c r="V19" s="1">
        <v>46296</v>
      </c>
      <c r="W19" s="1">
        <v>46327</v>
      </c>
      <c r="X19" s="1">
        <v>46357</v>
      </c>
    </row>
    <row r="20" spans="1:24" x14ac:dyDescent="0.25">
      <c r="A20" t="s">
        <v>236</v>
      </c>
      <c r="B20" s="141">
        <v>46023</v>
      </c>
      <c r="C20" t="s">
        <v>145</v>
      </c>
      <c r="E20" cm="1">
        <f t="array" ref="E20">100 + ROW() - ROW(tblCO[#Headers])</f>
        <v>101</v>
      </c>
      <c r="F20" t="inlineStr">
        <is>
          <t>ACME</t>
        </is>
      </c>
      <c r="G20" s="141">
        <v>46026</v>
      </c>
      <c r="H20" s="141">
        <f>tblCO[[#This Row],[Issued]]+_xlfn.XLOOKUP(tblCO[[#This Row],[Customer]],tblCT[Customer], tblCT[Terms])</f>
        <v>45339</v>
      </c>
      <c r="I20">
        <v>1000</v>
      </c>
      <c r="K20" s="2" t="s">
        <v>275</v>
      </c>
      <c r="L20">
        <f>SUM(_xlfn.ANCHORARRAY(M20))</f>
        <v>53360</v>
      </c>
      <c r="M20" s="162" cm="1">
        <f t="array" ref="M20:X20">nabla.d.ScheduleValuesλ(_xlfn.ANCHORARRAY( $M$19),_xlfn.ANCHORARRAY( $M$18), tblCO[Amount], tblCO[Issued])</f>
        <v>53360</v>
      </c>
      <c r="N20">
        <f/>
        <v>0</v>
      </c>
      <c r="O20">
        <f/>
        <v>0</v>
      </c>
      <c r="P20">
        <f/>
        <v>0</v>
      </c>
      <c r="Q20">
        <f/>
        <v>0</v>
      </c>
      <c r="R20">
        <f/>
        <v>0</v>
      </c>
      <c r="S20">
        <f/>
        <v>0</v>
      </c>
      <c r="T20">
        <f/>
        <v>0</v>
      </c>
      <c r="U20">
        <f/>
        <v>0</v>
      </c>
      <c r="V20">
        <f/>
        <v>0</v>
      </c>
      <c r="W20">
        <f/>
        <v>0</v>
      </c>
      <c r="X20">
        <f/>
        <v>0</v>
      </c>
    </row>
    <row r="21" spans="1:24" x14ac:dyDescent="0.25">
      <c r="A21" t="s">
        <v>141</v>
      </c>
      <c r="B21">
        <v>12</v>
      </c>
      <c r="C21" t="s">
        <v>146</v>
      </c>
      <c r="E21" cm="1">
        <f t="array" ref="E21">100 + ROW() - ROW(tblCO[#Headers])</f>
        <v>102</v>
      </c>
      <c r="F21" t="inlineStr">
        <is>
          <t>Wool*Art</t>
        </is>
      </c>
      <c r="G21" s="141">
        <v>46033</v>
      </c>
      <c r="H21" s="141">
        <f>tblCO[[#This Row],[Issued]]+_xlfn.XLOOKUP(tblCO[[#This Row],[Customer]],tblCT[Customer], tblCT[Terms])</f>
        <v>45355</v>
      </c>
      <c r="I21">
        <v>1197</v>
      </c>
      <c r="K21" s="2" t="s">
        <v>277</v>
      </c>
      <c r="L21">
        <f>SUM(_xlfn.ANCHORARRAY(M21))</f>
        <v>53360</v>
      </c>
      <c r="M21" s="162" cm="1">
        <f t="array" ref="M21:X21">nabla.d.ScheduleValuesλ(_xlfn.ANCHORARRAY( $M$19),_xlfn.ANCHORARRAY( $M$18), tblCO[Amount], tblCO[Exp. Receipt])</f>
        <v>4354</v>
      </c>
      <c r="N21">
        <f/>
        <v>29624</v>
      </c>
      <c r="O21">
        <f/>
        <v>9256</v>
      </c>
      <c r="P21">
        <f/>
        <v>0</v>
      </c>
      <c r="Q21">
        <f/>
        <v>10126</v>
      </c>
      <c r="R21">
        <f/>
        <v>0</v>
      </c>
      <c r="S21">
        <f/>
        <v>0</v>
      </c>
      <c r="T21">
        <f/>
        <v>0</v>
      </c>
      <c r="U21">
        <f/>
        <v>0</v>
      </c>
      <c r="V21">
        <f/>
        <v>0</v>
      </c>
      <c r="W21">
        <f/>
        <v>0</v>
      </c>
      <c r="X21">
        <f/>
        <v>0</v>
      </c>
    </row>
    <row r="22" spans="1:24" x14ac:dyDescent="0.25">
      <c r="A22" t="s">
        <v>142</v>
      </c>
      <c r="B22" t="s">
        <v>144</v>
      </c>
      <c r="E22" cm="1">
        <f t="array" ref="E22">100 + ROW() - ROW(tblCO[#Headers])</f>
        <v>103</v>
      </c>
      <c r="F22" t="inlineStr">
        <is>
          <t>Town Hall</t>
        </is>
      </c>
      <c r="G22" s="141">
        <v>46040</v>
      </c>
      <c r="H22" s="141">
        <f>tblCO[[#This Row],[Issued]]+_xlfn.XLOOKUP(tblCO[[#This Row],[Customer]],tblCT[Customer], tblCT[Terms])</f>
        <v>45342</v>
      </c>
      <c r="I22">
        <v>1394</v>
      </c>
      <c r="K22" s="2" t="s">
        <v>282</v>
      </c>
      <c r="L22">
        <f>SUM(_xlfn.ANCHORARRAY(M22))</f>
        <v>0</v>
      </c>
      <c r="M22" s="167" cm="1">
        <f t="array" ref="M22:X22">_xlfn.ANCHORARRAY(M20)-_xlfn.ANCHORARRAY(M21)</f>
        <v>49006</v>
      </c>
      <c r="N22" s="167">
        <f/>
        <v>-29624</v>
      </c>
      <c r="O22" s="167">
        <f/>
        <v>-9256</v>
      </c>
      <c r="P22" s="167">
        <f/>
        <v>0</v>
      </c>
      <c r="Q22" s="167">
        <f/>
        <v>-10126</v>
      </c>
      <c r="R22" s="167">
        <f/>
        <v>0</v>
      </c>
      <c r="S22" s="167">
        <f/>
        <v>0</v>
      </c>
      <c r="T22" s="167">
        <f/>
        <v>0</v>
      </c>
      <c r="U22" s="167">
        <f/>
        <v>0</v>
      </c>
      <c r="V22" s="167">
        <f/>
        <v>0</v>
      </c>
      <c r="W22" s="167">
        <f/>
        <v>0</v>
      </c>
      <c r="X22" s="167">
        <f/>
        <v>0</v>
      </c>
    </row>
    <row r="23" spans="1:24" x14ac:dyDescent="0.25">
      <c r="E23" cm="1">
        <f t="array" ref="E23">100 + ROW() - ROW(tblCO[#Headers])</f>
        <v>104</v>
      </c>
      <c r="F23" t="inlineStr">
        <is>
          <t>Jacqie Penee</t>
        </is>
      </c>
      <c r="G23" s="141">
        <v>46047</v>
      </c>
      <c r="H23" s="141">
        <f>tblCO[[#This Row],[Issued]]+_xlfn.XLOOKUP(tblCO[[#This Row],[Customer]],tblCT[Customer], tblCT[Terms])</f>
        <v>45323</v>
      </c>
      <c r="I23">
        <v>1591</v>
      </c>
      <c r="K23" s="2"/>
    </row>
    <row r="24" spans="1:24" x14ac:dyDescent="0.25">
      <c r="E24" cm="1">
        <f t="array" ref="E24">100 + ROW() - ROW(tblCO[#Headers])</f>
        <v>105</v>
      </c>
      <c r="F24" t="inlineStr">
        <is>
          <t>Amazonia</t>
        </is>
      </c>
      <c r="G24" s="141">
        <v>46054</v>
      </c>
      <c r="H24" s="141">
        <f>tblCO[[#This Row],[Issued]]+_xlfn.XLOOKUP(tblCO[[#This Row],[Customer]],tblCT[Customer], tblCT[Terms])</f>
        <v>45341</v>
      </c>
      <c r="I24">
        <v>1788</v>
      </c>
      <c r="K24" s="2" t="s">
        <v>281</v>
      </c>
      <c r="M24" cm="1">
        <f t="array" ref="M24:X24">nabla.f.Cumulativeλ(_xlfn.ANCHORARRAY(M22))</f>
        <v>49006</v>
      </c>
      <c r="N24">
        <f/>
        <v>19382</v>
      </c>
      <c r="O24">
        <f/>
        <v>10126</v>
      </c>
      <c r="P24">
        <f/>
        <v>10126</v>
      </c>
      <c r="Q24">
        <f/>
        <v>0</v>
      </c>
      <c r="R24">
        <f/>
        <v>0</v>
      </c>
      <c r="S24">
        <f/>
        <v>0</v>
      </c>
      <c r="T24">
        <f/>
        <v>0</v>
      </c>
      <c r="U24">
        <f/>
        <v>0</v>
      </c>
      <c r="V24">
        <f/>
        <v>0</v>
      </c>
      <c r="W24">
        <f/>
        <v>0</v>
      </c>
      <c r="X24">
        <f/>
        <v>0</v>
      </c>
    </row>
    <row r="25" spans="1:24" ht="20.25" x14ac:dyDescent="0.3">
      <c r="A25" s="299" t="s">
        <v>270</v>
      </c>
      <c r="B25" s="303"/>
      <c r="C25" s="303"/>
      <c r="E25" cm="1">
        <f t="array" ref="E25">100 + ROW() - ROW(tblCO[#Headers])</f>
        <v>106</v>
      </c>
      <c r="F25" t="inlineStr">
        <is>
          <t>ACME</t>
        </is>
      </c>
      <c r="G25" s="141">
        <v>46061</v>
      </c>
      <c r="H25" s="141">
        <f>tblCO[[#This Row],[Issued]]+_xlfn.XLOOKUP(tblCO[[#This Row],[Customer]],tblCT[Customer], tblCT[Terms])</f>
        <v>45337</v>
      </c>
      <c r="I25">
        <v>1985</v>
      </c>
    </row>
    <row r="26" spans="1:24" x14ac:dyDescent="0.25">
      <c r="A26" s="301"/>
      <c r="B26" s="300"/>
      <c r="C26" s="300"/>
      <c r="E26" cm="1">
        <f t="array" ref="E26">100 + ROW() - ROW(tblCO[#Headers])</f>
        <v>107</v>
      </c>
      <c r="F26" t="inlineStr">
        <is>
          <t>Wool*Art</t>
        </is>
      </c>
      <c r="G26" s="141">
        <v>46068</v>
      </c>
      <c r="H26" s="141">
        <f>tblCO[[#This Row],[Issued]]+_xlfn.XLOOKUP(tblCO[[#This Row],[Customer]],tblCT[Customer], tblCT[Terms])</f>
        <v>45415</v>
      </c>
      <c r="I26">
        <v>2182</v>
      </c>
    </row>
    <row r="27" spans="1:24" x14ac:dyDescent="0.25">
      <c r="A27" s="114" t="s">
        <v>271</v>
      </c>
      <c r="B27" t="s">
        <v>264</v>
      </c>
      <c r="C27" s="114" t="s">
        <v>265</v>
      </c>
      <c r="E27" cm="1">
        <f t="array" ref="E27">100 + ROW() - ROW(tblCO[#Headers])</f>
        <v>108</v>
      </c>
      <c r="F27" t="inlineStr">
        <is>
          <t>Town Hall</t>
        </is>
      </c>
      <c r="G27" s="141">
        <v>46075</v>
      </c>
      <c r="H27" s="141">
        <f>tblCO[[#This Row],[Issued]]+_xlfn.XLOOKUP(tblCO[[#This Row],[Customer]],tblCT[Customer], tblCT[Terms])</f>
        <v>45311</v>
      </c>
      <c r="I27">
        <v>2379</v>
      </c>
      <c r="M27" cm="1">
        <f t="array" ref="M27:X30">nabla.f.Corkscrewλ(0,-_xlfn.ANCHORARRAY(M20),_xlfn.ANCHORARRAY(M21))</f>
        <v>0</v>
      </c>
      <c r="N27">
        <f/>
        <v>-49006</v>
      </c>
      <c r="O27">
        <f/>
        <v>-19382</v>
      </c>
      <c r="P27">
        <f/>
        <v>-10126</v>
      </c>
      <c r="Q27">
        <f/>
        <v>-10126</v>
      </c>
      <c r="R27">
        <f/>
        <v>0</v>
      </c>
      <c r="S27">
        <f/>
        <v>0</v>
      </c>
      <c r="T27">
        <f/>
        <v>0</v>
      </c>
      <c r="U27">
        <f/>
        <v>0</v>
      </c>
      <c r="V27">
        <f/>
        <v>0</v>
      </c>
      <c r="W27">
        <f/>
        <v>0</v>
      </c>
      <c r="X27">
        <f/>
        <v>0</v>
      </c>
    </row>
    <row r="28" spans="1:24" x14ac:dyDescent="0.25">
      <c r="A28" cm="1">
        <f t="array" ref="A28">ROW()-ROW(tblCT[#Headers])</f>
        <v>1</v>
      </c>
      <c r="B28" t="s">
        <v>266</v>
      </c>
      <c r="C28">
        <v>30</v>
      </c>
      <c r="E28" cm="1">
        <f t="array" ref="E28">100 + ROW() - ROW(tblCO[#Headers])</f>
        <v>109</v>
      </c>
      <c r="F28" t="inlineStr">
        <is>
          <t>Jacqie Penee</t>
        </is>
      </c>
      <c r="G28" s="141">
        <v>46082</v>
      </c>
      <c r="H28" s="141">
        <f>tblCO[[#This Row],[Issued]]+_xlfn.XLOOKUP(tblCO[[#This Row],[Customer]],tblCT[Customer], tblCT[Terms])</f>
        <v>45342</v>
      </c>
      <c r="I28">
        <v>2576</v>
      </c>
      <c r="M28">
        <f/>
        <v>-53360</v>
      </c>
      <c r="N28">
        <f/>
        <v>0</v>
      </c>
      <c r="O28">
        <f/>
        <v>0</v>
      </c>
      <c r="P28">
        <f/>
        <v>0</v>
      </c>
      <c r="Q28">
        <f/>
        <v>0</v>
      </c>
      <c r="R28">
        <f/>
        <v>0</v>
      </c>
      <c r="S28">
        <f/>
        <v>0</v>
      </c>
      <c r="T28">
        <f/>
        <v>0</v>
      </c>
      <c r="U28">
        <f/>
        <v>0</v>
      </c>
      <c r="V28">
        <f/>
        <v>0</v>
      </c>
      <c r="W28">
        <f/>
        <v>0</v>
      </c>
      <c r="X28">
        <f/>
        <v>0</v>
      </c>
    </row>
    <row r="29" spans="1:24" x14ac:dyDescent="0.25">
      <c r="A29" cm="1">
        <f t="array" ref="A29">ROW()-ROW(tblCT[#Headers])</f>
        <v>2</v>
      </c>
      <c r="B29" t="s">
        <v>267</v>
      </c>
      <c r="C29">
        <v>120</v>
      </c>
      <c r="E29" cm="1">
        <f t="array" ref="E29">100 + ROW() - ROW(tblCO[#Headers])</f>
        <v>110</v>
      </c>
      <c r="F29" t="inlineStr">
        <is>
          <t>Amazonia</t>
        </is>
      </c>
      <c r="G29" s="141">
        <v>46089</v>
      </c>
      <c r="H29" s="141">
        <f>tblCO[[#This Row],[Issued]]+_xlfn.XLOOKUP(tblCO[[#This Row],[Customer]],tblCT[Customer], tblCT[Terms])</f>
        <v>45341</v>
      </c>
      <c r="I29">
        <v>2773</v>
      </c>
      <c r="M29">
        <f/>
        <v>4354</v>
      </c>
      <c r="N29">
        <f/>
        <v>29624</v>
      </c>
      <c r="O29">
        <f/>
        <v>9256</v>
      </c>
      <c r="P29">
        <f/>
        <v>0</v>
      </c>
      <c r="Q29">
        <f/>
        <v>10126</v>
      </c>
      <c r="R29">
        <f/>
        <v>0</v>
      </c>
      <c r="S29">
        <f/>
        <v>0</v>
      </c>
      <c r="T29">
        <f/>
        <v>0</v>
      </c>
      <c r="U29">
        <f/>
        <v>0</v>
      </c>
      <c r="V29">
        <f/>
        <v>0</v>
      </c>
      <c r="W29">
        <f/>
        <v>0</v>
      </c>
      <c r="X29">
        <f/>
        <v>0</v>
      </c>
    </row>
    <row r="30" spans="1:24" x14ac:dyDescent="0.25">
      <c r="A30" cm="1">
        <f t="array" ref="A30">ROW()-ROW(tblCT[#Headers])</f>
        <v>3</v>
      </c>
      <c r="B30" t="s">
        <v>268</v>
      </c>
      <c r="C30">
        <v>45</v>
      </c>
      <c r="E30" cm="1">
        <f t="array" ref="E30">100 + ROW() - ROW(tblCO[#Headers])</f>
        <v>111</v>
      </c>
      <c r="F30" t="inlineStr">
        <is>
          <t>ACME</t>
        </is>
      </c>
      <c r="G30" s="141">
        <v>46096</v>
      </c>
      <c r="H30" s="141">
        <f>tblCO[[#This Row],[Issued]]+_xlfn.XLOOKUP(tblCO[[#This Row],[Customer]],tblCT[Customer], tblCT[Terms])</f>
        <v>45414</v>
      </c>
      <c r="I30">
        <v>2970</v>
      </c>
      <c r="M30">
        <f/>
        <v>-49006</v>
      </c>
      <c r="N30">
        <f/>
        <v>-19382</v>
      </c>
      <c r="O30">
        <f/>
        <v>-10126</v>
      </c>
      <c r="P30">
        <f/>
        <v>-10126</v>
      </c>
      <c r="Q30">
        <f/>
        <v>0</v>
      </c>
      <c r="R30">
        <f/>
        <v>0</v>
      </c>
      <c r="S30">
        <f/>
        <v>0</v>
      </c>
      <c r="T30">
        <f/>
        <v>0</v>
      </c>
      <c r="U30">
        <f/>
        <v>0</v>
      </c>
      <c r="V30">
        <f/>
        <v>0</v>
      </c>
      <c r="W30">
        <f/>
        <v>0</v>
      </c>
      <c r="X30">
        <f/>
        <v>0</v>
      </c>
    </row>
    <row r="31" spans="1:24" x14ac:dyDescent="0.25">
      <c r="A31" cm="1">
        <f t="array" ref="A31">ROW()-ROW(tblCT[#Headers])</f>
        <v>4</v>
      </c>
      <c r="B31" t="s">
        <v>318</v>
      </c>
      <c r="C31">
        <v>60</v>
      </c>
      <c r="E31" cm="1">
        <f t="array" ref="E31">100 + ROW() - ROW(tblCO[#Headers])</f>
        <v>112</v>
      </c>
      <c r="F31" t="inlineStr">
        <is>
          <t>Wool*Art</t>
        </is>
      </c>
      <c r="G31" s="141">
        <v>46103</v>
      </c>
      <c r="H31" s="141">
        <f>tblCO[[#This Row],[Issued]]+_xlfn.XLOOKUP(tblCO[[#This Row],[Customer]],tblCT[Customer], tblCT[Terms])</f>
        <v>45340</v>
      </c>
      <c r="I31">
        <v>3167</v>
      </c>
    </row>
    <row r="32" spans="1:24" x14ac:dyDescent="0.25">
      <c r="A32" cm="1">
        <f t="array" ref="A32">ROW()-ROW(tblCT[#Headers])</f>
        <v>5</v>
      </c>
      <c r="B32" t="s">
        <v>319</v>
      </c>
      <c r="C32">
        <v>15</v>
      </c>
      <c r="E32" cm="1">
        <f t="array" ref="E32">100 + ROW() - ROW(tblCO[#Headers])</f>
        <v>113</v>
      </c>
      <c r="F32" t="inlineStr">
        <is>
          <t>Town Hall</t>
        </is>
      </c>
      <c r="G32" s="141">
        <v>46110</v>
      </c>
      <c r="H32" s="141">
        <f>tblCO[[#This Row],[Issued]]+_xlfn.XLOOKUP(tblCO[[#This Row],[Customer]],tblCT[Customer], tblCT[Terms])</f>
        <v>45324</v>
      </c>
      <c r="I32">
        <v>3364</v>
      </c>
    </row>
    <row r="33" spans="5:9" x14ac:dyDescent="0.25">
      <c r="E33" cm="1">
        <f t="array" ref="E33">100 + ROW() - ROW(tblCO[#Headers])</f>
        <v>114</v>
      </c>
      <c r="F33" t="inlineStr">
        <is>
          <t>Jacqie Penee</t>
        </is>
      </c>
      <c r="G33" s="141">
        <v>46117</v>
      </c>
      <c r="H33" s="141">
        <f>tblCO[[#This Row],[Issued]]+_xlfn.XLOOKUP(tblCO[[#This Row],[Customer]],tblCT[Customer], tblCT[Terms])</f>
        <v>45352</v>
      </c>
      <c r="I33">
        <v>3561</v>
      </c>
    </row>
    <row r="34" spans="5:9" x14ac:dyDescent="0.25">
      <c r="E34" cm="1">
        <f t="array" ref="E34">100 + ROW() - ROW(tblCO[#Headers])</f>
        <v>115</v>
      </c>
      <c r="F34" t="inlineStr">
        <is>
          <t>Amazonia</t>
        </is>
      </c>
      <c r="G34" s="141">
        <v>46124</v>
      </c>
      <c r="H34" s="141">
        <f>tblCO[[#This Row],[Issued]]+_xlfn.XLOOKUP(tblCO[[#This Row],[Customer]],tblCT[Customer], tblCT[Terms])</f>
        <v>45309</v>
      </c>
      <c r="I34">
        <v>3758</v>
      </c>
    </row>
    <row r="35" spans="5:9" x14ac:dyDescent="0.25">
      <c r="E35" cm="1">
        <f t="array" ref="E35">100 + ROW() - ROW(tblCO[#Headers])</f>
        <v>116</v>
      </c>
      <c r="F35" t="inlineStr">
        <is>
          <t>ACME</t>
        </is>
      </c>
      <c r="G35" s="141">
        <v>46131</v>
      </c>
      <c r="H35" s="141">
        <f>tblCO[[#This Row],[Issued]]+_xlfn.XLOOKUP(tblCO[[#This Row],[Customer]],tblCT[Customer], tblCT[Terms])</f>
        <v>45353</v>
      </c>
      <c r="I35">
        <v>3955</v>
      </c>
    </row>
    <row r="36" spans="5:9" x14ac:dyDescent="0.25">
      <c r="E36" cm="1">
        <f t="array" ref="E36">100 + ROW() - ROW(tblCO[#Headers])</f>
        <v>117</v>
      </c>
      <c r="F36" t="inlineStr">
        <is>
          <t>Wool*Art</t>
        </is>
      </c>
      <c r="G36" s="141">
        <v>46138</v>
      </c>
      <c r="H36" s="141">
        <f>tblCO[[#This Row],[Issued]]+_xlfn.XLOOKUP(tblCO[[#This Row],[Customer]],tblCT[Customer], tblCT[Terms])</f>
        <v>45342</v>
      </c>
      <c r="I36">
        <v>4152</v>
      </c>
    </row>
    <row r="37" spans="5:9" x14ac:dyDescent="0.25">
      <c r="E37" cm="1">
        <f t="array" ref="E37">100 + ROW() - ROW(tblCO[#Headers])</f>
        <v>118</v>
      </c>
      <c r="F37" t="inlineStr">
        <is>
          <t>Town Hall</t>
        </is>
      </c>
      <c r="G37" s="141">
        <v>46145</v>
      </c>
      <c r="H37" s="141">
        <f>tblCO[[#This Row],[Issued]]+_xlfn.XLOOKUP(tblCO[[#This Row],[Customer]],tblCT[Customer], tblCT[Terms])</f>
        <v>45327</v>
      </c>
      <c r="I37">
        <v>4349</v>
      </c>
    </row>
    <row r="38" spans="5:9" x14ac:dyDescent="0.25">
      <c r="E38" cm="1">
        <f t="array" ref="E38">100 + ROW() - ROW(tblCO[#Headers])</f>
        <v>119</v>
      </c>
      <c r="F38" t="inlineStr">
        <is>
          <t>Jacqie Penee</t>
        </is>
      </c>
      <c r="G38" s="141">
        <v>46152</v>
      </c>
      <c r="H38" s="141">
        <f>tblCO[[#This Row],[Issued]]+_xlfn.XLOOKUP(tblCO[[#This Row],[Customer]],tblCT[Customer], tblCT[Terms])</f>
        <v>45356</v>
      </c>
      <c r="I38">
        <v>4546</v>
      </c>
    </row>
    <row r="39" spans="5:9" x14ac:dyDescent="0.25">
      <c r="E39" cm="1">
        <f t="array" ref="E39">100 + ROW() - ROW(tblCO[#Headers])</f>
        <v>120</v>
      </c>
      <c r="F39" t="inlineStr">
        <is>
          <t>Amazonia</t>
        </is>
      </c>
      <c r="G39" s="141">
        <v>46159</v>
      </c>
      <c r="H39" s="141">
        <f>tblCO[[#This Row],[Issued]]+_xlfn.XLOOKUP(tblCO[[#This Row],[Customer]],tblCT[Customer], tblCT[Terms])</f>
        <v>45341</v>
      </c>
      <c r="I39">
        <v>4743</v>
      </c>
    </row>
    <row r="40" spans="5:9" x14ac:dyDescent="0.25">
      <c r="E40" cm="1">
        <f t="array" ref="E40">100 + ROW() - ROW(tblCO[#Headers])</f>
        <v>121</v>
      </c>
      <c r="F40" t="inlineStr">
        <is>
          <t>ACME</t>
        </is>
      </c>
      <c r="G40" s="141">
        <v>46166</v>
      </c>
      <c r="H40" s="141">
        <f>tblCO[[#This Row],[Issued]]+_xlfn.XLOOKUP(tblCO[[#This Row],[Customer]],tblCT[Customer], tblCT[Terms])</f>
        <v>45414</v>
      </c>
      <c r="I40">
        <v>4940</v>
      </c>
    </row>
    <row r="41" spans="5:9" x14ac:dyDescent="0.25">
      <c r="E41" s="168" t="s">
        <v>63</v>
      </c>
      <c r="F41" s="168"/>
      <c r="G41" s="169"/>
      <c r="H41" s="169"/>
      <c r="I41">
        <f>SUBTOTAL(109,tblCO[Amount])</f>
        <v>53360</v>
      </c>
    </row>
  </sheetData>
  <mergeCells count="7">
    <mergeCell ref="A26:C26"/>
    <mergeCell ref="A1:T1"/>
    <mergeCell ref="A17:C17"/>
    <mergeCell ref="A25:C25"/>
    <mergeCell ref="E17:I17"/>
    <mergeCell ref="A2:P2"/>
    <mergeCell ref="E18:I18"/>
  </mergeCells>
  <hyperlinks>
    <hyperlink ref="A1" location="'TOC'!$A$1" display="'TOC'!$A$1" xr:uid="{4ACD713B-C6C5-4CF8-85F2-F336C5C359E6}"/>
  </hyperlinks>
  <pageMargins left="0.7" right="0.7" top="0.75" bottom="0.75" header="0.3" footer="0.3"/>
  <customProperties>
    <customPr name="Description" r:id="rId1"/>
  </customProperties>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D198-4E85-47C9-A307-EEEC783195C2}">
  <sheetPr codeName="Sheet18">
    <tabColor rgb="FF1F4E79"/>
  </sheetPr>
  <dimension ref="A1:X46"/>
  <sheetViews>
    <sheetView showGridLines="0" workbookViewId="0">
      <selection activeCell="A1" sqref="A1"/>
    </sheetView>
  </sheetViews>
  <sheetFormatPr defaultRowHeight="15" x14ac:dyDescent="0.25"/>
  <cols>
    <col min="1" max="1" width="12.7109375" bestFit="1" customWidth="1"/>
    <col min="2" max="2" width="12.140625" customWidth="1"/>
    <col min="5" max="5" width="6" bestFit="1" customWidth="1"/>
    <col min="6" max="6" width="11.42578125" bestFit="1" customWidth="1"/>
    <col min="7" max="8" width="11.85546875" bestFit="1" customWidth="1"/>
    <col min="9" max="9" width="7.85546875" bestFit="1" customWidth="1"/>
    <col min="12" max="12" width="15.5703125" bestFit="1" customWidth="1"/>
    <col min="13" max="13" width="11.140625" bestFit="1" customWidth="1"/>
    <col min="14" max="14" width="11.28515625" bestFit="1" customWidth="1"/>
    <col min="15" max="15" width="11.7109375" bestFit="1" customWidth="1"/>
    <col min="16" max="16" width="11.28515625" bestFit="1" customWidth="1"/>
    <col min="17" max="17" width="12.140625" bestFit="1" customWidth="1"/>
    <col min="18" max="18" width="11.28515625" bestFit="1" customWidth="1"/>
    <col min="19" max="19" width="10.5703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7" ht="45.75" x14ac:dyDescent="0.65">
      <c r="A1" s="270" t="str">
        <f>_xlfn.TEXTAFTER(CELL("filename",A1),"]")</f>
        <v>nabla.d.ScheduleValuesByItemsλ</v>
      </c>
      <c r="B1" s="270"/>
      <c r="C1" s="270"/>
      <c r="D1" s="270"/>
      <c r="E1" s="270"/>
      <c r="F1" s="270"/>
      <c r="G1" s="270"/>
      <c r="H1" s="270"/>
      <c r="I1" s="270"/>
      <c r="J1" s="270"/>
      <c r="K1" s="270"/>
      <c r="L1" s="270"/>
      <c r="M1" s="270"/>
      <c r="N1" s="270"/>
      <c r="O1" s="270"/>
      <c r="P1" s="270"/>
      <c r="Q1" s="270"/>
    </row>
    <row r="2" spans="1:17" x14ac:dyDescent="0.25">
      <c r="A2" s="273" t="s">
        <v>204</v>
      </c>
      <c r="B2" s="287"/>
      <c r="C2" s="287"/>
      <c r="D2" s="287"/>
      <c r="E2" s="287"/>
      <c r="F2" s="287"/>
      <c r="G2" s="287"/>
      <c r="H2" s="287"/>
      <c r="I2" s="287"/>
      <c r="J2" s="287"/>
      <c r="K2" s="287"/>
      <c r="L2" s="287"/>
      <c r="M2" s="287"/>
      <c r="N2" s="287"/>
      <c r="O2" s="287"/>
      <c r="P2" s="287"/>
      <c r="Q2" s="288"/>
    </row>
    <row r="3" spans="1:17" x14ac:dyDescent="0.25">
      <c r="A3" s="239"/>
      <c r="B3" s="240"/>
      <c r="C3" s="240"/>
      <c r="D3" s="240"/>
      <c r="E3" s="240"/>
      <c r="F3" s="240"/>
      <c r="G3" s="240"/>
      <c r="H3" s="240"/>
      <c r="I3" s="240"/>
      <c r="J3" s="240"/>
      <c r="K3" s="240"/>
      <c r="L3" s="240"/>
      <c r="M3" s="240"/>
      <c r="N3" s="240"/>
      <c r="O3" s="240"/>
      <c r="P3" s="240"/>
      <c r="Q3" s="240"/>
    </row>
    <row r="4" spans="1:17" x14ac:dyDescent="0.25">
      <c r="A4" s="162" t="str" cm="1">
        <f t="array" ref="A4:B19">nabla.d.ScheduleValuesByItemsλ()</f>
        <v>FUNCTION:</v>
      </c>
      <c r="B4" t="str">
        <v>ScheduleValuesByItemsλ(PeriodStarts, PeriodEnds, ItemFilter, ItemList, EffectiveList, ValueList)</v>
      </c>
    </row>
    <row r="5" spans="1:17" x14ac:dyDescent="0.25">
      <c r="A5" t="str">
        <v>DESCRIPTION:</v>
      </c>
      <c r="B5" t="str">
        <v>Schedule and sum values in a timeline for each item.</v>
      </c>
    </row>
    <row r="6" spans="1:17" x14ac:dyDescent="0.25">
      <c r="A6" t="str">
        <v>WEBPAGE:</v>
      </c>
      <c r="B6" t="str">
        <v>https://github.com/ryanduguid/Nabla</v>
      </c>
    </row>
    <row r="7" spans="1:17" x14ac:dyDescent="0.25">
      <c r="A7" t="str">
        <v>PARAMETERS:</v>
      </c>
      <c r="B7" t="str">
        <v/>
      </c>
    </row>
    <row r="8" spans="1:17" x14ac:dyDescent="0.25">
      <c r="A8" t="str">
        <v>PeriodStarts</v>
      </c>
      <c r="B8" t="str">
        <v>(Required) A row of period start dates (timeline).</v>
      </c>
    </row>
    <row r="9" spans="1:17" x14ac:dyDescent="0.25">
      <c r="A9" t="str">
        <v>PeriodEnds</v>
      </c>
      <c r="B9" t="str">
        <v>(Required) A row of period end dates (timeline).</v>
      </c>
    </row>
    <row r="10" spans="1:17" x14ac:dyDescent="0.25">
      <c r="A10" t="str">
        <v>ItemFilter</v>
      </c>
      <c r="B10" t="str">
        <v>(Required) A column of 1 or more items to filter a value schedule by.</v>
      </c>
    </row>
    <row r="11" spans="1:17" x14ac:dyDescent="0.25">
      <c r="A11" t="str">
        <v/>
      </c>
      <c r="B11" t="str">
        <v>A 'value schedule' is a table/list where each row contains a unique item/effective date pair with a value.</v>
      </c>
    </row>
    <row r="12" spans="1:17" x14ac:dyDescent="0.25">
      <c r="A12" t="str">
        <v>ItemList</v>
      </c>
      <c r="B12" t="str">
        <v>(Required) Items in a value schedule.</v>
      </c>
    </row>
    <row r="13" spans="1:17" x14ac:dyDescent="0.25">
      <c r="A13" t="str">
        <v>EffectiveList</v>
      </c>
      <c r="B13" t="str">
        <v>(Required) Effective dates in the value schedule.</v>
      </c>
    </row>
    <row r="14" spans="1:17" x14ac:dyDescent="0.25">
      <c r="A14" t="str">
        <v>ValueList</v>
      </c>
      <c r="B14" t="str">
        <v>(Required) Values in a value schedule for each item/effective date pair.</v>
      </c>
    </row>
    <row r="15" spans="1:17" x14ac:dyDescent="0.25">
      <c r="A15" t="str">
        <v>DoNotUse</v>
      </c>
      <c r="B15" t="str">
        <v>This is a counter used internally. Do not make any entry.</v>
      </c>
    </row>
    <row r="16" spans="1:17" x14ac:dyDescent="0.25">
      <c r="A16" t="str">
        <v>EXAMPLES:</v>
      </c>
      <c r="B16" t="str">
        <v/>
      </c>
    </row>
    <row r="17" spans="1:24" x14ac:dyDescent="0.25">
      <c r="A17" t="str">
        <v>Result</v>
      </c>
      <c r="B17" t="str">
        <v>Formula (nabla.d is assumed to be the module's name)</v>
      </c>
    </row>
    <row r="18" spans="1:24" x14ac:dyDescent="0.25">
      <c r="A18" t="str">
        <v/>
      </c>
      <c r="B18" t="str">
        <v>nabla.d.ScheduleRatesByItemsλ( Timelineλ( "1/1/2025"), Timelineλ( "1/1/2025",,,FALSE),</v>
      </c>
    </row>
    <row r="19" spans="1:24" x14ac:dyDescent="0.25">
      <c r="A19" t="str">
        <v/>
      </c>
      <c r="B19" t="str">
        <v>UNIQUE( tblExp(Items)), tblExp[Items], tblExp[Dates], tblExp[Amount])</v>
      </c>
    </row>
    <row r="22" spans="1:24" ht="20.25" x14ac:dyDescent="0.3">
      <c r="A22" s="302" t="s">
        <v>272</v>
      </c>
      <c r="B22" s="302"/>
      <c r="C22" s="302"/>
      <c r="E22" s="289" t="s">
        <v>278</v>
      </c>
      <c r="F22" s="307"/>
      <c r="G22" s="307"/>
      <c r="H22" s="307"/>
      <c r="I22" s="290"/>
      <c r="L22" s="166" t="s">
        <v>279</v>
      </c>
      <c r="M22" s="170" cm="1">
        <f t="array" ref="M22:X22">nabla.d.Timelineλ($B$25, $B$26, $B$27, FALSE)</f>
        <v>45322</v>
      </c>
      <c r="N22" s="170">
        <v>46081</v>
      </c>
      <c r="O22" s="170">
        <v>46112</v>
      </c>
      <c r="P22" s="170">
        <v>46142</v>
      </c>
      <c r="Q22" s="170">
        <v>46173</v>
      </c>
      <c r="R22" s="170">
        <v>46203</v>
      </c>
      <c r="S22" s="170">
        <v>46234</v>
      </c>
      <c r="T22" s="170">
        <v>46265</v>
      </c>
      <c r="U22" s="170">
        <v>46295</v>
      </c>
      <c r="V22" s="170">
        <v>46326</v>
      </c>
      <c r="W22" s="170">
        <v>46356</v>
      </c>
      <c r="X22" s="170">
        <v>46387</v>
      </c>
    </row>
    <row r="23" spans="1:24" x14ac:dyDescent="0.25">
      <c r="K23" s="161" t="s">
        <v>264</v>
      </c>
      <c r="L23" s="149" t="s">
        <v>276</v>
      </c>
      <c r="M23" s="156" cm="1">
        <f t="array" ref="M23:X23">nabla.d.Timelineλ($B$25, $B$26, $B$27)</f>
        <v>45292</v>
      </c>
      <c r="N23" s="1">
        <v>46054</v>
      </c>
      <c r="O23" s="1">
        <v>46082</v>
      </c>
      <c r="P23" s="1">
        <v>46113</v>
      </c>
      <c r="Q23" s="1">
        <v>46143</v>
      </c>
      <c r="R23" s="1">
        <v>46174</v>
      </c>
      <c r="S23" s="1">
        <v>46204</v>
      </c>
      <c r="T23" s="1">
        <v>46235</v>
      </c>
      <c r="U23" s="1">
        <v>46266</v>
      </c>
      <c r="V23" s="1">
        <v>46296</v>
      </c>
      <c r="W23" s="1">
        <v>46327</v>
      </c>
      <c r="X23" s="1">
        <v>46357</v>
      </c>
    </row>
    <row r="24" spans="1:24" x14ac:dyDescent="0.25">
      <c r="A24" s="161" t="s">
        <v>273</v>
      </c>
      <c r="B24" s="161" t="s">
        <v>138</v>
      </c>
      <c r="C24" s="161" t="s">
        <v>139</v>
      </c>
      <c r="E24" s="160" t="str" cm="1">
        <f t="array" ref="E24:I46">tblCO[#All]</f>
        <v>Inv.#</v>
      </c>
      <c r="F24" s="160" t="str">
        <f/>
        <v>Customer</v>
      </c>
      <c r="G24" s="160" t="str">
        <f/>
        <v>Issued</v>
      </c>
      <c r="H24" s="160" t="str">
        <f/>
        <v>Exp. Receipt</v>
      </c>
      <c r="I24" s="160" t="str">
        <f/>
        <v>Amount</v>
      </c>
      <c r="L24" s="125" t="s">
        <v>275</v>
      </c>
    </row>
    <row r="25" spans="1:24" x14ac:dyDescent="0.25">
      <c r="A25" t="s">
        <v>236</v>
      </c>
      <c r="B25" s="141">
        <v>46023</v>
      </c>
      <c r="C25" t="s">
        <v>145</v>
      </c>
      <c r="E25">
        <f/>
        <v>101</v>
      </c>
      <c r="F25" t="str">
        <f/>
        <v>Town Hall</v>
      </c>
      <c r="G25" s="141">
        <f/>
        <v>45294</v>
      </c>
      <c r="H25" s="141">
        <f/>
        <v>45339</v>
      </c>
      <c r="I25">
        <f/>
        <v>1831</v>
      </c>
      <c r="K25" t="str" cm="1">
        <f t="array" ref="K25:K29">tblCT[Customer]</f>
        <v>ACME</v>
      </c>
      <c r="L25" cm="1">
        <f t="array" ref="L25:L29">nabla.e.SumRowsλ(_xlfn.ANCHORARRAY(M25))</f>
        <v>7202</v>
      </c>
      <c r="M25" s="162" cm="1">
        <f t="array" ref="M25:X29">nabla.d.ScheduleValuesByItemsλ(_xlfn.ANCHORARRAY( $M$23),_xlfn.ANCHORARRAY( $M$22),_xlfn.ANCHORARRAY( K25), tblCO[Customer], tblCO[Issued],tblCO[Amount])</f>
        <v>7202</v>
      </c>
      <c r="N25">
        <f/>
        <v>0</v>
      </c>
      <c r="O25">
        <f/>
        <v>0</v>
      </c>
      <c r="P25">
        <f/>
        <v>0</v>
      </c>
      <c r="Q25">
        <f/>
        <v>0</v>
      </c>
      <c r="R25">
        <f/>
        <v>0</v>
      </c>
      <c r="S25">
        <f/>
        <v>0</v>
      </c>
      <c r="T25">
        <f/>
        <v>0</v>
      </c>
      <c r="U25">
        <f/>
        <v>0</v>
      </c>
      <c r="V25">
        <f/>
        <v>0</v>
      </c>
      <c r="W25">
        <f/>
        <v>0</v>
      </c>
      <c r="X25">
        <f/>
        <v>0</v>
      </c>
    </row>
    <row r="26" spans="1:24" x14ac:dyDescent="0.25">
      <c r="A26" t="s">
        <v>141</v>
      </c>
      <c r="B26">
        <v>12</v>
      </c>
      <c r="C26" t="s">
        <v>146</v>
      </c>
      <c r="E26">
        <f/>
        <v>102</v>
      </c>
      <c r="F26" t="str">
        <f/>
        <v>Jacqie Penee</v>
      </c>
      <c r="G26" s="141">
        <f/>
        <v>45295</v>
      </c>
      <c r="H26" s="141">
        <f/>
        <v>45355</v>
      </c>
      <c r="I26">
        <f/>
        <v>1670</v>
      </c>
      <c r="K26" t="str">
        <v>Wool*Art</v>
      </c>
      <c r="L26">
        <f/>
        <v>10126</v>
      </c>
      <c r="M26">
        <f/>
        <v>10126</v>
      </c>
      <c r="N26">
        <f/>
        <v>0</v>
      </c>
      <c r="O26">
        <f/>
        <v>0</v>
      </c>
      <c r="P26">
        <f/>
        <v>0</v>
      </c>
      <c r="Q26">
        <f/>
        <v>0</v>
      </c>
      <c r="R26">
        <f/>
        <v>0</v>
      </c>
      <c r="S26">
        <f/>
        <v>0</v>
      </c>
      <c r="T26">
        <f/>
        <v>0</v>
      </c>
      <c r="U26">
        <f/>
        <v>0</v>
      </c>
      <c r="V26">
        <f/>
        <v>0</v>
      </c>
      <c r="W26">
        <f/>
        <v>0</v>
      </c>
      <c r="X26">
        <f/>
        <v>0</v>
      </c>
    </row>
    <row r="27" spans="1:24" x14ac:dyDescent="0.25">
      <c r="A27" t="s">
        <v>142</v>
      </c>
      <c r="B27" t="s">
        <v>144</v>
      </c>
      <c r="E27">
        <f/>
        <v>103</v>
      </c>
      <c r="F27" t="str">
        <f/>
        <v>Town Hall</v>
      </c>
      <c r="G27" s="141">
        <f/>
        <v>45297</v>
      </c>
      <c r="H27" s="141">
        <f/>
        <v>45342</v>
      </c>
      <c r="I27">
        <f/>
        <v>3386</v>
      </c>
      <c r="K27" t="str">
        <v>Town Hall</v>
      </c>
      <c r="L27">
        <f/>
        <v>22422</v>
      </c>
      <c r="M27">
        <f/>
        <v>22422</v>
      </c>
      <c r="N27">
        <f/>
        <v>0</v>
      </c>
      <c r="O27">
        <f/>
        <v>0</v>
      </c>
      <c r="P27">
        <f/>
        <v>0</v>
      </c>
      <c r="Q27">
        <f/>
        <v>0</v>
      </c>
      <c r="R27">
        <f/>
        <v>0</v>
      </c>
      <c r="S27">
        <f/>
        <v>0</v>
      </c>
      <c r="T27">
        <f/>
        <v>0</v>
      </c>
      <c r="U27">
        <f/>
        <v>0</v>
      </c>
      <c r="V27">
        <f/>
        <v>0</v>
      </c>
      <c r="W27">
        <f/>
        <v>0</v>
      </c>
      <c r="X27">
        <f/>
        <v>0</v>
      </c>
    </row>
    <row r="28" spans="1:24" x14ac:dyDescent="0.25">
      <c r="E28">
        <f/>
        <v>104</v>
      </c>
      <c r="F28" t="str">
        <f/>
        <v>ACME</v>
      </c>
      <c r="G28" s="141">
        <f/>
        <v>45293</v>
      </c>
      <c r="H28" s="141">
        <f/>
        <v>45323</v>
      </c>
      <c r="I28">
        <f/>
        <v>2735</v>
      </c>
      <c r="K28" t="str">
        <v>Jacqie Penee</v>
      </c>
      <c r="L28">
        <f/>
        <v>9256</v>
      </c>
      <c r="M28">
        <f/>
        <v>9256</v>
      </c>
      <c r="N28">
        <f/>
        <v>0</v>
      </c>
      <c r="O28">
        <f/>
        <v>0</v>
      </c>
      <c r="P28">
        <f/>
        <v>0</v>
      </c>
      <c r="Q28">
        <f/>
        <v>0</v>
      </c>
      <c r="R28">
        <f/>
        <v>0</v>
      </c>
      <c r="S28">
        <f/>
        <v>0</v>
      </c>
      <c r="T28">
        <f/>
        <v>0</v>
      </c>
      <c r="U28">
        <f/>
        <v>0</v>
      </c>
      <c r="V28">
        <f/>
        <v>0</v>
      </c>
      <c r="W28">
        <f/>
        <v>0</v>
      </c>
      <c r="X28">
        <f/>
        <v>0</v>
      </c>
    </row>
    <row r="29" spans="1:24" x14ac:dyDescent="0.25">
      <c r="E29">
        <f/>
        <v>105</v>
      </c>
      <c r="F29" t="str">
        <f/>
        <v>Town Hall</v>
      </c>
      <c r="G29" s="141">
        <f/>
        <v>45296</v>
      </c>
      <c r="H29" s="141">
        <f/>
        <v>45341</v>
      </c>
      <c r="I29">
        <f/>
        <v>3727</v>
      </c>
      <c r="K29" t="str">
        <v>Amazonia</v>
      </c>
      <c r="L29">
        <f/>
        <v>4354</v>
      </c>
      <c r="M29">
        <f/>
        <v>4354</v>
      </c>
      <c r="N29">
        <f/>
        <v>0</v>
      </c>
      <c r="O29">
        <f/>
        <v>0</v>
      </c>
      <c r="P29">
        <f/>
        <v>0</v>
      </c>
      <c r="Q29">
        <f/>
        <v>0</v>
      </c>
      <c r="R29">
        <f/>
        <v>0</v>
      </c>
      <c r="S29">
        <f/>
        <v>0</v>
      </c>
      <c r="T29">
        <f/>
        <v>0</v>
      </c>
      <c r="U29">
        <f/>
        <v>0</v>
      </c>
      <c r="V29">
        <f/>
        <v>0</v>
      </c>
      <c r="W29">
        <f/>
        <v>0</v>
      </c>
      <c r="X29">
        <f/>
        <v>0</v>
      </c>
    </row>
    <row r="30" spans="1:24" ht="20.25" x14ac:dyDescent="0.3">
      <c r="A30" s="271" t="s">
        <v>270</v>
      </c>
      <c r="B30" s="272"/>
      <c r="C30" s="272"/>
      <c r="E30">
        <f/>
        <v>106</v>
      </c>
      <c r="F30" t="str">
        <f/>
        <v>Town Hall</v>
      </c>
      <c r="G30" s="141">
        <f/>
        <v>45292</v>
      </c>
      <c r="H30" s="141">
        <f/>
        <v>45337</v>
      </c>
      <c r="I30">
        <f/>
        <v>2561</v>
      </c>
      <c r="K30" s="167" t="s">
        <v>283</v>
      </c>
      <c r="L30" s="167">
        <f>SUM(_xlfn.ANCHORARRAY(M30))</f>
        <v>53360</v>
      </c>
      <c r="M30" s="167" cm="1">
        <f t="array" ref="M30:X30">nabla.e.SumColsλ(_xlfn.ANCHORARRAY(M25))</f>
        <v>53360</v>
      </c>
      <c r="N30" s="167">
        <f/>
        <v>0</v>
      </c>
      <c r="O30" s="167">
        <f/>
        <v>0</v>
      </c>
      <c r="P30" s="167">
        <f/>
        <v>0</v>
      </c>
      <c r="Q30" s="167">
        <f/>
        <v>0</v>
      </c>
      <c r="R30" s="167">
        <f/>
        <v>0</v>
      </c>
      <c r="S30" s="167">
        <f/>
        <v>0</v>
      </c>
      <c r="T30" s="167">
        <f/>
        <v>0</v>
      </c>
      <c r="U30" s="167">
        <f/>
        <v>0</v>
      </c>
      <c r="V30" s="167">
        <f/>
        <v>0</v>
      </c>
      <c r="W30" s="167">
        <f/>
        <v>0</v>
      </c>
      <c r="X30" s="167">
        <f/>
        <v>0</v>
      </c>
    </row>
    <row r="31" spans="1:24" x14ac:dyDescent="0.25">
      <c r="E31">
        <f/>
        <v>107</v>
      </c>
      <c r="F31" t="str">
        <f/>
        <v>Wool*Art</v>
      </c>
      <c r="G31" s="141">
        <f/>
        <v>45295</v>
      </c>
      <c r="H31" s="141">
        <f/>
        <v>45415</v>
      </c>
      <c r="I31">
        <f/>
        <v>4149</v>
      </c>
    </row>
    <row r="32" spans="1:24" x14ac:dyDescent="0.25">
      <c r="A32" s="160" t="str" cm="1">
        <f t="array" ref="A32:C37">tblCT[#All]</f>
        <v>ID#</v>
      </c>
      <c r="B32" s="161" t="str">
        <v>Customer</v>
      </c>
      <c r="C32" s="160" t="str">
        <v>Terms</v>
      </c>
      <c r="E32">
        <f/>
        <v>108</v>
      </c>
      <c r="F32" t="str">
        <f/>
        <v>Amazonia</v>
      </c>
      <c r="G32" s="141">
        <f/>
        <v>45296</v>
      </c>
      <c r="H32" s="141">
        <f/>
        <v>45311</v>
      </c>
      <c r="I32">
        <f/>
        <v>2444</v>
      </c>
      <c r="L32" s="125" t="s">
        <v>284</v>
      </c>
    </row>
    <row r="33" spans="1:24" x14ac:dyDescent="0.25">
      <c r="A33">
        <v>1</v>
      </c>
      <c r="B33" t="str">
        <v>ACME</v>
      </c>
      <c r="C33">
        <v>30</v>
      </c>
      <c r="E33">
        <f/>
        <v>109</v>
      </c>
      <c r="F33" t="str">
        <f/>
        <v>Town Hall</v>
      </c>
      <c r="G33" s="141">
        <f/>
        <v>45297</v>
      </c>
      <c r="H33" s="141">
        <f/>
        <v>45342</v>
      </c>
      <c r="I33">
        <f/>
        <v>1309</v>
      </c>
      <c r="K33" t="str" cm="1">
        <f t="array" ref="K33:K37">tblCT[Customer]</f>
        <v>ACME</v>
      </c>
      <c r="L33" cm="1">
        <f t="array" ref="L33:L37">nabla.e.SumRowsλ(_xlfn.ANCHORARRAY(M33))</f>
        <v>7202</v>
      </c>
      <c r="M33" s="162" cm="1">
        <f t="array" ref="M33:X37">nabla.d.ScheduleValuesByItemsλ(_xlfn.ANCHORARRAY( $M$23),_xlfn.ANCHORARRAY( $M$22),_xlfn.ANCHORARRAY( K33), tblCO[Customer], tblCO[Exp. Receipt],tblCO[Amount])</f>
        <v>0</v>
      </c>
      <c r="N33">
        <f/>
        <v>7202</v>
      </c>
      <c r="O33">
        <f/>
        <v>0</v>
      </c>
      <c r="P33">
        <f/>
        <v>0</v>
      </c>
      <c r="Q33">
        <f/>
        <v>0</v>
      </c>
      <c r="R33">
        <f/>
        <v>0</v>
      </c>
      <c r="S33">
        <f/>
        <v>0</v>
      </c>
      <c r="T33">
        <f/>
        <v>0</v>
      </c>
      <c r="U33">
        <f/>
        <v>0</v>
      </c>
      <c r="V33">
        <f/>
        <v>0</v>
      </c>
      <c r="W33">
        <f/>
        <v>0</v>
      </c>
      <c r="X33">
        <f/>
        <v>0</v>
      </c>
    </row>
    <row r="34" spans="1:24" x14ac:dyDescent="0.25">
      <c r="A34">
        <v>2</v>
      </c>
      <c r="B34" t="str">
        <v>Wool*Art</v>
      </c>
      <c r="C34">
        <v>120</v>
      </c>
      <c r="E34">
        <f/>
        <v>110</v>
      </c>
      <c r="F34" t="str">
        <f/>
        <v>Town Hall</v>
      </c>
      <c r="G34" s="141">
        <f/>
        <v>45296</v>
      </c>
      <c r="H34" s="141">
        <f/>
        <v>45341</v>
      </c>
      <c r="I34">
        <f/>
        <v>1728</v>
      </c>
      <c r="K34" t="str">
        <v>Wool*Art</v>
      </c>
      <c r="L34">
        <f/>
        <v>10126</v>
      </c>
      <c r="M34">
        <f/>
        <v>0</v>
      </c>
      <c r="N34">
        <f/>
        <v>0</v>
      </c>
      <c r="O34">
        <f/>
        <v>0</v>
      </c>
      <c r="P34">
        <f/>
        <v>0</v>
      </c>
      <c r="Q34">
        <f/>
        <v>10126</v>
      </c>
      <c r="R34">
        <f/>
        <v>0</v>
      </c>
      <c r="S34">
        <f/>
        <v>0</v>
      </c>
      <c r="T34">
        <f/>
        <v>0</v>
      </c>
      <c r="U34">
        <f/>
        <v>0</v>
      </c>
      <c r="V34">
        <f/>
        <v>0</v>
      </c>
      <c r="W34">
        <f/>
        <v>0</v>
      </c>
      <c r="X34">
        <f/>
        <v>0</v>
      </c>
    </row>
    <row r="35" spans="1:24" x14ac:dyDescent="0.25">
      <c r="A35">
        <v>3</v>
      </c>
      <c r="B35" t="str">
        <v>Town Hall</v>
      </c>
      <c r="C35">
        <v>45</v>
      </c>
      <c r="E35">
        <f/>
        <v>111</v>
      </c>
      <c r="F35" t="str">
        <f/>
        <v>Wool*Art</v>
      </c>
      <c r="G35" s="141">
        <f/>
        <v>45294</v>
      </c>
      <c r="H35" s="141">
        <f/>
        <v>45414</v>
      </c>
      <c r="I35">
        <f/>
        <v>3738</v>
      </c>
      <c r="K35" t="str">
        <v>Town Hall</v>
      </c>
      <c r="L35">
        <f/>
        <v>22422</v>
      </c>
      <c r="M35">
        <f/>
        <v>0</v>
      </c>
      <c r="N35">
        <f/>
        <v>22422</v>
      </c>
      <c r="O35">
        <f/>
        <v>0</v>
      </c>
      <c r="P35">
        <f/>
        <v>0</v>
      </c>
      <c r="Q35">
        <f/>
        <v>0</v>
      </c>
      <c r="R35">
        <f/>
        <v>0</v>
      </c>
      <c r="S35">
        <f/>
        <v>0</v>
      </c>
      <c r="T35">
        <f/>
        <v>0</v>
      </c>
      <c r="U35">
        <f/>
        <v>0</v>
      </c>
      <c r="V35">
        <f/>
        <v>0</v>
      </c>
      <c r="W35">
        <f/>
        <v>0</v>
      </c>
      <c r="X35">
        <f/>
        <v>0</v>
      </c>
    </row>
    <row r="36" spans="1:24" x14ac:dyDescent="0.25">
      <c r="A36">
        <v>4</v>
      </c>
      <c r="B36" t="str">
        <v>Jacqie Penee</v>
      </c>
      <c r="C36">
        <v>60</v>
      </c>
      <c r="E36">
        <f/>
        <v>112</v>
      </c>
      <c r="F36" t="str">
        <f/>
        <v>Town Hall</v>
      </c>
      <c r="G36" s="141">
        <f/>
        <v>45295</v>
      </c>
      <c r="H36" s="141">
        <f/>
        <v>45340</v>
      </c>
      <c r="I36">
        <f/>
        <v>3870</v>
      </c>
      <c r="K36" t="str">
        <v>Jacqie Penee</v>
      </c>
      <c r="L36">
        <f/>
        <v>9256</v>
      </c>
      <c r="M36">
        <f/>
        <v>0</v>
      </c>
      <c r="N36">
        <f/>
        <v>0</v>
      </c>
      <c r="O36">
        <f/>
        <v>9256</v>
      </c>
      <c r="P36">
        <f/>
        <v>0</v>
      </c>
      <c r="Q36">
        <f/>
        <v>0</v>
      </c>
      <c r="R36">
        <f/>
        <v>0</v>
      </c>
      <c r="S36">
        <f/>
        <v>0</v>
      </c>
      <c r="T36">
        <f/>
        <v>0</v>
      </c>
      <c r="U36">
        <f/>
        <v>0</v>
      </c>
      <c r="V36">
        <f/>
        <v>0</v>
      </c>
      <c r="W36">
        <f/>
        <v>0</v>
      </c>
      <c r="X36">
        <f/>
        <v>0</v>
      </c>
    </row>
    <row r="37" spans="1:24" x14ac:dyDescent="0.25">
      <c r="A37">
        <v>5</v>
      </c>
      <c r="B37" t="str">
        <v>Amazonia</v>
      </c>
      <c r="C37">
        <v>15</v>
      </c>
      <c r="E37">
        <f/>
        <v>113</v>
      </c>
      <c r="F37" t="str">
        <f/>
        <v>ACME</v>
      </c>
      <c r="G37" s="141">
        <f/>
        <v>45294</v>
      </c>
      <c r="H37" s="141">
        <f/>
        <v>45324</v>
      </c>
      <c r="I37">
        <f/>
        <v>2896</v>
      </c>
      <c r="K37" t="str">
        <v>Amazonia</v>
      </c>
      <c r="L37">
        <f/>
        <v>4354</v>
      </c>
      <c r="M37">
        <f/>
        <v>4354</v>
      </c>
      <c r="N37">
        <f/>
        <v>0</v>
      </c>
      <c r="O37">
        <f/>
        <v>0</v>
      </c>
      <c r="P37">
        <f/>
        <v>0</v>
      </c>
      <c r="Q37">
        <f/>
        <v>0</v>
      </c>
      <c r="R37">
        <f/>
        <v>0</v>
      </c>
      <c r="S37">
        <f/>
        <v>0</v>
      </c>
      <c r="T37">
        <f/>
        <v>0</v>
      </c>
      <c r="U37">
        <f/>
        <v>0</v>
      </c>
      <c r="V37">
        <f/>
        <v>0</v>
      </c>
      <c r="W37">
        <f/>
        <v>0</v>
      </c>
      <c r="X37">
        <f/>
        <v>0</v>
      </c>
    </row>
    <row r="38" spans="1:24" x14ac:dyDescent="0.25">
      <c r="E38">
        <f/>
        <v>114</v>
      </c>
      <c r="F38" t="str">
        <f/>
        <v>Jacqie Penee</v>
      </c>
      <c r="G38" s="141">
        <f/>
        <v>45292</v>
      </c>
      <c r="H38" s="141">
        <f/>
        <v>45352</v>
      </c>
      <c r="I38">
        <f/>
        <v>2929</v>
      </c>
      <c r="K38" s="167" t="s">
        <v>283</v>
      </c>
      <c r="L38" s="167">
        <f>SUM(_xlfn.ANCHORARRAY(M38))</f>
        <v>53360</v>
      </c>
      <c r="M38" s="167" cm="1">
        <f t="array" ref="M38:X38">nabla.e.SumColsλ(_xlfn.ANCHORARRAY(M33))</f>
        <v>4354</v>
      </c>
      <c r="N38" s="167">
        <f/>
        <v>29624</v>
      </c>
      <c r="O38" s="167">
        <f/>
        <v>9256</v>
      </c>
      <c r="P38" s="167">
        <f/>
        <v>0</v>
      </c>
      <c r="Q38" s="167">
        <f/>
        <v>10126</v>
      </c>
      <c r="R38" s="167">
        <f/>
        <v>0</v>
      </c>
      <c r="S38" s="167">
        <f/>
        <v>0</v>
      </c>
      <c r="T38" s="167">
        <f/>
        <v>0</v>
      </c>
      <c r="U38" s="167">
        <f/>
        <v>0</v>
      </c>
      <c r="V38" s="167">
        <f/>
        <v>0</v>
      </c>
      <c r="W38" s="167">
        <f/>
        <v>0</v>
      </c>
      <c r="X38" s="167">
        <f/>
        <v>0</v>
      </c>
    </row>
    <row r="39" spans="1:24" x14ac:dyDescent="0.25">
      <c r="E39">
        <f/>
        <v>115</v>
      </c>
      <c r="F39" t="str">
        <f/>
        <v>Amazonia</v>
      </c>
      <c r="G39" s="141">
        <f/>
        <v>45294</v>
      </c>
      <c r="H39" s="141">
        <f/>
        <v>45309</v>
      </c>
      <c r="I39">
        <f/>
        <v>1910</v>
      </c>
    </row>
    <row r="40" spans="1:24" ht="15.75" thickBot="1" x14ac:dyDescent="0.3">
      <c r="E40">
        <f/>
        <v>116</v>
      </c>
      <c r="F40" t="str">
        <f/>
        <v>Jacqie Penee</v>
      </c>
      <c r="G40" s="141">
        <f/>
        <v>45293</v>
      </c>
      <c r="H40" s="141">
        <f/>
        <v>45353</v>
      </c>
      <c r="I40">
        <f/>
        <v>3252</v>
      </c>
      <c r="L40" s="125" t="s">
        <v>282</v>
      </c>
      <c r="M40" s="171" cm="1">
        <f t="array" ref="M40:X40">_xlfn.ANCHORARRAY(M30)-_xlfn.ANCHORARRAY(M38)</f>
        <v>49006</v>
      </c>
      <c r="N40" s="171">
        <f/>
        <v>-29624</v>
      </c>
      <c r="O40" s="171">
        <f/>
        <v>-9256</v>
      </c>
      <c r="P40" s="171">
        <f/>
        <v>0</v>
      </c>
      <c r="Q40" s="171">
        <f/>
        <v>-10126</v>
      </c>
      <c r="R40" s="171">
        <f/>
        <v>0</v>
      </c>
      <c r="S40" s="171">
        <f/>
        <v>0</v>
      </c>
      <c r="T40" s="171">
        <f/>
        <v>0</v>
      </c>
      <c r="U40" s="171">
        <f/>
        <v>0</v>
      </c>
      <c r="V40" s="171">
        <f/>
        <v>0</v>
      </c>
      <c r="W40" s="171">
        <f/>
        <v>0</v>
      </c>
      <c r="X40" s="171">
        <f/>
        <v>0</v>
      </c>
    </row>
    <row r="41" spans="1:24" ht="15.75" thickTop="1" x14ac:dyDescent="0.25">
      <c r="E41">
        <f/>
        <v>117</v>
      </c>
      <c r="F41" t="str">
        <f/>
        <v>Town Hall</v>
      </c>
      <c r="G41" s="141">
        <f/>
        <v>45297</v>
      </c>
      <c r="H41" s="141">
        <f/>
        <v>45342</v>
      </c>
      <c r="I41">
        <f/>
        <v>2644</v>
      </c>
    </row>
    <row r="42" spans="1:24" x14ac:dyDescent="0.25">
      <c r="E42">
        <f/>
        <v>118</v>
      </c>
      <c r="F42" t="str">
        <f/>
        <v>ACME</v>
      </c>
      <c r="G42" s="141">
        <f/>
        <v>45297</v>
      </c>
      <c r="H42" s="141">
        <f/>
        <v>45327</v>
      </c>
      <c r="I42">
        <f/>
        <v>1571</v>
      </c>
      <c r="L42" s="125" t="s">
        <v>281</v>
      </c>
      <c r="M42" cm="1">
        <f t="array" ref="M42:X42">nabla.f.Cumulativeλ(_xlfn.ANCHORARRAY(M40))</f>
        <v>49006</v>
      </c>
      <c r="N42">
        <f/>
        <v>19382</v>
      </c>
      <c r="O42">
        <f/>
        <v>10126</v>
      </c>
      <c r="P42">
        <f/>
        <v>10126</v>
      </c>
      <c r="Q42">
        <f/>
        <v>0</v>
      </c>
      <c r="R42">
        <f/>
        <v>0</v>
      </c>
      <c r="S42">
        <f/>
        <v>0</v>
      </c>
      <c r="T42">
        <f/>
        <v>0</v>
      </c>
      <c r="U42">
        <f/>
        <v>0</v>
      </c>
      <c r="V42">
        <f/>
        <v>0</v>
      </c>
      <c r="W42">
        <f/>
        <v>0</v>
      </c>
      <c r="X42">
        <f/>
        <v>0</v>
      </c>
    </row>
    <row r="43" spans="1:24" x14ac:dyDescent="0.25">
      <c r="E43">
        <f/>
        <v>119</v>
      </c>
      <c r="F43" t="str">
        <f/>
        <v>Jacqie Penee</v>
      </c>
      <c r="G43" s="141">
        <f/>
        <v>45296</v>
      </c>
      <c r="H43" s="141">
        <f/>
        <v>45356</v>
      </c>
      <c r="I43">
        <f/>
        <v>1405</v>
      </c>
    </row>
    <row r="44" spans="1:24" x14ac:dyDescent="0.25">
      <c r="E44">
        <f/>
        <v>120</v>
      </c>
      <c r="F44" t="str">
        <f/>
        <v>Town Hall</v>
      </c>
      <c r="G44" s="141">
        <f/>
        <v>45296</v>
      </c>
      <c r="H44" s="141">
        <f/>
        <v>45341</v>
      </c>
      <c r="I44">
        <f/>
        <v>1366</v>
      </c>
    </row>
    <row r="45" spans="1:24" x14ac:dyDescent="0.25">
      <c r="E45">
        <f/>
        <v>121</v>
      </c>
      <c r="F45" t="str">
        <f/>
        <v>Wool*Art</v>
      </c>
      <c r="G45" s="141">
        <f/>
        <v>45294</v>
      </c>
      <c r="H45" s="141">
        <f/>
        <v>45414</v>
      </c>
      <c r="I45">
        <f/>
        <v>2239</v>
      </c>
    </row>
    <row r="46" spans="1:24" x14ac:dyDescent="0.25">
      <c r="E46" s="205" t="str">
        <f/>
        <v>Total</v>
      </c>
      <c r="F46" s="205">
        <f/>
        <v>0</v>
      </c>
      <c r="G46" s="206">
        <f/>
        <v>0</v>
      </c>
      <c r="H46" s="206">
        <f/>
        <v>0</v>
      </c>
      <c r="I46" s="167">
        <f/>
        <v>53360</v>
      </c>
    </row>
  </sheetData>
  <mergeCells count="5">
    <mergeCell ref="A1:Q1"/>
    <mergeCell ref="A2:Q2"/>
    <mergeCell ref="A22:C22"/>
    <mergeCell ref="E22:I22"/>
    <mergeCell ref="A30:C30"/>
  </mergeCells>
  <hyperlinks>
    <hyperlink ref="A1" location="'TOC'!$A$1" display="'TOC'!$A$1" xr:uid="{F1ECF7FE-D7C9-4F13-A6B4-9447F7ED2912}"/>
  </hyperlinks>
  <pageMargins left="0.7" right="0.7" top="0.75" bottom="0.75" header="0.3" footer="0.3"/>
  <customProperties>
    <customPr name="Description" r:id="rId1"/>
  </customPropertie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2DA5A-CB26-4D88-9F82-1564438F9906}">
  <sheetPr codeName="Sheet19">
    <tabColor rgb="FF1F4E79"/>
  </sheetPr>
  <dimension ref="A1:Q23"/>
  <sheetViews>
    <sheetView showGridLines="0" workbookViewId="0">
      <selection activeCell="A1" sqref="A1"/>
    </sheetView>
  </sheetViews>
  <sheetFormatPr defaultRowHeight="15" x14ac:dyDescent="0.25"/>
  <cols>
    <col min="1" max="1" width="15.7109375" customWidth="1"/>
    <col min="2" max="2" width="11.42578125" customWidth="1"/>
    <col min="3" max="3" width="10" bestFit="1" customWidth="1"/>
    <col min="5" max="5" width="10.140625" bestFit="1" customWidth="1"/>
    <col min="6" max="6" width="10.42578125" bestFit="1" customWidth="1"/>
    <col min="7" max="7" width="10.85546875" bestFit="1" customWidth="1"/>
    <col min="8" max="8" width="10.42578125" bestFit="1" customWidth="1"/>
    <col min="9" max="9" width="11.140625" bestFit="1" customWidth="1"/>
    <col min="10" max="10" width="10.28515625" bestFit="1" customWidth="1"/>
    <col min="11" max="11" width="9.5703125" bestFit="1" customWidth="1"/>
    <col min="12" max="12" width="10.7109375" bestFit="1" customWidth="1"/>
    <col min="13" max="13" width="10.42578125" bestFit="1" customWidth="1"/>
    <col min="14" max="14" width="10.28515625" bestFit="1" customWidth="1"/>
    <col min="15" max="15" width="10.7109375" bestFit="1" customWidth="1"/>
    <col min="16" max="16" width="10.5703125" bestFit="1" customWidth="1"/>
  </cols>
  <sheetData>
    <row r="1" spans="1:17" ht="45.75" x14ac:dyDescent="0.65">
      <c r="A1" s="270" t="str">
        <f>_xlfn.TEXTAFTER(CELL("filename",A1),"]")</f>
        <v>nabla.d.Timelineλ</v>
      </c>
      <c r="B1" s="270"/>
      <c r="C1" s="270"/>
      <c r="D1" s="270"/>
      <c r="E1" s="270"/>
      <c r="F1" s="270"/>
      <c r="G1" s="270"/>
      <c r="H1" s="270"/>
      <c r="I1" s="270"/>
      <c r="J1" s="270"/>
      <c r="K1" s="270"/>
      <c r="L1" s="270"/>
      <c r="M1" s="270"/>
      <c r="N1" s="270"/>
    </row>
    <row r="2" spans="1:17" x14ac:dyDescent="0.25">
      <c r="A2" s="273" t="s">
        <v>205</v>
      </c>
      <c r="B2" s="274"/>
      <c r="C2" s="274"/>
      <c r="D2" s="274"/>
      <c r="E2" s="274"/>
      <c r="F2" s="274"/>
      <c r="G2" s="274"/>
      <c r="H2" s="274"/>
      <c r="I2" s="274"/>
      <c r="J2" s="274"/>
      <c r="K2" s="274"/>
      <c r="L2" s="274"/>
      <c r="M2" s="274"/>
      <c r="N2" s="274"/>
      <c r="O2" s="274"/>
      <c r="P2" s="274"/>
      <c r="Q2" s="274"/>
    </row>
    <row r="3" spans="1:17" x14ac:dyDescent="0.25">
      <c r="A3" s="294"/>
      <c r="B3" s="294"/>
      <c r="C3" s="294"/>
      <c r="D3" s="294"/>
      <c r="E3" s="294"/>
      <c r="F3" s="294"/>
      <c r="G3" s="294"/>
      <c r="H3" s="294"/>
      <c r="I3" s="294"/>
      <c r="J3" s="294"/>
      <c r="K3" s="294"/>
      <c r="L3" s="294"/>
      <c r="M3" s="294"/>
      <c r="N3" s="294"/>
    </row>
    <row r="4" spans="1:17" x14ac:dyDescent="0.25">
      <c r="A4" s="131" t="str" cm="1">
        <f t="array" ref="A4:B15">nabla.d.Timelineλ()</f>
        <v>FUNCTION:</v>
      </c>
      <c r="B4" t="str">
        <v>Timelineλ(StartDate, Periods, Interval, PeriodStarts?)</v>
      </c>
    </row>
    <row r="5" spans="1:17" x14ac:dyDescent="0.25">
      <c r="A5" t="str">
        <v>DESCRIPTION:</v>
      </c>
      <c r="B5" t="str">
        <v>Creates a horizontal list of period dates.</v>
      </c>
    </row>
    <row r="6" spans="1:17" x14ac:dyDescent="0.25">
      <c r="A6" t="str">
        <v>WEBSITE:</v>
      </c>
      <c r="B6" t="str">
        <v>https://github.com/ryanduguid/Nabla</v>
      </c>
    </row>
    <row r="7" spans="1:17" x14ac:dyDescent="0.25">
      <c r="A7" t="str">
        <v>PARAMETERS:</v>
      </c>
      <c r="B7" t="str">
        <v/>
      </c>
    </row>
    <row r="8" spans="1:17" x14ac:dyDescent="0.25">
      <c r="A8" t="str">
        <v>StartDate</v>
      </c>
      <c r="B8" t="str">
        <v>(Required) First period's start date. May be entered as text.</v>
      </c>
    </row>
    <row r="9" spans="1:17" x14ac:dyDescent="0.25">
      <c r="A9" t="str">
        <v>Periods</v>
      </c>
      <c r="B9" t="str">
        <v>(Optional) The number of period in the timeline. Defaults to 12.</v>
      </c>
    </row>
    <row r="10" spans="1:17" x14ac:dyDescent="0.25">
      <c r="A10" t="str">
        <v>Interval</v>
      </c>
      <c r="B10" t="str">
        <v>(Optional) Period interval: D, W, M, Q or Y (Day, Week, Month &lt;default&gt;, Quarter, or Year)</v>
      </c>
    </row>
    <row r="11" spans="1:17" x14ac:dyDescent="0.25">
      <c r="A11" t="str">
        <v>PeriodStarts?</v>
      </c>
      <c r="B11" t="str">
        <v>(Optional) TRUE=Display period start dates &lt;default&gt;. FALSE=Period end dates</v>
      </c>
    </row>
    <row r="12" spans="1:17" x14ac:dyDescent="0.25">
      <c r="A12" t="str">
        <v>EXAMPLES:</v>
      </c>
      <c r="B12" t="str">
        <v/>
      </c>
    </row>
    <row r="13" spans="1:17" x14ac:dyDescent="0.25">
      <c r="A13" t="str">
        <v>Result</v>
      </c>
      <c r="B13" t="str">
        <v>Formula (nabla.d is assumed to be the module's name)</v>
      </c>
    </row>
    <row r="14" spans="1:17" x14ac:dyDescent="0.25">
      <c r="A14" t="str">
        <v>12 mo, starts</v>
      </c>
      <c r="B14" t="str">
        <v>=nabla.d.Timelineλ(TODAY())</v>
      </c>
    </row>
    <row r="15" spans="1:17" x14ac:dyDescent="0.25">
      <c r="A15" t="str">
        <v>12 qtr, ends</v>
      </c>
      <c r="B15" t="str">
        <v>=nabla.d.Timelineλ(TODAY(), , "Q", FALSE)</v>
      </c>
    </row>
    <row r="18" spans="1:16" x14ac:dyDescent="0.25">
      <c r="E18" s="2" t="s">
        <v>149</v>
      </c>
    </row>
    <row r="19" spans="1:16" x14ac:dyDescent="0.25">
      <c r="A19" s="115" t="s">
        <v>137</v>
      </c>
      <c r="B19" s="116" t="s">
        <v>138</v>
      </c>
      <c r="C19" s="115" t="s">
        <v>139</v>
      </c>
      <c r="E19" s="136" cm="1">
        <f t="array" ref="E19:P19">nabla.d.Timelineλ(B20,B21,B22,B23)</f>
        <v>44927</v>
      </c>
      <c r="F19" s="1">
        <v>45689</v>
      </c>
      <c r="G19" s="1">
        <v>45717</v>
      </c>
      <c r="H19" s="1">
        <v>45748</v>
      </c>
      <c r="I19" s="1">
        <v>45778</v>
      </c>
      <c r="J19" s="1">
        <v>45809</v>
      </c>
      <c r="K19" s="1">
        <v>45839</v>
      </c>
      <c r="L19" s="1">
        <v>45870</v>
      </c>
      <c r="M19" s="1">
        <v>45901</v>
      </c>
      <c r="N19" s="1">
        <v>45931</v>
      </c>
      <c r="O19" s="1">
        <v>45962</v>
      </c>
      <c r="P19" s="1">
        <v>45992</v>
      </c>
    </row>
    <row r="20" spans="1:16" x14ac:dyDescent="0.25">
      <c r="A20" t="s">
        <v>140</v>
      </c>
      <c r="B20" s="119">
        <v>45658</v>
      </c>
      <c r="C20" t="s">
        <v>145</v>
      </c>
    </row>
    <row r="21" spans="1:16" x14ac:dyDescent="0.25">
      <c r="A21" t="s">
        <v>141</v>
      </c>
      <c r="B21" s="118">
        <v>12</v>
      </c>
      <c r="C21" t="s">
        <v>146</v>
      </c>
    </row>
    <row r="22" spans="1:16" x14ac:dyDescent="0.25">
      <c r="A22" t="s">
        <v>142</v>
      </c>
      <c r="B22" s="118" t="s">
        <v>144</v>
      </c>
      <c r="C22" t="s">
        <v>148</v>
      </c>
    </row>
    <row r="23" spans="1:16" x14ac:dyDescent="0.25">
      <c r="A23" t="s">
        <v>143</v>
      </c>
      <c r="B23" s="118" t="b">
        <v>1</v>
      </c>
      <c r="C23" t="s">
        <v>147</v>
      </c>
    </row>
  </sheetData>
  <mergeCells count="3">
    <mergeCell ref="A1:N1"/>
    <mergeCell ref="A3:N3"/>
    <mergeCell ref="A2:Q2"/>
  </mergeCells>
  <hyperlinks>
    <hyperlink ref="A1" location="'TOC'!$A$1" display="'TOC'!$A$1" xr:uid="{2D092779-C8F2-49E7-B8C7-FCC62978CC96}"/>
  </hyperlinks>
  <pageMargins left="0.7" right="0.7" top="0.75" bottom="0.75" header="0.3" footer="0.3"/>
  <customProperties>
    <customPr name="Description" r:id="rId1"/>
  </customPropertie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89E9-D5D9-4186-A555-66D9C6FA95CB}">
  <sheetPr codeName="Sheet38">
    <tabColor rgb="FF157A5F"/>
  </sheetPr>
  <dimension ref="A1:DW43"/>
  <sheetViews>
    <sheetView showGridLines="0" workbookViewId="0">
      <selection activeCell="A1" sqref="A1"/>
    </sheetView>
  </sheetViews>
  <sheetFormatPr defaultRowHeight="15" x14ac:dyDescent="0.25"/>
  <cols>
    <col min="1" max="1" width="12.7109375" bestFit="1" customWidth="1"/>
    <col min="3" max="3" width="6" bestFit="1" customWidth="1"/>
    <col min="4" max="4" width="5.28515625" bestFit="1" customWidth="1"/>
    <col min="5" max="5" width="10" bestFit="1" customWidth="1"/>
    <col min="7" max="7" width="24.42578125" bestFit="1" customWidth="1"/>
    <col min="8" max="8" width="8.5703125" bestFit="1" customWidth="1"/>
    <col min="9" max="9" width="10.140625" bestFit="1" customWidth="1"/>
    <col min="10" max="22" width="11.42578125" bestFit="1" customWidth="1"/>
  </cols>
  <sheetData>
    <row r="1" spans="1:17" ht="45.75" x14ac:dyDescent="0.65">
      <c r="A1" s="270" t="str">
        <f>_xlfn.TEXTAFTER(CELL("filename",A1),"]")</f>
        <v>nabla.f.Amortiseλ</v>
      </c>
      <c r="B1" s="270"/>
      <c r="C1" s="270"/>
      <c r="D1" s="270"/>
      <c r="E1" s="270"/>
      <c r="F1" s="270"/>
      <c r="G1" s="270"/>
      <c r="H1" s="270"/>
      <c r="I1" s="270"/>
      <c r="J1" s="270"/>
      <c r="K1" s="270"/>
      <c r="L1" s="270"/>
      <c r="M1" s="270"/>
      <c r="N1" s="270"/>
      <c r="O1" s="270"/>
      <c r="P1" s="270"/>
    </row>
    <row r="2" spans="1:17" x14ac:dyDescent="0.25">
      <c r="A2" s="273" t="s">
        <v>206</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308"/>
      <c r="L3" s="308"/>
      <c r="M3" s="308"/>
      <c r="N3" s="308"/>
      <c r="O3" s="308"/>
      <c r="P3" s="308"/>
    </row>
    <row r="4" spans="1:17" x14ac:dyDescent="0.25">
      <c r="A4" s="131" t="str" cm="1">
        <f t="array" ref="A4:B19">nabla.f.Amortiseλ()</f>
        <v>FUNCTION:</v>
      </c>
      <c r="B4" t="str">
        <v>Amortiseλ( Principals, APRs, Terms, StartDates, [Timeline])</v>
      </c>
      <c r="K4" s="308"/>
      <c r="L4" s="308"/>
      <c r="M4" s="308"/>
      <c r="N4" s="308"/>
      <c r="O4" s="308"/>
      <c r="P4" s="308"/>
    </row>
    <row r="5" spans="1:17" x14ac:dyDescent="0.25">
      <c r="A5" t="str">
        <v>DESCRIPTION:</v>
      </c>
      <c r="B5" t="str">
        <v>Creates an amortisation schedule array for one or more loans.</v>
      </c>
      <c r="K5" s="308"/>
      <c r="L5" s="308"/>
      <c r="M5" s="308"/>
      <c r="N5" s="308"/>
      <c r="O5" s="308"/>
      <c r="P5" s="308"/>
    </row>
    <row r="6" spans="1:17" x14ac:dyDescent="0.25">
      <c r="A6" t="str">
        <v/>
      </c>
      <c r="B6" t="str">
        <v>It assumes all payments are made monthly.</v>
      </c>
      <c r="K6" s="308"/>
      <c r="L6" s="308"/>
      <c r="M6" s="308"/>
      <c r="N6" s="308"/>
      <c r="O6" s="308"/>
      <c r="P6" s="308"/>
    </row>
    <row r="7" spans="1:17" x14ac:dyDescent="0.25">
      <c r="A7" t="str">
        <v/>
      </c>
      <c r="B7" t="str">
        <v>Use LableAmortiseλ() to apply labels to this function's results:</v>
      </c>
      <c r="K7" s="308"/>
      <c r="L7" s="308"/>
      <c r="M7" s="308"/>
      <c r="N7" s="308"/>
      <c r="O7" s="308"/>
      <c r="P7" s="308"/>
    </row>
    <row r="8" spans="1:17" x14ac:dyDescent="0.25">
      <c r="A8" t="str">
        <v/>
      </c>
      <c r="B8" t="str">
        <v>Use SumAmortiseλ() to apply totals to this function's results:</v>
      </c>
      <c r="K8" s="308"/>
      <c r="L8" s="308"/>
      <c r="M8" s="308"/>
      <c r="N8" s="308"/>
      <c r="O8" s="308"/>
      <c r="P8" s="308"/>
    </row>
    <row r="9" spans="1:17" x14ac:dyDescent="0.25">
      <c r="A9" t="str">
        <v>WEBPAGE:</v>
      </c>
      <c r="B9" t="str">
        <v>https://github.com/ryanduguid/Nabla</v>
      </c>
      <c r="K9" s="308"/>
      <c r="L9" s="308"/>
      <c r="M9" s="308"/>
      <c r="N9" s="308"/>
      <c r="O9" s="308"/>
      <c r="P9" s="308"/>
    </row>
    <row r="10" spans="1:17" x14ac:dyDescent="0.25">
      <c r="A10" t="str">
        <v>VERSION:</v>
      </c>
      <c r="B10" t="str">
        <v>18 Aug 2026</v>
      </c>
      <c r="K10" s="308"/>
      <c r="L10" s="308"/>
      <c r="M10" s="308"/>
      <c r="N10" s="308"/>
      <c r="O10" s="308"/>
      <c r="P10" s="308"/>
    </row>
    <row r="11" spans="1:17" x14ac:dyDescent="0.25">
      <c r="A11" t="str">
        <v>PARAMETERS:</v>
      </c>
      <c r="B11" t="str">
        <v/>
      </c>
      <c r="K11" s="308"/>
      <c r="L11" s="308"/>
      <c r="M11" s="308"/>
      <c r="N11" s="308"/>
      <c r="O11" s="308"/>
      <c r="P11" s="308"/>
    </row>
    <row r="12" spans="1:17" x14ac:dyDescent="0.25">
      <c r="A12" t="str">
        <v>Principals</v>
      </c>
      <c r="B12" t="str">
        <v>(Required) Loan/debt amounts.</v>
      </c>
      <c r="K12" s="308"/>
      <c r="L12" s="308"/>
      <c r="M12" s="308"/>
      <c r="N12" s="308"/>
      <c r="O12" s="308"/>
      <c r="P12" s="308"/>
    </row>
    <row r="13" spans="1:17" x14ac:dyDescent="0.25">
      <c r="A13" t="str">
        <v>APRs</v>
      </c>
      <c r="B13" t="str">
        <v>(Required) Annual Percentage Rates for interest.</v>
      </c>
      <c r="K13" s="308"/>
      <c r="L13" s="308"/>
      <c r="M13" s="308"/>
      <c r="N13" s="308"/>
      <c r="O13" s="308"/>
      <c r="P13" s="308"/>
    </row>
    <row r="14" spans="1:17" x14ac:dyDescent="0.25">
      <c r="A14" t="str">
        <v>Terms</v>
      </c>
      <c r="B14" t="str">
        <v>(Required) Number of months for loans/debts.</v>
      </c>
      <c r="K14" s="308"/>
      <c r="L14" s="308"/>
      <c r="M14" s="308"/>
      <c r="N14" s="308"/>
      <c r="O14" s="308"/>
      <c r="P14" s="308"/>
    </row>
    <row r="15" spans="1:17" x14ac:dyDescent="0.25">
      <c r="A15" t="str">
        <v>StartDates</v>
      </c>
      <c r="B15" t="str">
        <v>(Required) Dates debts are issued.</v>
      </c>
      <c r="K15" s="308"/>
      <c r="L15" s="308"/>
      <c r="M15" s="308"/>
      <c r="N15" s="308"/>
      <c r="O15" s="308"/>
      <c r="P15" s="308"/>
    </row>
    <row r="16" spans="1:17" x14ac:dyDescent="0.25">
      <c r="A16" t="str">
        <v>Timeline</v>
      </c>
      <c r="B16" t="str">
        <v>(Optional) An array of dates. If omitted, a row of months starting on start date will be added</v>
      </c>
    </row>
    <row r="17" spans="1:127" x14ac:dyDescent="0.25">
      <c r="A17" t="str">
        <v>EXAMPLES:</v>
      </c>
      <c r="B17" t="str">
        <v/>
      </c>
    </row>
    <row r="18" spans="1:127" x14ac:dyDescent="0.25">
      <c r="A18" t="str">
        <v>Result</v>
      </c>
      <c r="B18" t="str">
        <v>Formula (nabla.f is assumed to be the module's name)</v>
      </c>
    </row>
    <row r="19" spans="1:127" x14ac:dyDescent="0.25">
      <c r="A19" t="str">
        <v/>
      </c>
      <c r="B19" t="str">
        <v>=nabla.f.Amortiseλ(10000, 5%, 4 * 12, "2025-01-01")</v>
      </c>
    </row>
    <row r="21" spans="1:127" ht="20.25" x14ac:dyDescent="0.3">
      <c r="A21" s="299" t="s">
        <v>317</v>
      </c>
      <c r="B21" s="303"/>
      <c r="C21" s="303"/>
      <c r="D21" s="303"/>
      <c r="E21" s="303"/>
    </row>
    <row r="22" spans="1:127" x14ac:dyDescent="0.25">
      <c r="A22" s="301"/>
      <c r="B22" s="300"/>
      <c r="C22" s="300"/>
      <c r="D22" s="300"/>
      <c r="E22" s="300"/>
      <c r="G22" s="185" t="s">
        <v>142</v>
      </c>
      <c r="H22" s="124" t="s">
        <v>24</v>
      </c>
    </row>
    <row r="23" spans="1:127" x14ac:dyDescent="0.25">
      <c r="A23" s="172" t="s">
        <v>131</v>
      </c>
      <c r="B23" s="188" t="s">
        <v>285</v>
      </c>
      <c r="C23" s="188" t="s">
        <v>286</v>
      </c>
      <c r="D23" s="188" t="s">
        <v>287</v>
      </c>
      <c r="E23" s="188" t="s">
        <v>288</v>
      </c>
      <c r="F23" s="174"/>
      <c r="G23" s="228" t="s">
        <v>321</v>
      </c>
      <c r="H23" s="257" t="s">
        <v>289</v>
      </c>
      <c r="I23" s="1" cm="1">
        <f t="array" ref="I23:W23">nabla.d.Timelineλ("1/1/2026", 15 * _xlfn.SWITCH(H22, "M", 12, "Q", 4, "Y", 1), H22)</f>
        <v>45292</v>
      </c>
      <c r="J23" s="1">
        <v>46388</v>
      </c>
      <c r="K23" s="1">
        <v>46753</v>
      </c>
      <c r="L23" s="1">
        <v>47119</v>
      </c>
      <c r="M23" s="1">
        <v>47484</v>
      </c>
      <c r="N23" s="1">
        <v>47849</v>
      </c>
      <c r="O23" s="1">
        <v>48214</v>
      </c>
      <c r="P23" s="1">
        <v>48580</v>
      </c>
      <c r="Q23" s="1">
        <v>48945</v>
      </c>
      <c r="R23" s="1">
        <v>49310</v>
      </c>
      <c r="S23" s="1">
        <v>49675</v>
      </c>
      <c r="T23" s="1">
        <v>50041</v>
      </c>
      <c r="U23" s="1">
        <v>50406</v>
      </c>
      <c r="V23" s="1">
        <v>50771</v>
      </c>
      <c r="W23" s="1">
        <v>51136</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row>
    <row r="24" spans="1:127" x14ac:dyDescent="0.25">
      <c r="A24" s="189" t="s">
        <v>290</v>
      </c>
      <c r="B24" s="178">
        <v>50000</v>
      </c>
      <c r="C24" s="179">
        <v>7.0000000000000007E-2</v>
      </c>
      <c r="D24" s="180">
        <v>10</v>
      </c>
      <c r="E24" s="181">
        <v>46082</v>
      </c>
      <c r="G24" s="182" t="str" cm="1">
        <f t="array" ref="G24:G43">nabla.f.LabelAmortiseλ(tblLoans[Description])</f>
        <v>Renovation Debt Issuance</v>
      </c>
      <c r="H24" s="186" cm="1">
        <f t="array" ref="H24:H43">nabla.f.SumAmortiseλ(_xlfn.ANCHORARRAY(I24))</f>
        <v>0</v>
      </c>
      <c r="I24" s="187" cm="1">
        <f t="array" ref="I24:W43">nabla.f.Amortiseλ(tblLoans[Principal],tblLoans[APR],tblLoans[Term],tblLoans[Start Date],_xlfn.ANCHORARRAY( I23))</f>
        <v>0</v>
      </c>
      <c r="J24" s="186">
        <v>0</v>
      </c>
      <c r="K24" s="186">
        <v>0</v>
      </c>
      <c r="L24" s="186">
        <v>0</v>
      </c>
      <c r="M24" s="186">
        <v>0</v>
      </c>
      <c r="N24" s="186">
        <v>0</v>
      </c>
      <c r="O24" s="186">
        <v>0</v>
      </c>
      <c r="P24" s="186">
        <v>0</v>
      </c>
      <c r="Q24" s="186">
        <v>0</v>
      </c>
      <c r="R24" s="186">
        <v>0</v>
      </c>
      <c r="S24" s="186">
        <v>0</v>
      </c>
      <c r="T24" s="186">
        <v>0</v>
      </c>
      <c r="U24" s="186">
        <v>0</v>
      </c>
      <c r="V24" s="186">
        <v>0</v>
      </c>
      <c r="W24" s="148">
        <v>0</v>
      </c>
      <c r="X24" s="148"/>
      <c r="Y24" s="148"/>
      <c r="Z24" s="148"/>
      <c r="AA24" s="148"/>
      <c r="AB24" s="148"/>
      <c r="AC24" s="148"/>
      <c r="AD24" s="148"/>
      <c r="AE24" s="148"/>
      <c r="AF24" s="148"/>
      <c r="AG24" s="148"/>
      <c r="AH24" s="148"/>
      <c r="AI24" s="148"/>
      <c r="AJ24" s="148"/>
      <c r="AK24" s="148"/>
      <c r="AL24" s="148"/>
      <c r="AM24" s="148"/>
      <c r="AN24" s="148"/>
      <c r="AO24" s="148"/>
      <c r="AP24" s="148"/>
      <c r="AQ24" s="148"/>
      <c r="AR24" s="148"/>
      <c r="AS24" s="148"/>
      <c r="AT24" s="148"/>
      <c r="AU24" s="148"/>
      <c r="AV24" s="148"/>
      <c r="AW24" s="148"/>
      <c r="AX24" s="148"/>
      <c r="AY24" s="148"/>
      <c r="AZ24" s="148"/>
      <c r="BA24" s="148"/>
      <c r="BB24" s="148"/>
      <c r="BC24" s="148"/>
      <c r="BD24" s="148"/>
      <c r="BE24" s="148"/>
      <c r="BF24" s="148"/>
      <c r="BG24" s="148"/>
      <c r="BH24" s="148"/>
      <c r="BI24" s="148"/>
      <c r="BJ24" s="148"/>
      <c r="BK24" s="148"/>
      <c r="BL24" s="148"/>
      <c r="BM24" s="148"/>
      <c r="BN24" s="148"/>
      <c r="BO24" s="148"/>
      <c r="BP24" s="148"/>
      <c r="BQ24" s="148"/>
      <c r="BR24" s="148"/>
      <c r="BS24" s="148"/>
      <c r="BT24" s="148"/>
      <c r="BU24" s="148"/>
      <c r="BV24" s="148"/>
      <c r="BW24" s="148"/>
      <c r="BX24" s="148"/>
      <c r="BY24" s="148"/>
      <c r="BZ24" s="148"/>
      <c r="CA24" s="148"/>
    </row>
    <row r="25" spans="1:127" x14ac:dyDescent="0.25">
      <c r="A25" s="189" t="s">
        <v>291</v>
      </c>
      <c r="B25" s="178">
        <v>45000</v>
      </c>
      <c r="C25" s="179">
        <v>6.5000000000000002E-2</v>
      </c>
      <c r="D25" s="180">
        <v>10</v>
      </c>
      <c r="E25" s="181">
        <v>46023</v>
      </c>
      <c r="G25" s="182" t="str">
        <v>Renovation Debt Balance</v>
      </c>
      <c r="H25" s="186">
        <v>0</v>
      </c>
      <c r="I25" s="186">
        <v>0</v>
      </c>
      <c r="J25" s="186">
        <v>0</v>
      </c>
      <c r="K25" s="186">
        <v>0</v>
      </c>
      <c r="L25" s="186">
        <v>0</v>
      </c>
      <c r="M25" s="186">
        <v>0</v>
      </c>
      <c r="N25" s="186">
        <v>0</v>
      </c>
      <c r="O25" s="186">
        <v>0</v>
      </c>
      <c r="P25" s="186">
        <v>0</v>
      </c>
      <c r="Q25" s="186">
        <v>0</v>
      </c>
      <c r="R25" s="186">
        <v>0</v>
      </c>
      <c r="S25" s="186">
        <v>0</v>
      </c>
      <c r="T25" s="186">
        <v>0</v>
      </c>
      <c r="U25" s="186">
        <v>0</v>
      </c>
      <c r="V25" s="186">
        <v>0</v>
      </c>
      <c r="W25" s="148">
        <v>0</v>
      </c>
      <c r="X25" s="148"/>
      <c r="Y25" s="148"/>
      <c r="Z25" s="148"/>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48"/>
      <c r="AX25" s="148"/>
      <c r="AY25" s="148"/>
      <c r="AZ25" s="148"/>
      <c r="BA25" s="148"/>
      <c r="BB25" s="148"/>
      <c r="BC25" s="148"/>
      <c r="BD25" s="148"/>
      <c r="BE25" s="148"/>
      <c r="BF25" s="148"/>
      <c r="BG25" s="148"/>
      <c r="BH25" s="148"/>
      <c r="BI25" s="148"/>
      <c r="BJ25" s="148"/>
      <c r="BK25" s="148"/>
      <c r="BL25" s="148"/>
      <c r="BM25" s="148"/>
      <c r="BN25" s="148"/>
      <c r="BO25" s="148"/>
      <c r="BP25" s="148"/>
      <c r="BQ25" s="148"/>
      <c r="BR25" s="148"/>
      <c r="BS25" s="148"/>
      <c r="BT25" s="148"/>
      <c r="BU25" s="148"/>
      <c r="BV25" s="148"/>
      <c r="BW25" s="148"/>
      <c r="BX25" s="148"/>
      <c r="BY25" s="148"/>
      <c r="BZ25" s="148"/>
      <c r="CA25" s="148"/>
    </row>
    <row r="26" spans="1:127" x14ac:dyDescent="0.25">
      <c r="A26" s="189" t="s">
        <v>292</v>
      </c>
      <c r="B26" s="178">
        <v>500000</v>
      </c>
      <c r="C26" s="179">
        <v>0.08</v>
      </c>
      <c r="D26" s="180">
        <v>30</v>
      </c>
      <c r="E26" s="181">
        <v>46388</v>
      </c>
      <c r="G26" s="182" t="str">
        <v>Renovation Interest</v>
      </c>
      <c r="H26" s="186">
        <v>0</v>
      </c>
      <c r="I26" s="186">
        <v>0</v>
      </c>
      <c r="J26" s="186">
        <v>0</v>
      </c>
      <c r="K26" s="186">
        <v>0</v>
      </c>
      <c r="L26" s="186">
        <v>0</v>
      </c>
      <c r="M26" s="186">
        <v>0</v>
      </c>
      <c r="N26" s="186">
        <v>0</v>
      </c>
      <c r="O26" s="186">
        <v>0</v>
      </c>
      <c r="P26" s="186">
        <v>0</v>
      </c>
      <c r="Q26" s="186">
        <v>0</v>
      </c>
      <c r="R26" s="186">
        <v>0</v>
      </c>
      <c r="S26" s="186">
        <v>0</v>
      </c>
      <c r="T26" s="186">
        <v>0</v>
      </c>
      <c r="U26" s="186">
        <v>0</v>
      </c>
      <c r="V26" s="186">
        <v>0</v>
      </c>
      <c r="W26" s="148">
        <v>0</v>
      </c>
      <c r="X26" s="148"/>
      <c r="Y26" s="148"/>
      <c r="Z26" s="148"/>
      <c r="AA26" s="148"/>
      <c r="AB26" s="148"/>
      <c r="AC26" s="148"/>
      <c r="AD26" s="148"/>
      <c r="AE26" s="148"/>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c r="BD26" s="148"/>
      <c r="BE26" s="148"/>
      <c r="BF26" s="148"/>
      <c r="BG26" s="148"/>
      <c r="BH26" s="148"/>
      <c r="BI26" s="148"/>
      <c r="BJ26" s="148"/>
      <c r="BK26" s="148"/>
      <c r="BL26" s="148"/>
      <c r="BM26" s="148"/>
      <c r="BN26" s="148"/>
      <c r="BO26" s="148"/>
      <c r="BP26" s="148"/>
      <c r="BQ26" s="148"/>
      <c r="BR26" s="148"/>
      <c r="BS26" s="148"/>
      <c r="BT26" s="148"/>
      <c r="BU26" s="148"/>
      <c r="BV26" s="148"/>
      <c r="BW26" s="148"/>
      <c r="BX26" s="148"/>
      <c r="BY26" s="148"/>
      <c r="BZ26" s="148"/>
      <c r="CA26" s="148"/>
    </row>
    <row r="27" spans="1:127" x14ac:dyDescent="0.25">
      <c r="G27" s="182" t="str">
        <v>Renovation Debt Services</v>
      </c>
      <c r="H27" s="186">
        <v>0</v>
      </c>
      <c r="I27" s="186">
        <v>0</v>
      </c>
      <c r="J27" s="186">
        <v>0</v>
      </c>
      <c r="K27" s="186">
        <v>0</v>
      </c>
      <c r="L27" s="186">
        <v>0</v>
      </c>
      <c r="M27" s="186">
        <v>0</v>
      </c>
      <c r="N27" s="186">
        <v>0</v>
      </c>
      <c r="O27" s="186">
        <v>0</v>
      </c>
      <c r="P27" s="186">
        <v>0</v>
      </c>
      <c r="Q27" s="186">
        <v>0</v>
      </c>
      <c r="R27" s="186">
        <v>0</v>
      </c>
      <c r="S27" s="186">
        <v>0</v>
      </c>
      <c r="T27" s="186">
        <v>0</v>
      </c>
      <c r="U27" s="186">
        <v>0</v>
      </c>
      <c r="V27" s="186">
        <v>0</v>
      </c>
      <c r="W27" s="148">
        <v>0</v>
      </c>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8"/>
      <c r="AX27" s="148"/>
      <c r="AY27" s="148"/>
      <c r="AZ27" s="148"/>
      <c r="BA27" s="148"/>
      <c r="BB27" s="148"/>
      <c r="BC27" s="148"/>
      <c r="BD27" s="148"/>
      <c r="BE27" s="148"/>
      <c r="BF27" s="148"/>
      <c r="BG27" s="148"/>
      <c r="BH27" s="148"/>
      <c r="BI27" s="148"/>
      <c r="BJ27" s="148"/>
      <c r="BK27" s="148"/>
      <c r="BL27" s="148"/>
      <c r="BM27" s="148"/>
      <c r="BN27" s="148"/>
      <c r="BO27" s="148"/>
      <c r="BP27" s="148"/>
      <c r="BQ27" s="148"/>
      <c r="BR27" s="148"/>
      <c r="BS27" s="148"/>
      <c r="BT27" s="148"/>
      <c r="BU27" s="148"/>
      <c r="BV27" s="148"/>
      <c r="BW27" s="148"/>
      <c r="BX27" s="148"/>
      <c r="BY27" s="148"/>
      <c r="BZ27" s="148"/>
      <c r="CA27" s="148"/>
    </row>
    <row r="28" spans="1:127" x14ac:dyDescent="0.25">
      <c r="G28" s="182" t="str">
        <v>Renovation Closing Balance</v>
      </c>
      <c r="H28" s="186">
        <v>0</v>
      </c>
      <c r="I28" s="186">
        <v>0</v>
      </c>
      <c r="J28" s="186">
        <v>0</v>
      </c>
      <c r="K28" s="186">
        <v>0</v>
      </c>
      <c r="L28" s="186">
        <v>0</v>
      </c>
      <c r="M28" s="186">
        <v>0</v>
      </c>
      <c r="N28" s="186">
        <v>0</v>
      </c>
      <c r="O28" s="186">
        <v>0</v>
      </c>
      <c r="P28" s="186">
        <v>0</v>
      </c>
      <c r="Q28" s="186">
        <v>0</v>
      </c>
      <c r="R28" s="186">
        <v>0</v>
      </c>
      <c r="S28" s="186">
        <v>0</v>
      </c>
      <c r="T28" s="186">
        <v>0</v>
      </c>
      <c r="U28" s="186">
        <v>0</v>
      </c>
      <c r="V28" s="186">
        <v>0</v>
      </c>
      <c r="W28" s="148">
        <v>0</v>
      </c>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row>
    <row r="29" spans="1:127" x14ac:dyDescent="0.25">
      <c r="G29" s="182" t="str">
        <v>Renovation Debt Repayment</v>
      </c>
      <c r="H29" s="186">
        <v>0</v>
      </c>
      <c r="I29" s="186">
        <v>0</v>
      </c>
      <c r="J29" s="186">
        <v>0</v>
      </c>
      <c r="K29" s="186">
        <v>0</v>
      </c>
      <c r="L29" s="186">
        <v>0</v>
      </c>
      <c r="M29" s="186">
        <v>0</v>
      </c>
      <c r="N29" s="186">
        <v>0</v>
      </c>
      <c r="O29" s="186">
        <v>0</v>
      </c>
      <c r="P29" s="186">
        <v>0</v>
      </c>
      <c r="Q29" s="186">
        <v>0</v>
      </c>
      <c r="R29" s="186">
        <v>0</v>
      </c>
      <c r="S29" s="186">
        <v>0</v>
      </c>
      <c r="T29" s="186">
        <v>0</v>
      </c>
      <c r="U29" s="186">
        <v>0</v>
      </c>
      <c r="V29" s="186">
        <v>0</v>
      </c>
      <c r="W29" s="148">
        <v>0</v>
      </c>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c r="BP29" s="148"/>
      <c r="BQ29" s="148"/>
      <c r="BR29" s="148"/>
      <c r="BS29" s="148"/>
      <c r="BT29" s="148"/>
      <c r="BU29" s="148"/>
      <c r="BV29" s="148"/>
      <c r="BW29" s="148"/>
      <c r="BX29" s="148"/>
      <c r="BY29" s="148"/>
      <c r="BZ29" s="148"/>
      <c r="CA29" s="148"/>
    </row>
    <row r="30" spans="1:127" x14ac:dyDescent="0.25">
      <c r="G30" s="182" t="str">
        <v/>
      </c>
      <c r="H30" s="186">
        <v>0</v>
      </c>
      <c r="I30" s="186" t="str">
        <v xml:space="preserve"> </v>
      </c>
      <c r="J30" s="186" t="str">
        <v xml:space="preserve"> </v>
      </c>
      <c r="K30" s="186" t="str">
        <v xml:space="preserve"> </v>
      </c>
      <c r="L30" s="186" t="str">
        <v xml:space="preserve"> </v>
      </c>
      <c r="M30" s="186" t="str">
        <v xml:space="preserve"> </v>
      </c>
      <c r="N30" s="186" t="str">
        <v xml:space="preserve"> </v>
      </c>
      <c r="O30" s="186" t="str">
        <v xml:space="preserve"> </v>
      </c>
      <c r="P30" s="186" t="str">
        <v xml:space="preserve"> </v>
      </c>
      <c r="Q30" s="186" t="str">
        <v xml:space="preserve"> </v>
      </c>
      <c r="R30" s="186" t="str">
        <v xml:space="preserve"> </v>
      </c>
      <c r="S30" s="186" t="str">
        <v xml:space="preserve"> </v>
      </c>
      <c r="T30" s="186" t="str">
        <v xml:space="preserve"> </v>
      </c>
      <c r="U30" s="186" t="str">
        <v xml:space="preserve"> </v>
      </c>
      <c r="V30" s="186" t="str">
        <v xml:space="preserve"> </v>
      </c>
      <c r="W30" s="148" t="str">
        <v xml:space="preserve"> </v>
      </c>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148"/>
      <c r="BR30" s="148"/>
      <c r="BS30" s="148"/>
      <c r="BT30" s="148"/>
      <c r="BU30" s="148"/>
      <c r="BV30" s="148"/>
      <c r="BW30" s="148"/>
      <c r="BX30" s="148"/>
      <c r="BY30" s="148"/>
      <c r="BZ30" s="148"/>
      <c r="CA30" s="148"/>
    </row>
    <row r="31" spans="1:127" x14ac:dyDescent="0.25">
      <c r="G31" s="182" t="str">
        <v>New sign Debt Issuance</v>
      </c>
      <c r="H31" s="186">
        <v>0</v>
      </c>
      <c r="I31" s="186">
        <v>45000</v>
      </c>
      <c r="J31" s="186">
        <v>0</v>
      </c>
      <c r="K31" s="186">
        <v>0</v>
      </c>
      <c r="L31" s="186">
        <v>0</v>
      </c>
      <c r="M31" s="186">
        <v>0</v>
      </c>
      <c r="N31" s="186">
        <v>0</v>
      </c>
      <c r="O31" s="186">
        <v>0</v>
      </c>
      <c r="P31" s="186">
        <v>0</v>
      </c>
      <c r="Q31" s="186">
        <v>0</v>
      </c>
      <c r="R31" s="186">
        <v>0</v>
      </c>
      <c r="S31" s="186">
        <v>0</v>
      </c>
      <c r="T31" s="186">
        <v>0</v>
      </c>
      <c r="U31" s="186">
        <v>0</v>
      </c>
      <c r="V31" s="186">
        <v>0</v>
      </c>
      <c r="W31" s="148">
        <v>0</v>
      </c>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c r="BD31" s="148"/>
      <c r="BE31" s="148"/>
      <c r="BF31" s="148"/>
      <c r="BG31" s="148"/>
      <c r="BH31" s="148"/>
      <c r="BI31" s="148"/>
      <c r="BJ31" s="148"/>
      <c r="BK31" s="148"/>
      <c r="BL31" s="148"/>
      <c r="BM31" s="148"/>
      <c r="BN31" s="148"/>
      <c r="BO31" s="148"/>
      <c r="BP31" s="148"/>
      <c r="BQ31" s="148"/>
      <c r="BR31" s="148"/>
      <c r="BS31" s="148"/>
      <c r="BT31" s="148"/>
      <c r="BU31" s="148"/>
      <c r="BV31" s="148"/>
      <c r="BW31" s="148"/>
      <c r="BX31" s="148"/>
      <c r="BY31" s="148"/>
      <c r="BZ31" s="148"/>
      <c r="CA31" s="148"/>
    </row>
    <row r="32" spans="1:127" x14ac:dyDescent="0.25">
      <c r="G32" s="182" t="str">
        <v>New sign Debt Balance</v>
      </c>
      <c r="H32" s="186">
        <v>0</v>
      </c>
      <c r="I32" s="186">
        <v>45000</v>
      </c>
      <c r="J32" s="186">
        <v>0</v>
      </c>
      <c r="K32" s="186">
        <v>0</v>
      </c>
      <c r="L32" s="186">
        <v>0</v>
      </c>
      <c r="M32" s="186">
        <v>0</v>
      </c>
      <c r="N32" s="186">
        <v>0</v>
      </c>
      <c r="O32" s="186">
        <v>0</v>
      </c>
      <c r="P32" s="186">
        <v>0</v>
      </c>
      <c r="Q32" s="186">
        <v>0</v>
      </c>
      <c r="R32" s="186">
        <v>0</v>
      </c>
      <c r="S32" s="186">
        <v>0</v>
      </c>
      <c r="T32" s="186">
        <v>0</v>
      </c>
      <c r="U32" s="186">
        <v>0</v>
      </c>
      <c r="V32" s="186">
        <v>0</v>
      </c>
      <c r="W32" s="148">
        <v>0</v>
      </c>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8"/>
      <c r="BN32" s="148"/>
      <c r="BO32" s="148"/>
      <c r="BP32" s="148"/>
      <c r="BQ32" s="148"/>
      <c r="BR32" s="148"/>
      <c r="BS32" s="148"/>
      <c r="BT32" s="148"/>
      <c r="BU32" s="148"/>
      <c r="BV32" s="148"/>
      <c r="BW32" s="148"/>
      <c r="BX32" s="148"/>
      <c r="BY32" s="148"/>
      <c r="BZ32" s="148"/>
      <c r="CA32" s="148"/>
    </row>
    <row r="33" spans="7:79" x14ac:dyDescent="0.25">
      <c r="G33" s="182" t="str">
        <v>New sign Interest</v>
      </c>
      <c r="H33" s="186">
        <v>1351.4876498941551</v>
      </c>
      <c r="I33" s="186">
        <v>1351.4876498941551</v>
      </c>
      <c r="J33" s="186">
        <v>0</v>
      </c>
      <c r="K33" s="186">
        <v>0</v>
      </c>
      <c r="L33" s="186">
        <v>0</v>
      </c>
      <c r="M33" s="186">
        <v>0</v>
      </c>
      <c r="N33" s="186">
        <v>0</v>
      </c>
      <c r="O33" s="186">
        <v>0</v>
      </c>
      <c r="P33" s="186">
        <v>0</v>
      </c>
      <c r="Q33" s="186">
        <v>0</v>
      </c>
      <c r="R33" s="186">
        <v>0</v>
      </c>
      <c r="S33" s="186">
        <v>0</v>
      </c>
      <c r="T33" s="186">
        <v>0</v>
      </c>
      <c r="U33" s="186">
        <v>0</v>
      </c>
      <c r="V33" s="186">
        <v>0</v>
      </c>
      <c r="W33" s="148">
        <v>0</v>
      </c>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row>
    <row r="34" spans="7:79" x14ac:dyDescent="0.25">
      <c r="G34" s="182" t="str">
        <v>New sign Debt Services</v>
      </c>
      <c r="H34" s="186">
        <v>-46351.487649894138</v>
      </c>
      <c r="I34" s="186">
        <v>-46351.487649894138</v>
      </c>
      <c r="J34" s="186">
        <v>0</v>
      </c>
      <c r="K34" s="186">
        <v>0</v>
      </c>
      <c r="L34" s="186">
        <v>0</v>
      </c>
      <c r="M34" s="186">
        <v>0</v>
      </c>
      <c r="N34" s="186">
        <v>0</v>
      </c>
      <c r="O34" s="186">
        <v>0</v>
      </c>
      <c r="P34" s="186">
        <v>0</v>
      </c>
      <c r="Q34" s="186">
        <v>0</v>
      </c>
      <c r="R34" s="186">
        <v>0</v>
      </c>
      <c r="S34" s="186">
        <v>0</v>
      </c>
      <c r="T34" s="186">
        <v>0</v>
      </c>
      <c r="U34" s="186">
        <v>0</v>
      </c>
      <c r="V34" s="186">
        <v>0</v>
      </c>
      <c r="W34" s="148">
        <v>0</v>
      </c>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row>
    <row r="35" spans="7:79" x14ac:dyDescent="0.25">
      <c r="G35" s="183" t="str">
        <v>New sign Closing Balance</v>
      </c>
      <c r="H35" s="186">
        <v>0</v>
      </c>
      <c r="I35" s="186">
        <v>1.4551915228366852E-11</v>
      </c>
      <c r="J35" s="186">
        <v>0</v>
      </c>
      <c r="K35" s="186">
        <v>0</v>
      </c>
      <c r="L35" s="186">
        <v>0</v>
      </c>
      <c r="M35" s="186">
        <v>0</v>
      </c>
      <c r="N35" s="186">
        <v>0</v>
      </c>
      <c r="O35" s="186">
        <v>0</v>
      </c>
      <c r="P35" s="186">
        <v>0</v>
      </c>
      <c r="Q35" s="186">
        <v>0</v>
      </c>
      <c r="R35" s="186">
        <v>0</v>
      </c>
      <c r="S35" s="186">
        <v>0</v>
      </c>
      <c r="T35" s="186">
        <v>0</v>
      </c>
      <c r="U35" s="186">
        <v>0</v>
      </c>
      <c r="V35" s="186">
        <v>0</v>
      </c>
      <c r="W35">
        <v>0</v>
      </c>
    </row>
    <row r="36" spans="7:79" x14ac:dyDescent="0.25">
      <c r="G36" s="183" t="str">
        <v>New sign Debt Repayment</v>
      </c>
      <c r="H36" s="186">
        <v>44999.999999999985</v>
      </c>
      <c r="I36" s="186">
        <v>44999.999999999985</v>
      </c>
      <c r="J36" s="186">
        <v>0</v>
      </c>
      <c r="K36" s="186">
        <v>0</v>
      </c>
      <c r="L36" s="186">
        <v>0</v>
      </c>
      <c r="M36" s="186">
        <v>0</v>
      </c>
      <c r="N36" s="186">
        <v>0</v>
      </c>
      <c r="O36" s="186">
        <v>0</v>
      </c>
      <c r="P36" s="186">
        <v>0</v>
      </c>
      <c r="Q36" s="186">
        <v>0</v>
      </c>
      <c r="R36" s="186">
        <v>0</v>
      </c>
      <c r="S36" s="186">
        <v>0</v>
      </c>
      <c r="T36" s="186">
        <v>0</v>
      </c>
      <c r="U36" s="186">
        <v>0</v>
      </c>
      <c r="V36" s="186">
        <v>0</v>
      </c>
      <c r="W36">
        <v>0</v>
      </c>
    </row>
    <row r="37" spans="7:79" x14ac:dyDescent="0.25">
      <c r="G37" s="183" t="str">
        <v/>
      </c>
      <c r="H37" s="186">
        <v>0</v>
      </c>
      <c r="I37" s="186" t="str">
        <v xml:space="preserve"> </v>
      </c>
      <c r="J37" s="186" t="str">
        <v xml:space="preserve"> </v>
      </c>
      <c r="K37" s="186" t="str">
        <v xml:space="preserve"> </v>
      </c>
      <c r="L37" s="186" t="str">
        <v xml:space="preserve"> </v>
      </c>
      <c r="M37" s="186" t="str">
        <v xml:space="preserve"> </v>
      </c>
      <c r="N37" s="186" t="str">
        <v xml:space="preserve"> </v>
      </c>
      <c r="O37" s="186" t="str">
        <v xml:space="preserve"> </v>
      </c>
      <c r="P37" s="186" t="str">
        <v xml:space="preserve"> </v>
      </c>
      <c r="Q37" s="186" t="str">
        <v xml:space="preserve"> </v>
      </c>
      <c r="R37" s="186" t="str">
        <v xml:space="preserve"> </v>
      </c>
      <c r="S37" s="186" t="str">
        <v xml:space="preserve"> </v>
      </c>
      <c r="T37" s="186" t="str">
        <v xml:space="preserve"> </v>
      </c>
      <c r="U37" s="186" t="str">
        <v xml:space="preserve"> </v>
      </c>
      <c r="V37" s="186" t="str">
        <v xml:space="preserve"> </v>
      </c>
      <c r="W37" t="str">
        <v xml:space="preserve"> </v>
      </c>
    </row>
    <row r="38" spans="7:79" x14ac:dyDescent="0.25">
      <c r="G38" s="183" t="str">
        <v>Parking Lot Debt Issuance</v>
      </c>
      <c r="H38" s="186">
        <v>0</v>
      </c>
      <c r="I38" s="186">
        <v>0</v>
      </c>
      <c r="J38" s="186">
        <v>500000</v>
      </c>
      <c r="K38" s="186">
        <v>0</v>
      </c>
      <c r="L38" s="186">
        <v>0</v>
      </c>
      <c r="M38" s="186">
        <v>0</v>
      </c>
      <c r="N38" s="186">
        <v>0</v>
      </c>
      <c r="O38" s="186">
        <v>0</v>
      </c>
      <c r="P38" s="186">
        <v>0</v>
      </c>
      <c r="Q38" s="186">
        <v>0</v>
      </c>
      <c r="R38" s="186">
        <v>0</v>
      </c>
      <c r="S38" s="186">
        <v>0</v>
      </c>
      <c r="T38" s="186">
        <v>0</v>
      </c>
      <c r="U38" s="186">
        <v>0</v>
      </c>
      <c r="V38" s="186">
        <v>0</v>
      </c>
      <c r="W38">
        <v>0</v>
      </c>
    </row>
    <row r="39" spans="7:79" x14ac:dyDescent="0.25">
      <c r="G39" s="182" t="str">
        <v>Parking Lot Debt Balance</v>
      </c>
      <c r="H39" s="186">
        <v>0</v>
      </c>
      <c r="I39" s="186">
        <v>0</v>
      </c>
      <c r="J39" s="186">
        <v>500000</v>
      </c>
      <c r="K39" s="186">
        <v>311871.30198002694</v>
      </c>
      <c r="L39" s="186">
        <v>108128.01480805682</v>
      </c>
      <c r="M39" s="186">
        <v>0</v>
      </c>
      <c r="N39" s="186">
        <v>0</v>
      </c>
      <c r="O39" s="186">
        <v>0</v>
      </c>
      <c r="P39" s="186">
        <v>0</v>
      </c>
      <c r="Q39" s="186">
        <v>0</v>
      </c>
      <c r="R39" s="186">
        <v>0</v>
      </c>
      <c r="S39" s="186">
        <v>0</v>
      </c>
      <c r="T39" s="186">
        <v>0</v>
      </c>
      <c r="U39" s="186">
        <v>0</v>
      </c>
      <c r="V39" s="186">
        <v>0</v>
      </c>
      <c r="W39">
        <v>0</v>
      </c>
    </row>
    <row r="40" spans="7:79" x14ac:dyDescent="0.25">
      <c r="G40" s="182" t="str">
        <v>Parking Lot Interest</v>
      </c>
      <c r="H40" s="186">
        <v>53324.857595300615</v>
      </c>
      <c r="I40" s="186">
        <v>0</v>
      </c>
      <c r="J40" s="186">
        <v>33201.245018145353</v>
      </c>
      <c r="K40" s="186">
        <v>17586.655866148452</v>
      </c>
      <c r="L40" s="186">
        <v>2536.9567110068115</v>
      </c>
      <c r="M40" s="186">
        <v>0</v>
      </c>
      <c r="N40" s="186">
        <v>0</v>
      </c>
      <c r="O40" s="186">
        <v>0</v>
      </c>
      <c r="P40" s="186">
        <v>0</v>
      </c>
      <c r="Q40" s="186">
        <v>0</v>
      </c>
      <c r="R40" s="186">
        <v>0</v>
      </c>
      <c r="S40" s="186">
        <v>0</v>
      </c>
      <c r="T40" s="186">
        <v>0</v>
      </c>
      <c r="U40" s="186">
        <v>0</v>
      </c>
      <c r="V40" s="186">
        <v>0</v>
      </c>
      <c r="W40">
        <v>0</v>
      </c>
    </row>
    <row r="41" spans="7:79" x14ac:dyDescent="0.25">
      <c r="G41" s="182" t="str">
        <v>Parking Lot Debt Services</v>
      </c>
      <c r="H41">
        <v>-553324.8575953003</v>
      </c>
      <c r="I41">
        <v>0</v>
      </c>
      <c r="J41">
        <v>-221329.94303812014</v>
      </c>
      <c r="K41">
        <v>-221329.94303812014</v>
      </c>
      <c r="L41">
        <v>-110664.97151906005</v>
      </c>
      <c r="M41">
        <v>0</v>
      </c>
      <c r="N41">
        <v>0</v>
      </c>
      <c r="O41">
        <v>0</v>
      </c>
      <c r="P41">
        <v>0</v>
      </c>
      <c r="Q41">
        <v>0</v>
      </c>
      <c r="R41">
        <v>0</v>
      </c>
      <c r="S41">
        <v>0</v>
      </c>
      <c r="T41">
        <v>0</v>
      </c>
      <c r="U41">
        <v>0</v>
      </c>
      <c r="V41">
        <v>0</v>
      </c>
      <c r="W41">
        <v>0</v>
      </c>
    </row>
    <row r="42" spans="7:79" x14ac:dyDescent="0.25">
      <c r="G42" s="184" t="str">
        <v>Parking Lot Closing Balance</v>
      </c>
      <c r="H42">
        <v>0</v>
      </c>
      <c r="I42">
        <v>0</v>
      </c>
      <c r="J42">
        <v>311871.30198002513</v>
      </c>
      <c r="K42">
        <v>108128.01480805528</v>
      </c>
      <c r="L42">
        <v>3.5797711461782455E-9</v>
      </c>
      <c r="M42">
        <v>0</v>
      </c>
      <c r="N42">
        <v>0</v>
      </c>
      <c r="O42">
        <v>0</v>
      </c>
      <c r="P42">
        <v>0</v>
      </c>
      <c r="Q42">
        <v>0</v>
      </c>
      <c r="R42">
        <v>0</v>
      </c>
      <c r="S42">
        <v>0</v>
      </c>
      <c r="T42">
        <v>0</v>
      </c>
      <c r="U42">
        <v>0</v>
      </c>
      <c r="V42">
        <v>0</v>
      </c>
      <c r="W42">
        <v>0</v>
      </c>
    </row>
    <row r="43" spans="7:79" x14ac:dyDescent="0.25">
      <c r="G43" t="str">
        <v>Parking Lot Debt Repayment</v>
      </c>
      <c r="H43">
        <v>499999.99999999977</v>
      </c>
      <c r="I43">
        <v>0</v>
      </c>
      <c r="J43">
        <v>188128.69801997478</v>
      </c>
      <c r="K43">
        <v>203743.28717197169</v>
      </c>
      <c r="L43">
        <v>108128.01480805324</v>
      </c>
      <c r="M43">
        <v>0</v>
      </c>
      <c r="N43">
        <v>0</v>
      </c>
      <c r="O43">
        <v>0</v>
      </c>
      <c r="P43">
        <v>0</v>
      </c>
      <c r="Q43">
        <v>0</v>
      </c>
      <c r="R43">
        <v>0</v>
      </c>
      <c r="S43">
        <v>0</v>
      </c>
      <c r="T43">
        <v>0</v>
      </c>
      <c r="U43">
        <v>0</v>
      </c>
      <c r="V43">
        <v>0</v>
      </c>
      <c r="W43">
        <v>0</v>
      </c>
    </row>
  </sheetData>
  <mergeCells count="5">
    <mergeCell ref="A22:E22"/>
    <mergeCell ref="A1:P1"/>
    <mergeCell ref="A21:E21"/>
    <mergeCell ref="K3:P15"/>
    <mergeCell ref="A2:Q2"/>
  </mergeCells>
  <conditionalFormatting sqref="G28:H28">
    <cfRule type="expression" dxfId="12" priority="1">
      <formula>FIND("Closing",$G28)</formula>
    </cfRule>
  </conditionalFormatting>
  <conditionalFormatting sqref="G24:P27 H24:V40 Q24:CM42 G29:P42">
    <cfRule type="expression" dxfId="11" priority="3">
      <formula>FIND("Closing",$G24)</formula>
    </cfRule>
  </conditionalFormatting>
  <dataValidations count="1">
    <dataValidation type="list" allowBlank="1" showInputMessage="1" showErrorMessage="1" sqref="H22" xr:uid="{8577CEB7-501C-42B9-9C92-DBF922B117BF}">
      <formula1>"M,Q,Y"</formula1>
    </dataValidation>
  </dataValidations>
  <hyperlinks>
    <hyperlink ref="A1" location="'TOC'!$A$1" display="'TOC'!$A$1" xr:uid="{EC8FC494-5368-45AE-B343-A5837D21B3D3}"/>
  </hyperlinks>
  <pageMargins left="0.7" right="0.7" top="0.75" bottom="0.75" header="0.3" footer="0.3"/>
  <customProperties>
    <customPr name="Description" r:id="rId2"/>
  </customProperties>
  <drawing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42B2-7BF6-4F51-A8BD-7CE016DB858C}">
  <sheetPr codeName="Sheet52">
    <tabColor rgb="FF157A5F"/>
  </sheetPr>
  <dimension ref="A1:W43"/>
  <sheetViews>
    <sheetView showGridLines="0" workbookViewId="0">
      <selection activeCell="A1" sqref="A1"/>
    </sheetView>
  </sheetViews>
  <sheetFormatPr defaultRowHeight="15" x14ac:dyDescent="0.25"/>
  <cols>
    <col min="1" max="1" width="12.7109375" bestFit="1" customWidth="1"/>
    <col min="3" max="3" width="6" bestFit="1" customWidth="1"/>
    <col min="4" max="4" width="5.28515625" bestFit="1" customWidth="1"/>
    <col min="5" max="5" width="10" bestFit="1" customWidth="1"/>
    <col min="7" max="7" width="24.42578125" bestFit="1" customWidth="1"/>
    <col min="8" max="8" width="8.5703125" bestFit="1" customWidth="1"/>
    <col min="9" max="23" width="10.140625" bestFit="1" customWidth="1"/>
    <col min="24" max="25" width="8.5703125" customWidth="1"/>
  </cols>
  <sheetData>
    <row r="1" spans="1:18" ht="45.75" x14ac:dyDescent="0.65">
      <c r="A1" s="270" t="str">
        <f>_xlfn.TEXTAFTER(CELL("filename",A1),"]")</f>
        <v>nabla.f.LabelAmortiseλ</v>
      </c>
      <c r="B1" s="270"/>
      <c r="C1" s="270"/>
      <c r="D1" s="270"/>
      <c r="E1" s="270"/>
      <c r="F1" s="270"/>
      <c r="G1" s="270"/>
      <c r="H1" s="270"/>
      <c r="I1" s="270"/>
      <c r="J1" s="270"/>
      <c r="K1" s="270"/>
      <c r="L1" s="270"/>
      <c r="M1" s="270"/>
      <c r="N1" s="270"/>
      <c r="O1" s="270"/>
      <c r="P1" s="270"/>
    </row>
    <row r="2" spans="1:18" x14ac:dyDescent="0.25">
      <c r="A2" s="273" t="s">
        <v>215</v>
      </c>
      <c r="B2" s="274"/>
      <c r="C2" s="274"/>
      <c r="D2" s="274"/>
      <c r="E2" s="274"/>
      <c r="F2" s="274"/>
      <c r="G2" s="274"/>
      <c r="H2" s="274"/>
      <c r="I2" s="274"/>
      <c r="J2" s="274"/>
      <c r="K2" s="274"/>
      <c r="L2" s="274"/>
      <c r="M2" s="274"/>
      <c r="N2" s="274"/>
      <c r="O2" s="274"/>
      <c r="P2" s="274"/>
      <c r="Q2" s="274"/>
      <c r="R2" s="274"/>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5">nabla.f.LabelAmortiseλ()</f>
        <v>FUNCTION:</v>
      </c>
      <c r="B4" t="str">
        <v>LabelAmortiseλ([LoanNames])</v>
      </c>
    </row>
    <row r="5" spans="1:18" x14ac:dyDescent="0.25">
      <c r="A5" t="str">
        <v>DESCRIPTION:</v>
      </c>
      <c r="B5" t="str">
        <v>Create row labels for the amortisation schedule array produced by Amortiseλ</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LoanNames</v>
      </c>
      <c r="B9" t="str">
        <v>(Required) Names or descriptions of each loan in the amortisation schedule produced by Amortiseλ</v>
      </c>
    </row>
    <row r="10" spans="1:18" x14ac:dyDescent="0.25">
      <c r="A10" t="str">
        <v>LoanAmounts</v>
      </c>
      <c r="B10" t="str">
        <v>(Optional) Amount borrowed</v>
      </c>
    </row>
    <row r="11" spans="1:18" x14ac:dyDescent="0.25">
      <c r="A11" t="str">
        <v>LoanAPR</v>
      </c>
      <c r="B11" t="str">
        <v>(Optional) Annual Percentage Interest Rate</v>
      </c>
    </row>
    <row r="12" spans="1:18" x14ac:dyDescent="0.25">
      <c r="A12" t="str">
        <v>LoanTerm</v>
      </c>
      <c r="B12" t="str">
        <v>(Optional) Number of months to repay</v>
      </c>
    </row>
    <row r="13" spans="1:18" x14ac:dyDescent="0.25">
      <c r="A13" t="str">
        <v>EXAMPLES:</v>
      </c>
      <c r="B13" t="str">
        <v/>
      </c>
    </row>
    <row r="14" spans="1:18" x14ac:dyDescent="0.25">
      <c r="A14" t="str">
        <v>Result</v>
      </c>
      <c r="B14" t="str">
        <v>Formula (nabla.f is assumed to be the module's name)</v>
      </c>
    </row>
    <row r="15" spans="1:18" x14ac:dyDescent="0.25">
      <c r="A15" t="str">
        <v/>
      </c>
      <c r="B15" t="str">
        <v>=nabla.f.LabelAmortiseλ(tblLoans[Loan Name])</v>
      </c>
    </row>
    <row r="21" spans="1:23" ht="20.25" x14ac:dyDescent="0.3">
      <c r="A21" s="271" t="s">
        <v>317</v>
      </c>
      <c r="B21" s="272"/>
      <c r="C21" s="272"/>
      <c r="D21" s="272"/>
      <c r="E21" s="272"/>
    </row>
    <row r="22" spans="1:23" x14ac:dyDescent="0.25">
      <c r="G22" s="185" t="s">
        <v>142</v>
      </c>
      <c r="H22" s="124" t="s">
        <v>24</v>
      </c>
    </row>
    <row r="23" spans="1:23" x14ac:dyDescent="0.25">
      <c r="A23" s="211" t="str" cm="1">
        <f t="array" ref="A23:E26">tblLoans[#All]</f>
        <v>Description</v>
      </c>
      <c r="B23" s="212" t="str">
        <v>Principal</v>
      </c>
      <c r="C23" s="212" t="str">
        <v>APR</v>
      </c>
      <c r="D23" s="212" t="str">
        <v>Term</v>
      </c>
      <c r="E23" s="212" t="str">
        <v>Start Date</v>
      </c>
      <c r="G23" s="228" t="s">
        <v>321</v>
      </c>
      <c r="H23" s="115" t="s">
        <v>289</v>
      </c>
      <c r="I23" s="1" cm="1">
        <f t="array" ref="I23:W23">nabla.d.Timelineλ("1/1/2026", 15 * _xlfn.SWITCH(H22, "M", 12, "Q", 4, "Y", 1), H22)</f>
        <v>45292</v>
      </c>
      <c r="J23" s="1">
        <v>46388</v>
      </c>
      <c r="K23" s="1">
        <v>46753</v>
      </c>
      <c r="L23" s="1">
        <v>47119</v>
      </c>
      <c r="M23" s="1">
        <v>47484</v>
      </c>
      <c r="N23" s="1">
        <v>47849</v>
      </c>
      <c r="O23" s="1">
        <v>48214</v>
      </c>
      <c r="P23" s="1">
        <v>48580</v>
      </c>
      <c r="Q23" s="1">
        <v>48945</v>
      </c>
      <c r="R23" s="1">
        <v>49310</v>
      </c>
      <c r="S23" s="1">
        <v>49675</v>
      </c>
      <c r="T23" s="1">
        <v>50041</v>
      </c>
      <c r="U23" s="1">
        <v>50406</v>
      </c>
      <c r="V23" s="1">
        <v>50771</v>
      </c>
      <c r="W23" s="1">
        <v>51136</v>
      </c>
    </row>
    <row r="24" spans="1:23" x14ac:dyDescent="0.25">
      <c r="A24" s="213" t="str">
        <v>Renovation</v>
      </c>
      <c r="B24" s="214">
        <v>50000</v>
      </c>
      <c r="C24" s="215">
        <v>7.0000000000000007E-2</v>
      </c>
      <c r="D24" s="216">
        <v>10</v>
      </c>
      <c r="E24" s="217">
        <v>46082</v>
      </c>
      <c r="G24" s="229" t="str" cm="1">
        <f t="array" ref="G24:G43">nabla.f.LabelAmortiseλ(tblLoans[Description])</f>
        <v>Renovation Debt Issuance</v>
      </c>
      <c r="H24" s="202" cm="1">
        <f t="array" ref="H24:H43">nabla.f.SumAmortiseλ(_xlfn.ANCHORARRAY(I24))</f>
        <v>0</v>
      </c>
      <c r="I24" s="202" cm="1">
        <f t="array" ref="I24:W43">nabla.f.Amortiseλ(tblLoans[Principal],tblLoans[APR],tblLoans[Term],tblLoans[Start Date],_xlfn.ANCHORARRAY( I23))</f>
        <v>0</v>
      </c>
      <c r="J24" s="186">
        <v>0</v>
      </c>
      <c r="K24" s="186">
        <v>0</v>
      </c>
      <c r="L24" s="186">
        <v>0</v>
      </c>
      <c r="M24" s="186">
        <v>0</v>
      </c>
      <c r="N24" s="186">
        <v>0</v>
      </c>
      <c r="O24" s="186">
        <v>0</v>
      </c>
      <c r="P24" s="186">
        <v>0</v>
      </c>
      <c r="Q24" s="186">
        <v>0</v>
      </c>
      <c r="R24" s="186">
        <v>0</v>
      </c>
      <c r="S24" s="186">
        <v>0</v>
      </c>
      <c r="T24" s="186">
        <v>0</v>
      </c>
      <c r="U24" s="186">
        <v>0</v>
      </c>
      <c r="V24" s="186">
        <v>0</v>
      </c>
      <c r="W24" s="186">
        <v>0</v>
      </c>
    </row>
    <row r="25" spans="1:23" x14ac:dyDescent="0.25">
      <c r="A25" s="218" t="str">
        <v>New sign</v>
      </c>
      <c r="B25" s="219">
        <v>45000</v>
      </c>
      <c r="C25" s="220">
        <v>6.5000000000000002E-2</v>
      </c>
      <c r="D25" s="221">
        <v>10</v>
      </c>
      <c r="E25" s="222">
        <v>46023</v>
      </c>
      <c r="G25" s="182" t="str">
        <v>Renovation Debt Balance</v>
      </c>
      <c r="H25" s="186">
        <v>0</v>
      </c>
      <c r="I25" s="186">
        <v>0</v>
      </c>
      <c r="J25" s="186">
        <v>0</v>
      </c>
      <c r="K25" s="186">
        <v>0</v>
      </c>
      <c r="L25" s="186">
        <v>0</v>
      </c>
      <c r="M25" s="186">
        <v>0</v>
      </c>
      <c r="N25" s="186">
        <v>0</v>
      </c>
      <c r="O25" s="186">
        <v>0</v>
      </c>
      <c r="P25" s="186">
        <v>0</v>
      </c>
      <c r="Q25" s="186">
        <v>0</v>
      </c>
      <c r="R25" s="186">
        <v>0</v>
      </c>
      <c r="S25" s="186">
        <v>0</v>
      </c>
      <c r="T25" s="186">
        <v>0</v>
      </c>
      <c r="U25" s="186">
        <v>0</v>
      </c>
      <c r="V25" s="186">
        <v>0</v>
      </c>
      <c r="W25" s="186">
        <v>0</v>
      </c>
    </row>
    <row r="26" spans="1:23" x14ac:dyDescent="0.25">
      <c r="A26" s="223" t="str">
        <v>Parking Lot</v>
      </c>
      <c r="B26" s="224">
        <v>500000</v>
      </c>
      <c r="C26" s="225">
        <v>0.08</v>
      </c>
      <c r="D26" s="226">
        <v>30</v>
      </c>
      <c r="E26" s="227">
        <v>46388</v>
      </c>
      <c r="G26" s="182" t="str">
        <v>Renovation Interest</v>
      </c>
      <c r="H26" s="186">
        <v>0</v>
      </c>
      <c r="I26" s="186">
        <v>0</v>
      </c>
      <c r="J26" s="186">
        <v>0</v>
      </c>
      <c r="K26" s="186">
        <v>0</v>
      </c>
      <c r="L26" s="186">
        <v>0</v>
      </c>
      <c r="M26" s="186">
        <v>0</v>
      </c>
      <c r="N26" s="186">
        <v>0</v>
      </c>
      <c r="O26" s="186">
        <v>0</v>
      </c>
      <c r="P26" s="186">
        <v>0</v>
      </c>
      <c r="Q26" s="186">
        <v>0</v>
      </c>
      <c r="R26" s="186">
        <v>0</v>
      </c>
      <c r="S26" s="186">
        <v>0</v>
      </c>
      <c r="T26" s="186">
        <v>0</v>
      </c>
      <c r="U26" s="186">
        <v>0</v>
      </c>
      <c r="V26" s="186">
        <v>0</v>
      </c>
      <c r="W26" s="186">
        <v>0</v>
      </c>
    </row>
    <row r="27" spans="1:23" x14ac:dyDescent="0.25">
      <c r="G27" s="182" t="str">
        <v>Renovation Debt Services</v>
      </c>
      <c r="H27" s="186">
        <v>0</v>
      </c>
      <c r="I27" s="186">
        <v>0</v>
      </c>
      <c r="J27" s="186">
        <v>0</v>
      </c>
      <c r="K27" s="186">
        <v>0</v>
      </c>
      <c r="L27" s="186">
        <v>0</v>
      </c>
      <c r="M27" s="186">
        <v>0</v>
      </c>
      <c r="N27" s="186">
        <v>0</v>
      </c>
      <c r="O27" s="186">
        <v>0</v>
      </c>
      <c r="P27" s="186">
        <v>0</v>
      </c>
      <c r="Q27" s="186">
        <v>0</v>
      </c>
      <c r="R27" s="186">
        <v>0</v>
      </c>
      <c r="S27" s="186">
        <v>0</v>
      </c>
      <c r="T27" s="186">
        <v>0</v>
      </c>
      <c r="U27" s="186">
        <v>0</v>
      </c>
      <c r="V27" s="186">
        <v>0</v>
      </c>
      <c r="W27" s="186">
        <v>0</v>
      </c>
    </row>
    <row r="28" spans="1:23" x14ac:dyDescent="0.25">
      <c r="G28" s="182" t="str">
        <v>Renovation Closing Balance</v>
      </c>
      <c r="H28" s="186">
        <v>0</v>
      </c>
      <c r="I28" s="186">
        <v>0</v>
      </c>
      <c r="J28" s="186">
        <v>0</v>
      </c>
      <c r="K28" s="186">
        <v>0</v>
      </c>
      <c r="L28" s="186">
        <v>0</v>
      </c>
      <c r="M28" s="186">
        <v>0</v>
      </c>
      <c r="N28" s="186">
        <v>0</v>
      </c>
      <c r="O28" s="186">
        <v>0</v>
      </c>
      <c r="P28" s="186">
        <v>0</v>
      </c>
      <c r="Q28" s="186">
        <v>0</v>
      </c>
      <c r="R28" s="186">
        <v>0</v>
      </c>
      <c r="S28" s="186">
        <v>0</v>
      </c>
      <c r="T28" s="186">
        <v>0</v>
      </c>
      <c r="U28" s="186">
        <v>0</v>
      </c>
      <c r="V28" s="186">
        <v>0</v>
      </c>
      <c r="W28" s="186">
        <v>0</v>
      </c>
    </row>
    <row r="29" spans="1:23" x14ac:dyDescent="0.25">
      <c r="G29" s="182" t="str">
        <v>Renovation Debt Repayment</v>
      </c>
      <c r="H29" s="186">
        <v>0</v>
      </c>
      <c r="I29" s="186">
        <v>0</v>
      </c>
      <c r="J29" s="186">
        <v>0</v>
      </c>
      <c r="K29" s="186">
        <v>0</v>
      </c>
      <c r="L29" s="186">
        <v>0</v>
      </c>
      <c r="M29" s="186">
        <v>0</v>
      </c>
      <c r="N29" s="186">
        <v>0</v>
      </c>
      <c r="O29" s="186">
        <v>0</v>
      </c>
      <c r="P29" s="186">
        <v>0</v>
      </c>
      <c r="Q29" s="186">
        <v>0</v>
      </c>
      <c r="R29" s="186">
        <v>0</v>
      </c>
      <c r="S29" s="186">
        <v>0</v>
      </c>
      <c r="T29" s="186">
        <v>0</v>
      </c>
      <c r="U29" s="186">
        <v>0</v>
      </c>
      <c r="V29" s="186">
        <v>0</v>
      </c>
      <c r="W29" s="186">
        <v>0</v>
      </c>
    </row>
    <row r="30" spans="1:23" x14ac:dyDescent="0.25">
      <c r="G30" s="182" t="str">
        <v/>
      </c>
      <c r="H30" s="186">
        <v>0</v>
      </c>
      <c r="I30" s="186" t="str">
        <v xml:space="preserve"> </v>
      </c>
      <c r="J30" s="186" t="str">
        <v xml:space="preserve"> </v>
      </c>
      <c r="K30" s="186" t="str">
        <v xml:space="preserve"> </v>
      </c>
      <c r="L30" s="186" t="str">
        <v xml:space="preserve"> </v>
      </c>
      <c r="M30" s="186" t="str">
        <v xml:space="preserve"> </v>
      </c>
      <c r="N30" s="186" t="str">
        <v xml:space="preserve"> </v>
      </c>
      <c r="O30" s="186" t="str">
        <v xml:space="preserve"> </v>
      </c>
      <c r="P30" s="186" t="str">
        <v xml:space="preserve"> </v>
      </c>
      <c r="Q30" s="186" t="str">
        <v xml:space="preserve"> </v>
      </c>
      <c r="R30" s="186" t="str">
        <v xml:space="preserve"> </v>
      </c>
      <c r="S30" s="186" t="str">
        <v xml:space="preserve"> </v>
      </c>
      <c r="T30" s="186" t="str">
        <v xml:space="preserve"> </v>
      </c>
      <c r="U30" s="186" t="str">
        <v xml:space="preserve"> </v>
      </c>
      <c r="V30" s="186" t="str">
        <v xml:space="preserve"> </v>
      </c>
      <c r="W30" s="186" t="str">
        <v xml:space="preserve"> </v>
      </c>
    </row>
    <row r="31" spans="1:23" x14ac:dyDescent="0.25">
      <c r="G31" s="182" t="str">
        <v>New sign Debt Issuance</v>
      </c>
      <c r="H31" s="186">
        <v>0</v>
      </c>
      <c r="I31" s="186">
        <v>45000</v>
      </c>
      <c r="J31" s="186">
        <v>0</v>
      </c>
      <c r="K31" s="186">
        <v>0</v>
      </c>
      <c r="L31" s="186">
        <v>0</v>
      </c>
      <c r="M31" s="186">
        <v>0</v>
      </c>
      <c r="N31" s="186">
        <v>0</v>
      </c>
      <c r="O31" s="186">
        <v>0</v>
      </c>
      <c r="P31" s="186">
        <v>0</v>
      </c>
      <c r="Q31" s="186">
        <v>0</v>
      </c>
      <c r="R31" s="186">
        <v>0</v>
      </c>
      <c r="S31" s="186">
        <v>0</v>
      </c>
      <c r="T31" s="186">
        <v>0</v>
      </c>
      <c r="U31" s="186">
        <v>0</v>
      </c>
      <c r="V31" s="186">
        <v>0</v>
      </c>
      <c r="W31" s="186">
        <v>0</v>
      </c>
    </row>
    <row r="32" spans="1:23" x14ac:dyDescent="0.25">
      <c r="G32" s="182" t="str">
        <v>New sign Debt Balance</v>
      </c>
      <c r="H32" s="186">
        <v>0</v>
      </c>
      <c r="I32" s="186">
        <v>45000</v>
      </c>
      <c r="J32" s="186">
        <v>0</v>
      </c>
      <c r="K32" s="186">
        <v>0</v>
      </c>
      <c r="L32" s="186">
        <v>0</v>
      </c>
      <c r="M32" s="186">
        <v>0</v>
      </c>
      <c r="N32" s="186">
        <v>0</v>
      </c>
      <c r="O32" s="186">
        <v>0</v>
      </c>
      <c r="P32" s="186">
        <v>0</v>
      </c>
      <c r="Q32" s="186">
        <v>0</v>
      </c>
      <c r="R32" s="186">
        <v>0</v>
      </c>
      <c r="S32" s="186">
        <v>0</v>
      </c>
      <c r="T32" s="186">
        <v>0</v>
      </c>
      <c r="U32" s="186">
        <v>0</v>
      </c>
      <c r="V32" s="186">
        <v>0</v>
      </c>
      <c r="W32" s="186">
        <v>0</v>
      </c>
    </row>
    <row r="33" spans="7:23" x14ac:dyDescent="0.25">
      <c r="G33" s="182" t="str">
        <v>New sign Interest</v>
      </c>
      <c r="H33" s="186">
        <v>1351.4876498941551</v>
      </c>
      <c r="I33" s="186">
        <v>1351.4876498941551</v>
      </c>
      <c r="J33" s="186">
        <v>0</v>
      </c>
      <c r="K33" s="186">
        <v>0</v>
      </c>
      <c r="L33" s="186">
        <v>0</v>
      </c>
      <c r="M33" s="186">
        <v>0</v>
      </c>
      <c r="N33" s="186">
        <v>0</v>
      </c>
      <c r="O33" s="186">
        <v>0</v>
      </c>
      <c r="P33" s="186">
        <v>0</v>
      </c>
      <c r="Q33" s="186">
        <v>0</v>
      </c>
      <c r="R33" s="186">
        <v>0</v>
      </c>
      <c r="S33" s="186">
        <v>0</v>
      </c>
      <c r="T33" s="186">
        <v>0</v>
      </c>
      <c r="U33" s="186">
        <v>0</v>
      </c>
      <c r="V33" s="186">
        <v>0</v>
      </c>
      <c r="W33" s="186">
        <v>0</v>
      </c>
    </row>
    <row r="34" spans="7:23" x14ac:dyDescent="0.25">
      <c r="G34" s="182" t="str">
        <v>New sign Debt Services</v>
      </c>
      <c r="H34" s="186">
        <v>-46351.487649894138</v>
      </c>
      <c r="I34" s="186">
        <v>-46351.487649894138</v>
      </c>
      <c r="J34" s="186">
        <v>0</v>
      </c>
      <c r="K34" s="186">
        <v>0</v>
      </c>
      <c r="L34" s="186">
        <v>0</v>
      </c>
      <c r="M34" s="186">
        <v>0</v>
      </c>
      <c r="N34" s="186">
        <v>0</v>
      </c>
      <c r="O34" s="186">
        <v>0</v>
      </c>
      <c r="P34" s="186">
        <v>0</v>
      </c>
      <c r="Q34" s="186">
        <v>0</v>
      </c>
      <c r="R34" s="186">
        <v>0</v>
      </c>
      <c r="S34" s="186">
        <v>0</v>
      </c>
      <c r="T34" s="186">
        <v>0</v>
      </c>
      <c r="U34" s="186">
        <v>0</v>
      </c>
      <c r="V34" s="186">
        <v>0</v>
      </c>
      <c r="W34" s="186">
        <v>0</v>
      </c>
    </row>
    <row r="35" spans="7:23" x14ac:dyDescent="0.25">
      <c r="G35" s="183" t="str">
        <v>New sign Closing Balance</v>
      </c>
      <c r="H35" s="186">
        <v>0</v>
      </c>
      <c r="I35" s="186">
        <v>1.4551915228366852E-11</v>
      </c>
      <c r="J35" s="186">
        <v>0</v>
      </c>
      <c r="K35" s="186">
        <v>0</v>
      </c>
      <c r="L35" s="186">
        <v>0</v>
      </c>
      <c r="M35" s="186">
        <v>0</v>
      </c>
      <c r="N35" s="186">
        <v>0</v>
      </c>
      <c r="O35" s="186">
        <v>0</v>
      </c>
      <c r="P35" s="186">
        <v>0</v>
      </c>
      <c r="Q35" s="186">
        <v>0</v>
      </c>
      <c r="R35" s="186">
        <v>0</v>
      </c>
      <c r="S35" s="186">
        <v>0</v>
      </c>
      <c r="T35" s="186">
        <v>0</v>
      </c>
      <c r="U35" s="186">
        <v>0</v>
      </c>
      <c r="V35" s="186">
        <v>0</v>
      </c>
      <c r="W35" s="186">
        <v>0</v>
      </c>
    </row>
    <row r="36" spans="7:23" x14ac:dyDescent="0.25">
      <c r="G36" s="183" t="str">
        <v>New sign Debt Repayment</v>
      </c>
      <c r="H36" s="186">
        <v>44999.999999999985</v>
      </c>
      <c r="I36" s="186">
        <v>44999.999999999985</v>
      </c>
      <c r="J36" s="186">
        <v>0</v>
      </c>
      <c r="K36" s="186">
        <v>0</v>
      </c>
      <c r="L36" s="186">
        <v>0</v>
      </c>
      <c r="M36" s="186">
        <v>0</v>
      </c>
      <c r="N36" s="186">
        <v>0</v>
      </c>
      <c r="O36" s="186">
        <v>0</v>
      </c>
      <c r="P36" s="186">
        <v>0</v>
      </c>
      <c r="Q36" s="186">
        <v>0</v>
      </c>
      <c r="R36" s="186">
        <v>0</v>
      </c>
      <c r="S36" s="186">
        <v>0</v>
      </c>
      <c r="T36" s="186">
        <v>0</v>
      </c>
      <c r="U36" s="186">
        <v>0</v>
      </c>
      <c r="V36" s="186">
        <v>0</v>
      </c>
      <c r="W36" s="186">
        <v>0</v>
      </c>
    </row>
    <row r="37" spans="7:23" x14ac:dyDescent="0.25">
      <c r="G37" s="183" t="str">
        <v/>
      </c>
      <c r="H37" s="186">
        <v>0</v>
      </c>
      <c r="I37" s="186" t="str">
        <v xml:space="preserve"> </v>
      </c>
      <c r="J37" s="186" t="str">
        <v xml:space="preserve"> </v>
      </c>
      <c r="K37" s="186" t="str">
        <v xml:space="preserve"> </v>
      </c>
      <c r="L37" s="186" t="str">
        <v xml:space="preserve"> </v>
      </c>
      <c r="M37" s="186" t="str">
        <v xml:space="preserve"> </v>
      </c>
      <c r="N37" s="186" t="str">
        <v xml:space="preserve"> </v>
      </c>
      <c r="O37" s="186" t="str">
        <v xml:space="preserve"> </v>
      </c>
      <c r="P37" s="186" t="str">
        <v xml:space="preserve"> </v>
      </c>
      <c r="Q37" s="186" t="str">
        <v xml:space="preserve"> </v>
      </c>
      <c r="R37" s="186" t="str">
        <v xml:space="preserve"> </v>
      </c>
      <c r="S37" s="186" t="str">
        <v xml:space="preserve"> </v>
      </c>
      <c r="T37" s="186" t="str">
        <v xml:space="preserve"> </v>
      </c>
      <c r="U37" s="186" t="str">
        <v xml:space="preserve"> </v>
      </c>
      <c r="V37" s="186" t="str">
        <v xml:space="preserve"> </v>
      </c>
      <c r="W37" s="186" t="str">
        <v xml:space="preserve"> </v>
      </c>
    </row>
    <row r="38" spans="7:23" x14ac:dyDescent="0.25">
      <c r="G38" s="183" t="str">
        <v>Parking Lot Debt Issuance</v>
      </c>
      <c r="H38" s="186">
        <v>0</v>
      </c>
      <c r="I38" s="186">
        <v>0</v>
      </c>
      <c r="J38" s="186">
        <v>500000</v>
      </c>
      <c r="K38" s="186">
        <v>0</v>
      </c>
      <c r="L38" s="186">
        <v>0</v>
      </c>
      <c r="M38" s="186">
        <v>0</v>
      </c>
      <c r="N38" s="186">
        <v>0</v>
      </c>
      <c r="O38" s="186">
        <v>0</v>
      </c>
      <c r="P38" s="186">
        <v>0</v>
      </c>
      <c r="Q38" s="186">
        <v>0</v>
      </c>
      <c r="R38" s="186">
        <v>0</v>
      </c>
      <c r="S38" s="186">
        <v>0</v>
      </c>
      <c r="T38" s="186">
        <v>0</v>
      </c>
      <c r="U38" s="186">
        <v>0</v>
      </c>
      <c r="V38" s="186">
        <v>0</v>
      </c>
      <c r="W38" s="186">
        <v>0</v>
      </c>
    </row>
    <row r="39" spans="7:23" x14ac:dyDescent="0.25">
      <c r="G39" s="182" t="str">
        <v>Parking Lot Debt Balance</v>
      </c>
      <c r="H39" s="186">
        <v>0</v>
      </c>
      <c r="I39" s="186">
        <v>0</v>
      </c>
      <c r="J39" s="186">
        <v>500000</v>
      </c>
      <c r="K39" s="186">
        <v>311871.30198002694</v>
      </c>
      <c r="L39" s="186">
        <v>108128.01480805682</v>
      </c>
      <c r="M39" s="186">
        <v>0</v>
      </c>
      <c r="N39" s="186">
        <v>0</v>
      </c>
      <c r="O39" s="186">
        <v>0</v>
      </c>
      <c r="P39" s="186">
        <v>0</v>
      </c>
      <c r="Q39" s="186">
        <v>0</v>
      </c>
      <c r="R39" s="186">
        <v>0</v>
      </c>
      <c r="S39" s="186">
        <v>0</v>
      </c>
      <c r="T39" s="186">
        <v>0</v>
      </c>
      <c r="U39" s="186">
        <v>0</v>
      </c>
      <c r="V39" s="186">
        <v>0</v>
      </c>
      <c r="W39" s="186">
        <v>0</v>
      </c>
    </row>
    <row r="40" spans="7:23" x14ac:dyDescent="0.25">
      <c r="G40" s="182" t="str">
        <v>Parking Lot Interest</v>
      </c>
      <c r="H40" s="186">
        <v>53324.857595300615</v>
      </c>
      <c r="I40" s="186">
        <v>0</v>
      </c>
      <c r="J40" s="186">
        <v>33201.245018145353</v>
      </c>
      <c r="K40" s="186">
        <v>17586.655866148452</v>
      </c>
      <c r="L40" s="186">
        <v>2536.9567110068115</v>
      </c>
      <c r="M40" s="186">
        <v>0</v>
      </c>
      <c r="N40" s="186">
        <v>0</v>
      </c>
      <c r="O40" s="186">
        <v>0</v>
      </c>
      <c r="P40" s="186">
        <v>0</v>
      </c>
      <c r="Q40" s="186">
        <v>0</v>
      </c>
      <c r="R40" s="186">
        <v>0</v>
      </c>
      <c r="S40" s="186">
        <v>0</v>
      </c>
      <c r="T40" s="186">
        <v>0</v>
      </c>
      <c r="U40" s="186">
        <v>0</v>
      </c>
      <c r="V40" s="186">
        <v>0</v>
      </c>
      <c r="W40" s="186">
        <v>0</v>
      </c>
    </row>
    <row r="41" spans="7:23" x14ac:dyDescent="0.25">
      <c r="G41" t="str">
        <v>Parking Lot Debt Services</v>
      </c>
      <c r="H41">
        <v>-553324.8575953003</v>
      </c>
      <c r="I41">
        <v>0</v>
      </c>
      <c r="J41">
        <v>-221329.94303812014</v>
      </c>
      <c r="K41">
        <v>-221329.94303812014</v>
      </c>
      <c r="L41">
        <v>-110664.97151906005</v>
      </c>
      <c r="M41">
        <v>0</v>
      </c>
      <c r="N41">
        <v>0</v>
      </c>
      <c r="O41">
        <v>0</v>
      </c>
      <c r="P41">
        <v>0</v>
      </c>
      <c r="Q41">
        <v>0</v>
      </c>
      <c r="R41">
        <v>0</v>
      </c>
      <c r="S41">
        <v>0</v>
      </c>
      <c r="T41">
        <v>0</v>
      </c>
      <c r="U41">
        <v>0</v>
      </c>
      <c r="V41">
        <v>0</v>
      </c>
      <c r="W41">
        <v>0</v>
      </c>
    </row>
    <row r="42" spans="7:23" x14ac:dyDescent="0.25">
      <c r="G42" t="str">
        <v>Parking Lot Closing Balance</v>
      </c>
      <c r="H42">
        <v>0</v>
      </c>
      <c r="I42">
        <v>0</v>
      </c>
      <c r="J42">
        <v>311871.30198002513</v>
      </c>
      <c r="K42">
        <v>108128.01480805528</v>
      </c>
      <c r="L42">
        <v>3.5797711461782455E-9</v>
      </c>
      <c r="M42">
        <v>0</v>
      </c>
      <c r="N42">
        <v>0</v>
      </c>
      <c r="O42">
        <v>0</v>
      </c>
      <c r="P42">
        <v>0</v>
      </c>
      <c r="Q42">
        <v>0</v>
      </c>
      <c r="R42">
        <v>0</v>
      </c>
      <c r="S42">
        <v>0</v>
      </c>
      <c r="T42">
        <v>0</v>
      </c>
      <c r="U42">
        <v>0</v>
      </c>
      <c r="V42">
        <v>0</v>
      </c>
      <c r="W42">
        <v>0</v>
      </c>
    </row>
    <row r="43" spans="7:23" x14ac:dyDescent="0.25">
      <c r="G43" t="str">
        <v>Parking Lot Debt Repayment</v>
      </c>
      <c r="H43">
        <v>499999.99999999977</v>
      </c>
      <c r="I43">
        <v>0</v>
      </c>
      <c r="J43">
        <v>188128.69801997478</v>
      </c>
      <c r="K43">
        <v>203743.28717197169</v>
      </c>
      <c r="L43">
        <v>108128.01480805324</v>
      </c>
      <c r="M43">
        <v>0</v>
      </c>
      <c r="N43">
        <v>0</v>
      </c>
      <c r="O43">
        <v>0</v>
      </c>
      <c r="P43">
        <v>0</v>
      </c>
      <c r="Q43">
        <v>0</v>
      </c>
      <c r="R43">
        <v>0</v>
      </c>
      <c r="S43">
        <v>0</v>
      </c>
      <c r="T43">
        <v>0</v>
      </c>
      <c r="U43">
        <v>0</v>
      </c>
      <c r="V43">
        <v>0</v>
      </c>
      <c r="W43">
        <v>0</v>
      </c>
    </row>
  </sheetData>
  <mergeCells count="3">
    <mergeCell ref="A1:P1"/>
    <mergeCell ref="A21:E21"/>
    <mergeCell ref="A2:R2"/>
  </mergeCells>
  <conditionalFormatting sqref="G28:H28">
    <cfRule type="expression" dxfId="10" priority="1">
      <formula>FIND("Closing",$G28)</formula>
    </cfRule>
  </conditionalFormatting>
  <conditionalFormatting sqref="G24:W27 H28:W40">
    <cfRule type="expression" dxfId="9" priority="2">
      <formula>FIND("Closing",$G24)</formula>
    </cfRule>
  </conditionalFormatting>
  <conditionalFormatting sqref="G29:W40">
    <cfRule type="expression" dxfId="8" priority="3">
      <formula>FIND("Closing",$G29)</formula>
    </cfRule>
  </conditionalFormatting>
  <dataValidations count="1">
    <dataValidation type="list" allowBlank="1" showInputMessage="1" showErrorMessage="1" sqref="H22" xr:uid="{B0FC1650-2EA6-4462-B22C-B0B0F554F984}">
      <formula1>"M,Q,Y"</formula1>
    </dataValidation>
  </dataValidations>
  <hyperlinks>
    <hyperlink ref="A1" location="'TOC'!$A$1" display="'TOC'!$A$1" xr:uid="{4173BA59-5C8A-428C-8C45-84346C492A23}"/>
  </hyperlinks>
  <pageMargins left="0.7" right="0.7" top="0.75" bottom="0.75" header="0.3" footer="0.3"/>
  <customProperties>
    <customPr name="Description" r:id="rId1"/>
  </customPropertie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42F6C-81BD-46B5-A989-9F21B7196CCA}">
  <sheetPr codeName="Sheet45">
    <tabColor rgb="FF157A5F"/>
  </sheetPr>
  <dimension ref="A1:DX43"/>
  <sheetViews>
    <sheetView showGridLines="0" workbookViewId="0">
      <selection activeCell="A1" sqref="A1"/>
    </sheetView>
  </sheetViews>
  <sheetFormatPr defaultRowHeight="15" x14ac:dyDescent="0.25"/>
  <cols>
    <col min="1" max="1" width="19.42578125" bestFit="1" customWidth="1"/>
    <col min="3" max="3" width="6" bestFit="1" customWidth="1"/>
    <col min="4" max="4" width="5.28515625" bestFit="1" customWidth="1"/>
    <col min="5" max="5" width="10" bestFit="1" customWidth="1"/>
    <col min="7" max="7" width="24.42578125" bestFit="1" customWidth="1"/>
    <col min="8" max="8" width="8.5703125" bestFit="1" customWidth="1"/>
    <col min="9" max="23" width="10.140625" bestFit="1" customWidth="1"/>
  </cols>
  <sheetData>
    <row r="1" spans="1:17" ht="45.75" x14ac:dyDescent="0.65">
      <c r="A1" s="270" t="str">
        <f>_xlfn.TEXTAFTER(CELL("filename",A1),"]")</f>
        <v>nabla.f.SumAmortiseλ</v>
      </c>
      <c r="B1" s="270"/>
      <c r="C1" s="270"/>
      <c r="D1" s="270"/>
      <c r="E1" s="270"/>
      <c r="F1" s="270"/>
      <c r="G1" s="270"/>
      <c r="H1" s="270"/>
      <c r="I1" s="270"/>
      <c r="J1" s="270"/>
      <c r="K1" s="270"/>
      <c r="L1" s="270"/>
      <c r="M1" s="270"/>
      <c r="N1" s="270"/>
      <c r="O1" s="270"/>
      <c r="P1" s="270"/>
    </row>
    <row r="2" spans="1:17" x14ac:dyDescent="0.25">
      <c r="A2" s="273" t="s">
        <v>212</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c r="L3" s="104"/>
      <c r="M3" s="104"/>
      <c r="N3" s="104"/>
      <c r="O3" s="104"/>
      <c r="P3" s="104"/>
    </row>
    <row r="4" spans="1:17" x14ac:dyDescent="0.25">
      <c r="A4" s="162" t="str" cm="1">
        <f t="array" ref="A4:B12">nabla.f.SumAmortiseλ()</f>
        <v>FUNCTION:</v>
      </c>
      <c r="B4" t="str">
        <v>SumAmortiseλ(AmortisationSchedule)</v>
      </c>
    </row>
    <row r="5" spans="1:17" x14ac:dyDescent="0.25">
      <c r="A5" t="str">
        <v>DESCRIPTION:</v>
      </c>
      <c r="B5" t="str">
        <v>Create row totals for Amortiseλ</v>
      </c>
    </row>
    <row r="6" spans="1:17" x14ac:dyDescent="0.25">
      <c r="A6" t="str">
        <v>WEBPAGE:</v>
      </c>
      <c r="B6" t="str">
        <v>https://github.com/ryanduguid/Nabla</v>
      </c>
    </row>
    <row r="7" spans="1:17" x14ac:dyDescent="0.25">
      <c r="A7" t="str">
        <v>VERSION:</v>
      </c>
      <c r="B7" t="str">
        <v>18 Aug 2026</v>
      </c>
    </row>
    <row r="8" spans="1:17" x14ac:dyDescent="0.25">
      <c r="A8" t="str">
        <v>PARAMETERS:</v>
      </c>
      <c r="B8" t="str">
        <v/>
      </c>
    </row>
    <row r="9" spans="1:17" x14ac:dyDescent="0.25">
      <c r="A9" t="str">
        <v>AmortisationSchedule</v>
      </c>
      <c r="B9" t="str">
        <v>(Required) An array produced by Amortiseλ</v>
      </c>
    </row>
    <row r="10" spans="1:17" x14ac:dyDescent="0.25">
      <c r="A10" t="str">
        <v>EXAMPLES:</v>
      </c>
      <c r="B10" t="str">
        <v/>
      </c>
    </row>
    <row r="11" spans="1:17" x14ac:dyDescent="0.25">
      <c r="A11" t="str">
        <v>Result</v>
      </c>
      <c r="B11" t="str">
        <v>Formula (nabla.f is assumed to be the module's name)</v>
      </c>
    </row>
    <row r="12" spans="1:17" x14ac:dyDescent="0.25">
      <c r="A12" t="str">
        <v/>
      </c>
      <c r="B12" t="str">
        <v>=nabla.f.SumAmortiseλ(AmortisationSchedule)</v>
      </c>
    </row>
    <row r="21" spans="1:128" ht="20.25" x14ac:dyDescent="0.3">
      <c r="A21" s="302" t="s">
        <v>317</v>
      </c>
      <c r="B21" s="302"/>
      <c r="C21" s="302"/>
    </row>
    <row r="22" spans="1:128" x14ac:dyDescent="0.25">
      <c r="G22" s="185" t="s">
        <v>142</v>
      </c>
      <c r="H22" s="124" t="s">
        <v>24</v>
      </c>
    </row>
    <row r="23" spans="1:128" x14ac:dyDescent="0.25">
      <c r="A23" s="161" t="str" cm="1">
        <f t="array" ref="A23:E26">tblLoans[#All]</f>
        <v>Description</v>
      </c>
      <c r="B23" s="160" t="str">
        <v>Principal</v>
      </c>
      <c r="C23" s="160" t="str">
        <v>APR</v>
      </c>
      <c r="D23" s="160" t="str">
        <v>Term</v>
      </c>
      <c r="E23" s="160" t="str">
        <v>Start Date</v>
      </c>
      <c r="F23" s="174"/>
      <c r="G23" s="175" t="s">
        <v>66</v>
      </c>
      <c r="H23" s="176" t="s">
        <v>289</v>
      </c>
      <c r="I23" s="1" cm="1">
        <f t="array" ref="I23:W23">nabla.d.Timelineλ("1/1/2026", 15 * _xlfn.SWITCH(H22, "M", 12, "Q", 4, "Y", 1), H22)</f>
        <v>45292</v>
      </c>
      <c r="J23" s="1">
        <v>46388</v>
      </c>
      <c r="K23" s="1">
        <v>46753</v>
      </c>
      <c r="L23" s="1">
        <v>47119</v>
      </c>
      <c r="M23" s="1">
        <v>47484</v>
      </c>
      <c r="N23" s="1">
        <v>47849</v>
      </c>
      <c r="O23" s="1">
        <v>48214</v>
      </c>
      <c r="P23" s="1">
        <v>48580</v>
      </c>
      <c r="Q23" s="1">
        <v>48945</v>
      </c>
      <c r="R23" s="1">
        <v>49310</v>
      </c>
      <c r="S23" s="1">
        <v>49675</v>
      </c>
      <c r="T23" s="1">
        <v>50041</v>
      </c>
      <c r="U23" s="1">
        <v>50406</v>
      </c>
      <c r="V23" s="1">
        <v>50771</v>
      </c>
      <c r="W23" s="1">
        <v>51136</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row>
    <row r="24" spans="1:128" x14ac:dyDescent="0.25">
      <c r="A24" s="189" t="str">
        <v>Renovation</v>
      </c>
      <c r="B24" s="178">
        <v>50000</v>
      </c>
      <c r="C24" s="179">
        <v>7.0000000000000007E-2</v>
      </c>
      <c r="D24" s="180">
        <v>10</v>
      </c>
      <c r="E24" s="181">
        <v>46082</v>
      </c>
      <c r="G24" s="182" t="str" cm="1">
        <f t="array" ref="G24:G43">nabla.f.LabelAmortiseλ(tblLoans[Description])</f>
        <v>Renovation Debt Issuance</v>
      </c>
      <c r="H24" s="187" cm="1">
        <f t="array" ref="H24:H43">nabla.f.SumAmortiseλ(_xlfn.ANCHORARRAY(I24))</f>
        <v>0</v>
      </c>
      <c r="I24" s="202" cm="1">
        <f t="array" ref="I24:W43">nabla.f.Amortiseλ(tblLoans[Principal],tblLoans[APR],tblLoans[Term],tblLoans[Start Date],_xlfn.ANCHORARRAY( I23))</f>
        <v>0</v>
      </c>
      <c r="J24" s="186">
        <v>0</v>
      </c>
      <c r="K24" s="186">
        <v>0</v>
      </c>
      <c r="L24" s="186">
        <v>0</v>
      </c>
      <c r="M24" s="186">
        <v>0</v>
      </c>
      <c r="N24" s="186">
        <v>0</v>
      </c>
      <c r="O24" s="186">
        <v>0</v>
      </c>
      <c r="P24" s="186">
        <v>0</v>
      </c>
      <c r="Q24" s="186">
        <v>0</v>
      </c>
      <c r="R24" s="186">
        <v>0</v>
      </c>
      <c r="S24" s="186">
        <v>0</v>
      </c>
      <c r="T24" s="186">
        <v>0</v>
      </c>
      <c r="U24" s="186">
        <v>0</v>
      </c>
      <c r="V24" s="186">
        <v>0</v>
      </c>
      <c r="W24" s="186">
        <v>0</v>
      </c>
      <c r="X24" s="148"/>
      <c r="Y24" s="148"/>
      <c r="Z24" s="148"/>
      <c r="AA24" s="148"/>
      <c r="AB24" s="148"/>
      <c r="AC24" s="148"/>
      <c r="AD24" s="148"/>
      <c r="AE24" s="148"/>
      <c r="AF24" s="148"/>
      <c r="AG24" s="148"/>
      <c r="AH24" s="148"/>
      <c r="AI24" s="148"/>
      <c r="AJ24" s="148"/>
      <c r="AK24" s="148"/>
      <c r="AL24" s="148"/>
      <c r="AM24" s="148"/>
      <c r="AN24" s="148"/>
      <c r="AO24" s="148"/>
      <c r="AP24" s="148"/>
      <c r="AQ24" s="148"/>
      <c r="AR24" s="148"/>
      <c r="AS24" s="148"/>
      <c r="AT24" s="148"/>
      <c r="AU24" s="148"/>
      <c r="AV24" s="148"/>
      <c r="AW24" s="148"/>
      <c r="AX24" s="148"/>
      <c r="AY24" s="148"/>
      <c r="AZ24" s="148"/>
      <c r="BA24" s="148"/>
      <c r="BB24" s="148"/>
      <c r="BC24" s="148"/>
      <c r="BD24" s="148"/>
      <c r="BE24" s="148"/>
      <c r="BF24" s="148"/>
      <c r="BG24" s="148"/>
      <c r="BH24" s="148"/>
      <c r="BI24" s="148"/>
      <c r="BJ24" s="148"/>
      <c r="BK24" s="148"/>
      <c r="BL24" s="148"/>
      <c r="BM24" s="148"/>
      <c r="BN24" s="148"/>
      <c r="BO24" s="148"/>
      <c r="BP24" s="148"/>
      <c r="BQ24" s="148"/>
      <c r="BR24" s="148"/>
      <c r="BS24" s="148"/>
      <c r="BT24" s="148"/>
      <c r="BU24" s="148"/>
      <c r="BV24" s="148"/>
      <c r="BW24" s="148"/>
      <c r="BX24" s="148"/>
      <c r="BY24" s="148"/>
      <c r="BZ24" s="148"/>
      <c r="CA24" s="148"/>
      <c r="CB24" s="148"/>
    </row>
    <row r="25" spans="1:128" x14ac:dyDescent="0.25">
      <c r="A25" s="189" t="str">
        <v>New sign</v>
      </c>
      <c r="B25" s="178">
        <v>45000</v>
      </c>
      <c r="C25" s="179">
        <v>6.5000000000000002E-2</v>
      </c>
      <c r="D25" s="180">
        <v>10</v>
      </c>
      <c r="E25" s="181">
        <v>46023</v>
      </c>
      <c r="G25" s="182" t="str">
        <v>Renovation Debt Balance</v>
      </c>
      <c r="H25" s="186">
        <v>0</v>
      </c>
      <c r="I25" s="186">
        <v>0</v>
      </c>
      <c r="J25" s="186">
        <v>0</v>
      </c>
      <c r="K25" s="186">
        <v>0</v>
      </c>
      <c r="L25" s="186">
        <v>0</v>
      </c>
      <c r="M25" s="186">
        <v>0</v>
      </c>
      <c r="N25" s="186">
        <v>0</v>
      </c>
      <c r="O25" s="186">
        <v>0</v>
      </c>
      <c r="P25" s="186">
        <v>0</v>
      </c>
      <c r="Q25" s="186">
        <v>0</v>
      </c>
      <c r="R25" s="186">
        <v>0</v>
      </c>
      <c r="S25" s="186">
        <v>0</v>
      </c>
      <c r="T25" s="186">
        <v>0</v>
      </c>
      <c r="U25" s="186">
        <v>0</v>
      </c>
      <c r="V25" s="186">
        <v>0</v>
      </c>
      <c r="W25" s="186">
        <v>0</v>
      </c>
      <c r="X25" s="148"/>
      <c r="Y25" s="148"/>
      <c r="Z25" s="148"/>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48"/>
      <c r="AX25" s="148"/>
      <c r="AY25" s="148"/>
      <c r="AZ25" s="148"/>
      <c r="BA25" s="148"/>
      <c r="BB25" s="148"/>
      <c r="BC25" s="148"/>
      <c r="BD25" s="148"/>
      <c r="BE25" s="148"/>
      <c r="BF25" s="148"/>
      <c r="BG25" s="148"/>
      <c r="BH25" s="148"/>
      <c r="BI25" s="148"/>
      <c r="BJ25" s="148"/>
      <c r="BK25" s="148"/>
      <c r="BL25" s="148"/>
      <c r="BM25" s="148"/>
      <c r="BN25" s="148"/>
      <c r="BO25" s="148"/>
      <c r="BP25" s="148"/>
      <c r="BQ25" s="148"/>
      <c r="BR25" s="148"/>
      <c r="BS25" s="148"/>
      <c r="BT25" s="148"/>
      <c r="BU25" s="148"/>
      <c r="BV25" s="148"/>
      <c r="BW25" s="148"/>
      <c r="BX25" s="148"/>
      <c r="BY25" s="148"/>
      <c r="BZ25" s="148"/>
      <c r="CA25" s="148"/>
      <c r="CB25" s="148"/>
    </row>
    <row r="26" spans="1:128" x14ac:dyDescent="0.25">
      <c r="A26" s="189" t="str">
        <v>Parking Lot</v>
      </c>
      <c r="B26" s="178">
        <v>500000</v>
      </c>
      <c r="C26" s="179">
        <v>0.08</v>
      </c>
      <c r="D26" s="180">
        <v>30</v>
      </c>
      <c r="E26" s="181">
        <v>46388</v>
      </c>
      <c r="G26" s="182" t="str">
        <v>Renovation Interest</v>
      </c>
      <c r="H26" s="186">
        <v>0</v>
      </c>
      <c r="I26" s="186">
        <v>0</v>
      </c>
      <c r="J26" s="186">
        <v>0</v>
      </c>
      <c r="K26" s="186">
        <v>0</v>
      </c>
      <c r="L26" s="186">
        <v>0</v>
      </c>
      <c r="M26" s="186">
        <v>0</v>
      </c>
      <c r="N26" s="186">
        <v>0</v>
      </c>
      <c r="O26" s="186">
        <v>0</v>
      </c>
      <c r="P26" s="186">
        <v>0</v>
      </c>
      <c r="Q26" s="186">
        <v>0</v>
      </c>
      <c r="R26" s="186">
        <v>0</v>
      </c>
      <c r="S26" s="186">
        <v>0</v>
      </c>
      <c r="T26" s="186">
        <v>0</v>
      </c>
      <c r="U26" s="186">
        <v>0</v>
      </c>
      <c r="V26" s="186">
        <v>0</v>
      </c>
      <c r="W26" s="186">
        <v>0</v>
      </c>
      <c r="X26" s="148"/>
      <c r="Y26" s="148"/>
      <c r="Z26" s="148"/>
      <c r="AA26" s="148"/>
      <c r="AB26" s="148"/>
      <c r="AC26" s="148"/>
      <c r="AD26" s="148"/>
      <c r="AE26" s="148"/>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c r="BD26" s="148"/>
      <c r="BE26" s="148"/>
      <c r="BF26" s="148"/>
      <c r="BG26" s="148"/>
      <c r="BH26" s="148"/>
      <c r="BI26" s="148"/>
      <c r="BJ26" s="148"/>
      <c r="BK26" s="148"/>
      <c r="BL26" s="148"/>
      <c r="BM26" s="148"/>
      <c r="BN26" s="148"/>
      <c r="BO26" s="148"/>
      <c r="BP26" s="148"/>
      <c r="BQ26" s="148"/>
      <c r="BR26" s="148"/>
      <c r="BS26" s="148"/>
      <c r="BT26" s="148"/>
      <c r="BU26" s="148"/>
      <c r="BV26" s="148"/>
      <c r="BW26" s="148"/>
      <c r="BX26" s="148"/>
      <c r="BY26" s="148"/>
      <c r="BZ26" s="148"/>
      <c r="CA26" s="148"/>
      <c r="CB26" s="148"/>
    </row>
    <row r="27" spans="1:128" x14ac:dyDescent="0.25">
      <c r="G27" s="182" t="str">
        <v>Renovation Debt Services</v>
      </c>
      <c r="H27" s="186">
        <v>0</v>
      </c>
      <c r="I27" s="186">
        <v>0</v>
      </c>
      <c r="J27" s="186">
        <v>0</v>
      </c>
      <c r="K27" s="186">
        <v>0</v>
      </c>
      <c r="L27" s="186">
        <v>0</v>
      </c>
      <c r="M27" s="186">
        <v>0</v>
      </c>
      <c r="N27" s="186">
        <v>0</v>
      </c>
      <c r="O27" s="186">
        <v>0</v>
      </c>
      <c r="P27" s="186">
        <v>0</v>
      </c>
      <c r="Q27" s="186">
        <v>0</v>
      </c>
      <c r="R27" s="186">
        <v>0</v>
      </c>
      <c r="S27" s="186">
        <v>0</v>
      </c>
      <c r="T27" s="186">
        <v>0</v>
      </c>
      <c r="U27" s="186">
        <v>0</v>
      </c>
      <c r="V27" s="186">
        <v>0</v>
      </c>
      <c r="W27" s="186">
        <v>0</v>
      </c>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8"/>
      <c r="AX27" s="148"/>
      <c r="AY27" s="148"/>
      <c r="AZ27" s="148"/>
      <c r="BA27" s="148"/>
      <c r="BB27" s="148"/>
      <c r="BC27" s="148"/>
      <c r="BD27" s="148"/>
      <c r="BE27" s="148"/>
      <c r="BF27" s="148"/>
      <c r="BG27" s="148"/>
      <c r="BH27" s="148"/>
      <c r="BI27" s="148"/>
      <c r="BJ27" s="148"/>
      <c r="BK27" s="148"/>
      <c r="BL27" s="148"/>
      <c r="BM27" s="148"/>
      <c r="BN27" s="148"/>
      <c r="BO27" s="148"/>
      <c r="BP27" s="148"/>
      <c r="BQ27" s="148"/>
      <c r="BR27" s="148"/>
      <c r="BS27" s="148"/>
      <c r="BT27" s="148"/>
      <c r="BU27" s="148"/>
      <c r="BV27" s="148"/>
      <c r="BW27" s="148"/>
      <c r="BX27" s="148"/>
      <c r="BY27" s="148"/>
      <c r="BZ27" s="148"/>
      <c r="CA27" s="148"/>
      <c r="CB27" s="148"/>
    </row>
    <row r="28" spans="1:128" x14ac:dyDescent="0.25">
      <c r="G28" s="182" t="str">
        <v>Renovation Closing Balance</v>
      </c>
      <c r="H28" s="186">
        <v>0</v>
      </c>
      <c r="I28" s="186">
        <v>0</v>
      </c>
      <c r="J28" s="186">
        <v>0</v>
      </c>
      <c r="K28" s="186">
        <v>0</v>
      </c>
      <c r="L28" s="186">
        <v>0</v>
      </c>
      <c r="M28" s="186">
        <v>0</v>
      </c>
      <c r="N28" s="186">
        <v>0</v>
      </c>
      <c r="O28" s="186">
        <v>0</v>
      </c>
      <c r="P28" s="186">
        <v>0</v>
      </c>
      <c r="Q28" s="186">
        <v>0</v>
      </c>
      <c r="R28" s="186">
        <v>0</v>
      </c>
      <c r="S28" s="186">
        <v>0</v>
      </c>
      <c r="T28" s="186">
        <v>0</v>
      </c>
      <c r="U28" s="186">
        <v>0</v>
      </c>
      <c r="V28" s="186">
        <v>0</v>
      </c>
      <c r="W28" s="186">
        <v>0</v>
      </c>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c r="CB28" s="148"/>
    </row>
    <row r="29" spans="1:128" x14ac:dyDescent="0.25">
      <c r="G29" s="182" t="str">
        <v>Renovation Debt Repayment</v>
      </c>
      <c r="H29" s="186">
        <v>0</v>
      </c>
      <c r="I29" s="186">
        <v>0</v>
      </c>
      <c r="J29" s="186">
        <v>0</v>
      </c>
      <c r="K29" s="186">
        <v>0</v>
      </c>
      <c r="L29" s="186">
        <v>0</v>
      </c>
      <c r="M29" s="186">
        <v>0</v>
      </c>
      <c r="N29" s="186">
        <v>0</v>
      </c>
      <c r="O29" s="186">
        <v>0</v>
      </c>
      <c r="P29" s="186">
        <v>0</v>
      </c>
      <c r="Q29" s="186">
        <v>0</v>
      </c>
      <c r="R29" s="186">
        <v>0</v>
      </c>
      <c r="S29" s="186">
        <v>0</v>
      </c>
      <c r="T29" s="186">
        <v>0</v>
      </c>
      <c r="U29" s="186">
        <v>0</v>
      </c>
      <c r="V29" s="186">
        <v>0</v>
      </c>
      <c r="W29" s="186">
        <v>0</v>
      </c>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c r="BP29" s="148"/>
      <c r="BQ29" s="148"/>
      <c r="BR29" s="148"/>
      <c r="BS29" s="148"/>
      <c r="BT29" s="148"/>
      <c r="BU29" s="148"/>
      <c r="BV29" s="148"/>
      <c r="BW29" s="148"/>
      <c r="BX29" s="148"/>
      <c r="BY29" s="148"/>
      <c r="BZ29" s="148"/>
      <c r="CA29" s="148"/>
      <c r="CB29" s="148"/>
    </row>
    <row r="30" spans="1:128" x14ac:dyDescent="0.25">
      <c r="G30" s="182" t="str">
        <v/>
      </c>
      <c r="H30" s="186">
        <v>0</v>
      </c>
      <c r="I30" s="186" t="str">
        <v xml:space="preserve"> </v>
      </c>
      <c r="J30" s="186" t="str">
        <v xml:space="preserve"> </v>
      </c>
      <c r="K30" s="186" t="str">
        <v xml:space="preserve"> </v>
      </c>
      <c r="L30" s="186" t="str">
        <v xml:space="preserve"> </v>
      </c>
      <c r="M30" s="186" t="str">
        <v xml:space="preserve"> </v>
      </c>
      <c r="N30" s="186" t="str">
        <v xml:space="preserve"> </v>
      </c>
      <c r="O30" s="186" t="str">
        <v xml:space="preserve"> </v>
      </c>
      <c r="P30" s="186" t="str">
        <v xml:space="preserve"> </v>
      </c>
      <c r="Q30" s="186" t="str">
        <v xml:space="preserve"> </v>
      </c>
      <c r="R30" s="186" t="str">
        <v xml:space="preserve"> </v>
      </c>
      <c r="S30" s="186" t="str">
        <v xml:space="preserve"> </v>
      </c>
      <c r="T30" s="186" t="str">
        <v xml:space="preserve"> </v>
      </c>
      <c r="U30" s="186" t="str">
        <v xml:space="preserve"> </v>
      </c>
      <c r="V30" s="186" t="str">
        <v xml:space="preserve"> </v>
      </c>
      <c r="W30" s="186" t="str">
        <v xml:space="preserve"> </v>
      </c>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148"/>
      <c r="BR30" s="148"/>
      <c r="BS30" s="148"/>
      <c r="BT30" s="148"/>
      <c r="BU30" s="148"/>
      <c r="BV30" s="148"/>
      <c r="BW30" s="148"/>
      <c r="BX30" s="148"/>
      <c r="BY30" s="148"/>
      <c r="BZ30" s="148"/>
      <c r="CA30" s="148"/>
      <c r="CB30" s="148"/>
    </row>
    <row r="31" spans="1:128" x14ac:dyDescent="0.25">
      <c r="G31" s="182" t="str">
        <v>New sign Debt Issuance</v>
      </c>
      <c r="H31" s="186">
        <v>0</v>
      </c>
      <c r="I31" s="186">
        <v>45000</v>
      </c>
      <c r="J31" s="186">
        <v>0</v>
      </c>
      <c r="K31" s="186">
        <v>0</v>
      </c>
      <c r="L31" s="186">
        <v>0</v>
      </c>
      <c r="M31" s="186">
        <v>0</v>
      </c>
      <c r="N31" s="186">
        <v>0</v>
      </c>
      <c r="O31" s="186">
        <v>0</v>
      </c>
      <c r="P31" s="186">
        <v>0</v>
      </c>
      <c r="Q31" s="186">
        <v>0</v>
      </c>
      <c r="R31" s="186">
        <v>0</v>
      </c>
      <c r="S31" s="186">
        <v>0</v>
      </c>
      <c r="T31" s="186">
        <v>0</v>
      </c>
      <c r="U31" s="186">
        <v>0</v>
      </c>
      <c r="V31" s="186">
        <v>0</v>
      </c>
      <c r="W31" s="186">
        <v>0</v>
      </c>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c r="BD31" s="148"/>
      <c r="BE31" s="148"/>
      <c r="BF31" s="148"/>
      <c r="BG31" s="148"/>
      <c r="BH31" s="148"/>
      <c r="BI31" s="148"/>
      <c r="BJ31" s="148"/>
      <c r="BK31" s="148"/>
      <c r="BL31" s="148"/>
      <c r="BM31" s="148"/>
      <c r="BN31" s="148"/>
      <c r="BO31" s="148"/>
      <c r="BP31" s="148"/>
      <c r="BQ31" s="148"/>
      <c r="BR31" s="148"/>
      <c r="BS31" s="148"/>
      <c r="BT31" s="148"/>
      <c r="BU31" s="148"/>
      <c r="BV31" s="148"/>
      <c r="BW31" s="148"/>
      <c r="BX31" s="148"/>
      <c r="BY31" s="148"/>
      <c r="BZ31" s="148"/>
      <c r="CA31" s="148"/>
      <c r="CB31" s="148"/>
    </row>
    <row r="32" spans="1:128" x14ac:dyDescent="0.25">
      <c r="G32" s="182" t="str">
        <v>New sign Debt Balance</v>
      </c>
      <c r="H32" s="186">
        <v>0</v>
      </c>
      <c r="I32" s="186">
        <v>45000</v>
      </c>
      <c r="J32" s="186">
        <v>0</v>
      </c>
      <c r="K32" s="186">
        <v>0</v>
      </c>
      <c r="L32" s="186">
        <v>0</v>
      </c>
      <c r="M32" s="186">
        <v>0</v>
      </c>
      <c r="N32" s="186">
        <v>0</v>
      </c>
      <c r="O32" s="186">
        <v>0</v>
      </c>
      <c r="P32" s="186">
        <v>0</v>
      </c>
      <c r="Q32" s="186">
        <v>0</v>
      </c>
      <c r="R32" s="186">
        <v>0</v>
      </c>
      <c r="S32" s="186">
        <v>0</v>
      </c>
      <c r="T32" s="186">
        <v>0</v>
      </c>
      <c r="U32" s="186">
        <v>0</v>
      </c>
      <c r="V32" s="186">
        <v>0</v>
      </c>
      <c r="W32" s="186">
        <v>0</v>
      </c>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8"/>
      <c r="BN32" s="148"/>
      <c r="BO32" s="148"/>
      <c r="BP32" s="148"/>
      <c r="BQ32" s="148"/>
      <c r="BR32" s="148"/>
      <c r="BS32" s="148"/>
      <c r="BT32" s="148"/>
      <c r="BU32" s="148"/>
      <c r="BV32" s="148"/>
      <c r="BW32" s="148"/>
      <c r="BX32" s="148"/>
      <c r="BY32" s="148"/>
      <c r="BZ32" s="148"/>
      <c r="CA32" s="148"/>
      <c r="CB32" s="148"/>
    </row>
    <row r="33" spans="7:80" x14ac:dyDescent="0.25">
      <c r="G33" s="182" t="str">
        <v>New sign Interest</v>
      </c>
      <c r="H33" s="186">
        <v>1351.4876498941551</v>
      </c>
      <c r="I33" s="186">
        <v>1351.4876498941551</v>
      </c>
      <c r="J33" s="186">
        <v>0</v>
      </c>
      <c r="K33" s="186">
        <v>0</v>
      </c>
      <c r="L33" s="186">
        <v>0</v>
      </c>
      <c r="M33" s="186">
        <v>0</v>
      </c>
      <c r="N33" s="186">
        <v>0</v>
      </c>
      <c r="O33" s="186">
        <v>0</v>
      </c>
      <c r="P33" s="186">
        <v>0</v>
      </c>
      <c r="Q33" s="186">
        <v>0</v>
      </c>
      <c r="R33" s="186">
        <v>0</v>
      </c>
      <c r="S33" s="186">
        <v>0</v>
      </c>
      <c r="T33" s="186">
        <v>0</v>
      </c>
      <c r="U33" s="186">
        <v>0</v>
      </c>
      <c r="V33" s="186">
        <v>0</v>
      </c>
      <c r="W33" s="186">
        <v>0</v>
      </c>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c r="CB33" s="148"/>
    </row>
    <row r="34" spans="7:80" x14ac:dyDescent="0.25">
      <c r="G34" s="182" t="str">
        <v>New sign Debt Services</v>
      </c>
      <c r="H34" s="186">
        <v>-46351.487649894138</v>
      </c>
      <c r="I34" s="186">
        <v>-46351.487649894138</v>
      </c>
      <c r="J34" s="186">
        <v>0</v>
      </c>
      <c r="K34" s="186">
        <v>0</v>
      </c>
      <c r="L34" s="186">
        <v>0</v>
      </c>
      <c r="M34" s="186">
        <v>0</v>
      </c>
      <c r="N34" s="186">
        <v>0</v>
      </c>
      <c r="O34" s="186">
        <v>0</v>
      </c>
      <c r="P34" s="186">
        <v>0</v>
      </c>
      <c r="Q34" s="186">
        <v>0</v>
      </c>
      <c r="R34" s="186">
        <v>0</v>
      </c>
      <c r="S34" s="186">
        <v>0</v>
      </c>
      <c r="T34" s="186">
        <v>0</v>
      </c>
      <c r="U34" s="186">
        <v>0</v>
      </c>
      <c r="V34" s="186">
        <v>0</v>
      </c>
      <c r="W34" s="186">
        <v>0</v>
      </c>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c r="CB34" s="148"/>
    </row>
    <row r="35" spans="7:80" x14ac:dyDescent="0.25">
      <c r="G35" s="183" t="str">
        <v>New sign Closing Balance</v>
      </c>
      <c r="H35" s="186">
        <v>0</v>
      </c>
      <c r="I35" s="186">
        <v>1.4551915228366852E-11</v>
      </c>
      <c r="J35" s="186">
        <v>0</v>
      </c>
      <c r="K35" s="186">
        <v>0</v>
      </c>
      <c r="L35" s="186">
        <v>0</v>
      </c>
      <c r="M35" s="186">
        <v>0</v>
      </c>
      <c r="N35" s="186">
        <v>0</v>
      </c>
      <c r="O35" s="186">
        <v>0</v>
      </c>
      <c r="P35" s="186">
        <v>0</v>
      </c>
      <c r="Q35" s="186">
        <v>0</v>
      </c>
      <c r="R35" s="186">
        <v>0</v>
      </c>
      <c r="S35" s="186">
        <v>0</v>
      </c>
      <c r="T35" s="186">
        <v>0</v>
      </c>
      <c r="U35" s="186">
        <v>0</v>
      </c>
      <c r="V35" s="186">
        <v>0</v>
      </c>
      <c r="W35" s="186">
        <v>0</v>
      </c>
    </row>
    <row r="36" spans="7:80" x14ac:dyDescent="0.25">
      <c r="G36" s="183" t="str">
        <v>New sign Debt Repayment</v>
      </c>
      <c r="H36" s="186">
        <v>44999.999999999985</v>
      </c>
      <c r="I36" s="186">
        <v>44999.999999999985</v>
      </c>
      <c r="J36" s="186">
        <v>0</v>
      </c>
      <c r="K36" s="186">
        <v>0</v>
      </c>
      <c r="L36" s="186">
        <v>0</v>
      </c>
      <c r="M36" s="186">
        <v>0</v>
      </c>
      <c r="N36" s="186">
        <v>0</v>
      </c>
      <c r="O36" s="186">
        <v>0</v>
      </c>
      <c r="P36" s="186">
        <v>0</v>
      </c>
      <c r="Q36" s="186">
        <v>0</v>
      </c>
      <c r="R36" s="186">
        <v>0</v>
      </c>
      <c r="S36" s="186">
        <v>0</v>
      </c>
      <c r="T36" s="186">
        <v>0</v>
      </c>
      <c r="U36" s="186">
        <v>0</v>
      </c>
      <c r="V36" s="186">
        <v>0</v>
      </c>
      <c r="W36" s="186">
        <v>0</v>
      </c>
    </row>
    <row r="37" spans="7:80" x14ac:dyDescent="0.25">
      <c r="G37" s="183" t="str">
        <v/>
      </c>
      <c r="H37" s="186">
        <v>0</v>
      </c>
      <c r="I37" s="186" t="str">
        <v xml:space="preserve"> </v>
      </c>
      <c r="J37" s="186" t="str">
        <v xml:space="preserve"> </v>
      </c>
      <c r="K37" s="186" t="str">
        <v xml:space="preserve"> </v>
      </c>
      <c r="L37" s="186" t="str">
        <v xml:space="preserve"> </v>
      </c>
      <c r="M37" s="186" t="str">
        <v xml:space="preserve"> </v>
      </c>
      <c r="N37" s="186" t="str">
        <v xml:space="preserve"> </v>
      </c>
      <c r="O37" s="186" t="str">
        <v xml:space="preserve"> </v>
      </c>
      <c r="P37" s="186" t="str">
        <v xml:space="preserve"> </v>
      </c>
      <c r="Q37" s="186" t="str">
        <v xml:space="preserve"> </v>
      </c>
      <c r="R37" s="186" t="str">
        <v xml:space="preserve"> </v>
      </c>
      <c r="S37" s="186" t="str">
        <v xml:space="preserve"> </v>
      </c>
      <c r="T37" s="186" t="str">
        <v xml:space="preserve"> </v>
      </c>
      <c r="U37" s="186" t="str">
        <v xml:space="preserve"> </v>
      </c>
      <c r="V37" s="186" t="str">
        <v xml:space="preserve"> </v>
      </c>
      <c r="W37" s="186" t="str">
        <v xml:space="preserve"> </v>
      </c>
    </row>
    <row r="38" spans="7:80" x14ac:dyDescent="0.25">
      <c r="G38" s="183" t="str">
        <v>Parking Lot Debt Issuance</v>
      </c>
      <c r="H38" s="186">
        <v>0</v>
      </c>
      <c r="I38" s="186">
        <v>0</v>
      </c>
      <c r="J38" s="186">
        <v>500000</v>
      </c>
      <c r="K38" s="186">
        <v>0</v>
      </c>
      <c r="L38" s="186">
        <v>0</v>
      </c>
      <c r="M38" s="186">
        <v>0</v>
      </c>
      <c r="N38" s="186">
        <v>0</v>
      </c>
      <c r="O38" s="186">
        <v>0</v>
      </c>
      <c r="P38" s="186">
        <v>0</v>
      </c>
      <c r="Q38" s="186">
        <v>0</v>
      </c>
      <c r="R38" s="186">
        <v>0</v>
      </c>
      <c r="S38" s="186">
        <v>0</v>
      </c>
      <c r="T38" s="186">
        <v>0</v>
      </c>
      <c r="U38" s="186">
        <v>0</v>
      </c>
      <c r="V38" s="186">
        <v>0</v>
      </c>
      <c r="W38" s="186">
        <v>0</v>
      </c>
    </row>
    <row r="39" spans="7:80" x14ac:dyDescent="0.25">
      <c r="G39" s="182" t="str">
        <v>Parking Lot Debt Balance</v>
      </c>
      <c r="H39" s="186">
        <v>0</v>
      </c>
      <c r="I39" s="186">
        <v>0</v>
      </c>
      <c r="J39" s="186">
        <v>500000</v>
      </c>
      <c r="K39" s="186">
        <v>311871.30198002694</v>
      </c>
      <c r="L39" s="186">
        <v>108128.01480805682</v>
      </c>
      <c r="M39" s="186">
        <v>0</v>
      </c>
      <c r="N39" s="186">
        <v>0</v>
      </c>
      <c r="O39" s="186">
        <v>0</v>
      </c>
      <c r="P39" s="186">
        <v>0</v>
      </c>
      <c r="Q39" s="186">
        <v>0</v>
      </c>
      <c r="R39" s="186">
        <v>0</v>
      </c>
      <c r="S39" s="186">
        <v>0</v>
      </c>
      <c r="T39" s="186">
        <v>0</v>
      </c>
      <c r="U39" s="186">
        <v>0</v>
      </c>
      <c r="V39" s="186">
        <v>0</v>
      </c>
      <c r="W39" s="186">
        <v>0</v>
      </c>
    </row>
    <row r="40" spans="7:80" x14ac:dyDescent="0.25">
      <c r="G40" s="182" t="str">
        <v>Parking Lot Interest</v>
      </c>
      <c r="H40" s="186">
        <v>53324.857595300615</v>
      </c>
      <c r="I40" s="186">
        <v>0</v>
      </c>
      <c r="J40" s="186">
        <v>33201.245018145353</v>
      </c>
      <c r="K40" s="186">
        <v>17586.655866148452</v>
      </c>
      <c r="L40" s="186">
        <v>2536.9567110068115</v>
      </c>
      <c r="M40" s="186">
        <v>0</v>
      </c>
      <c r="N40" s="186">
        <v>0</v>
      </c>
      <c r="O40" s="186">
        <v>0</v>
      </c>
      <c r="P40" s="186">
        <v>0</v>
      </c>
      <c r="Q40" s="186">
        <v>0</v>
      </c>
      <c r="R40" s="186">
        <v>0</v>
      </c>
      <c r="S40" s="186">
        <v>0</v>
      </c>
      <c r="T40" s="186">
        <v>0</v>
      </c>
      <c r="U40" s="186">
        <v>0</v>
      </c>
      <c r="V40" s="186">
        <v>0</v>
      </c>
      <c r="W40" s="186">
        <v>0</v>
      </c>
    </row>
    <row r="41" spans="7:80" x14ac:dyDescent="0.25">
      <c r="G41" s="182" t="str">
        <v>Parking Lot Debt Services</v>
      </c>
      <c r="H41">
        <v>-553324.8575953003</v>
      </c>
      <c r="I41">
        <v>0</v>
      </c>
      <c r="J41">
        <v>-221329.94303812014</v>
      </c>
      <c r="K41">
        <v>-221329.94303812014</v>
      </c>
      <c r="L41">
        <v>-110664.97151906005</v>
      </c>
      <c r="M41">
        <v>0</v>
      </c>
      <c r="N41">
        <v>0</v>
      </c>
      <c r="O41">
        <v>0</v>
      </c>
      <c r="P41">
        <v>0</v>
      </c>
      <c r="Q41">
        <v>0</v>
      </c>
      <c r="R41">
        <v>0</v>
      </c>
      <c r="S41">
        <v>0</v>
      </c>
      <c r="T41">
        <v>0</v>
      </c>
      <c r="U41">
        <v>0</v>
      </c>
      <c r="V41">
        <v>0</v>
      </c>
      <c r="W41">
        <v>0</v>
      </c>
    </row>
    <row r="42" spans="7:80" x14ac:dyDescent="0.25">
      <c r="G42" t="str">
        <v>Parking Lot Closing Balance</v>
      </c>
      <c r="H42">
        <v>0</v>
      </c>
      <c r="I42">
        <v>0</v>
      </c>
      <c r="J42">
        <v>311871.30198002513</v>
      </c>
      <c r="K42">
        <v>108128.01480805528</v>
      </c>
      <c r="L42">
        <v>3.5797711461782455E-9</v>
      </c>
      <c r="M42">
        <v>0</v>
      </c>
      <c r="N42">
        <v>0</v>
      </c>
      <c r="O42">
        <v>0</v>
      </c>
      <c r="P42">
        <v>0</v>
      </c>
      <c r="Q42">
        <v>0</v>
      </c>
      <c r="R42">
        <v>0</v>
      </c>
      <c r="S42">
        <v>0</v>
      </c>
      <c r="T42">
        <v>0</v>
      </c>
      <c r="U42">
        <v>0</v>
      </c>
      <c r="V42">
        <v>0</v>
      </c>
      <c r="W42">
        <v>0</v>
      </c>
    </row>
    <row r="43" spans="7:80" x14ac:dyDescent="0.25">
      <c r="G43" t="str">
        <v>Parking Lot Debt Repayment</v>
      </c>
      <c r="H43">
        <v>499999.99999999977</v>
      </c>
      <c r="I43">
        <v>0</v>
      </c>
      <c r="J43">
        <v>188128.69801997478</v>
      </c>
      <c r="K43">
        <v>203743.28717197169</v>
      </c>
      <c r="L43">
        <v>108128.01480805324</v>
      </c>
      <c r="M43">
        <v>0</v>
      </c>
      <c r="N43">
        <v>0</v>
      </c>
      <c r="O43">
        <v>0</v>
      </c>
      <c r="P43">
        <v>0</v>
      </c>
      <c r="Q43">
        <v>0</v>
      </c>
      <c r="R43">
        <v>0</v>
      </c>
      <c r="S43">
        <v>0</v>
      </c>
      <c r="T43">
        <v>0</v>
      </c>
      <c r="U43">
        <v>0</v>
      </c>
      <c r="V43">
        <v>0</v>
      </c>
      <c r="W43">
        <v>0</v>
      </c>
    </row>
  </sheetData>
  <mergeCells count="3">
    <mergeCell ref="A1:P1"/>
    <mergeCell ref="A21:C21"/>
    <mergeCell ref="A2:Q2"/>
  </mergeCells>
  <conditionalFormatting sqref="A24:E26">
    <cfRule type="expression" dxfId="7" priority="1">
      <formula>MOD(ROW(),2)=0</formula>
    </cfRule>
  </conditionalFormatting>
  <conditionalFormatting sqref="G24:CN27 G28 I28:CN28 I29:W40">
    <cfRule type="expression" dxfId="6" priority="3">
      <formula>FIND("Closing",$G24)</formula>
    </cfRule>
  </conditionalFormatting>
  <conditionalFormatting sqref="G29:CN41">
    <cfRule type="expression" dxfId="5" priority="4">
      <formula>FIND("Closing",$G29)</formula>
    </cfRule>
  </conditionalFormatting>
  <conditionalFormatting sqref="H28:H40">
    <cfRule type="expression" dxfId="4" priority="2">
      <formula>FIND("Closing",$G28)</formula>
    </cfRule>
  </conditionalFormatting>
  <dataValidations count="1">
    <dataValidation type="list" allowBlank="1" showInputMessage="1" showErrorMessage="1" sqref="H22" xr:uid="{B3742D96-3E50-4DB2-ADC8-24145F10D5A8}">
      <formula1>"M,Q,Y"</formula1>
    </dataValidation>
  </dataValidations>
  <hyperlinks>
    <hyperlink ref="A1" location="'TOC'!$A$1" display="'TOC'!$A$1" xr:uid="{6EF4E97F-A7BD-4EC2-B0D8-B72777480AA4}"/>
  </hyperlinks>
  <pageMargins left="0.7" right="0.7" top="0.75" bottom="0.75" header="0.3" footer="0.3"/>
  <customProperties>
    <customPr name="Description" r:id="rId1"/>
  </customPropertie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8D9F-2924-4D58-B0F3-EB7F3BC65118}">
  <sheetPr codeName="Sheet39">
    <tabColor rgb="FF157A5F"/>
  </sheetPr>
  <dimension ref="A1:S32"/>
  <sheetViews>
    <sheetView showGridLines="0" workbookViewId="0">
      <selection activeCell="A1" sqref="A1"/>
    </sheetView>
  </sheetViews>
  <sheetFormatPr defaultRowHeight="15" x14ac:dyDescent="0.25"/>
  <cols>
    <col min="1" max="1" width="12.7109375" bestFit="1" customWidth="1"/>
    <col min="2" max="2" width="12.7109375" customWidth="1"/>
    <col min="3" max="3" width="7" bestFit="1" customWidth="1"/>
    <col min="5" max="5" width="10.7109375" bestFit="1" customWidth="1"/>
    <col min="6" max="6" width="15.5703125" bestFit="1" customWidth="1"/>
    <col min="7" max="7" width="11.140625" bestFit="1" customWidth="1"/>
    <col min="8" max="8" width="11.28515625" bestFit="1" customWidth="1"/>
    <col min="9" max="9" width="11.7109375" bestFit="1" customWidth="1"/>
    <col min="10" max="10" width="11.28515625" bestFit="1" customWidth="1"/>
    <col min="11" max="11" width="12.140625" bestFit="1" customWidth="1"/>
    <col min="12" max="12" width="11.28515625" bestFit="1" customWidth="1"/>
    <col min="13" max="13" width="10.5703125" bestFit="1" customWidth="1"/>
    <col min="14" max="14" width="11.7109375" bestFit="1" customWidth="1"/>
    <col min="15" max="15" width="11.42578125" bestFit="1" customWidth="1"/>
    <col min="16" max="16" width="11.28515625" bestFit="1" customWidth="1"/>
    <col min="17" max="17" width="11.7109375" bestFit="1" customWidth="1"/>
    <col min="18" max="18" width="11.42578125" bestFit="1" customWidth="1"/>
    <col min="19" max="19" width="10.5703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9" ht="45.75" x14ac:dyDescent="0.65">
      <c r="A1" s="270" t="str">
        <f>_xlfn.TEXTAFTER(CELL("filename",A1),"]")</f>
        <v>nabla.f.Corkscrewλ</v>
      </c>
      <c r="B1" s="270"/>
      <c r="C1" s="270"/>
      <c r="D1" s="270"/>
      <c r="E1" s="270"/>
      <c r="F1" s="270"/>
      <c r="G1" s="270"/>
      <c r="H1" s="270"/>
      <c r="I1" s="270"/>
      <c r="J1" s="270"/>
      <c r="K1" s="270"/>
      <c r="L1" s="270"/>
      <c r="M1" s="270"/>
      <c r="N1" s="270"/>
      <c r="O1" s="270"/>
      <c r="P1" s="270"/>
      <c r="Q1" s="270"/>
      <c r="R1" s="270"/>
      <c r="S1" s="270"/>
    </row>
    <row r="2" spans="1:19" x14ac:dyDescent="0.25">
      <c r="A2" s="273" t="s">
        <v>207</v>
      </c>
      <c r="B2" s="287"/>
      <c r="C2" s="287"/>
      <c r="D2" s="287"/>
      <c r="E2" s="287"/>
      <c r="F2" s="287"/>
      <c r="G2" s="287"/>
      <c r="H2" s="287"/>
      <c r="I2" s="287"/>
      <c r="J2" s="287"/>
      <c r="K2" s="287"/>
      <c r="L2" s="287"/>
      <c r="M2" s="287"/>
      <c r="N2" s="287"/>
      <c r="O2" s="287"/>
      <c r="P2" s="288"/>
      <c r="Q2" s="104"/>
      <c r="R2" s="104"/>
      <c r="S2" s="104"/>
    </row>
    <row r="3" spans="1:19" x14ac:dyDescent="0.25">
      <c r="A3" s="104"/>
      <c r="B3" s="104"/>
      <c r="C3" s="104"/>
      <c r="D3" s="104"/>
      <c r="E3" s="104"/>
      <c r="F3" s="104"/>
      <c r="G3" s="104"/>
      <c r="H3" s="104"/>
      <c r="I3" s="104"/>
      <c r="J3" s="104"/>
      <c r="K3" s="104"/>
      <c r="L3" s="104"/>
      <c r="M3" s="104"/>
      <c r="N3" s="104"/>
      <c r="O3" s="104"/>
      <c r="P3" s="104"/>
      <c r="Q3" s="104"/>
      <c r="R3" s="104"/>
      <c r="S3" s="104"/>
    </row>
    <row r="4" spans="1:19" x14ac:dyDescent="0.25">
      <c r="A4" s="162" t="str" cm="1">
        <f t="array" ref="A4:B20">nabla.f.Corkscrewλ()</f>
        <v>FUNCTION:</v>
      </c>
      <c r="B4" t="str">
        <v>Corkscrewλ( Opening, FLow1, [Flow2], [Flow3], [Flow4])</v>
      </c>
    </row>
    <row r="5" spans="1:19" x14ac:dyDescent="0.25">
      <c r="A5" t="str">
        <v>DESCRIPTION:</v>
      </c>
      <c r="B5" t="str">
        <v>Create a corkscrew section that sums the opening balance and up to 4 independent flows</v>
      </c>
    </row>
    <row r="6" spans="1:19" x14ac:dyDescent="0.25">
      <c r="A6" t="str">
        <v>WEBPAGE:</v>
      </c>
      <c r="B6" t="str">
        <v>&lt;Coming Soon&gt;</v>
      </c>
    </row>
    <row r="7" spans="1:19" x14ac:dyDescent="0.25">
      <c r="A7" t="str">
        <v>VERSION:</v>
      </c>
      <c r="B7" t="str">
        <v>18 Aug 2026</v>
      </c>
    </row>
    <row r="8" spans="1:19" x14ac:dyDescent="0.25">
      <c r="A8" t="str">
        <v>PARAMETERS:</v>
      </c>
      <c r="B8" t="str">
        <v/>
      </c>
    </row>
    <row r="9" spans="1:19" x14ac:dyDescent="0.25">
      <c r="A9" t="str">
        <v>Opening</v>
      </c>
      <c r="B9" t="str">
        <v>(Required) First periods opening balance.</v>
      </c>
    </row>
    <row r="10" spans="1:19" x14ac:dyDescent="0.25">
      <c r="A10" t="str">
        <v>Flow1</v>
      </c>
      <c r="B10" t="str">
        <v>(Required) First row (or array of rows) of numbers to include in period totals.</v>
      </c>
    </row>
    <row r="11" spans="1:19" x14ac:dyDescent="0.25">
      <c r="A11" t="str">
        <v>Flow2</v>
      </c>
      <c r="B11" t="str">
        <v>(Optional) Second row (or array of rows) of numbers to include in period totals.</v>
      </c>
    </row>
    <row r="12" spans="1:19" x14ac:dyDescent="0.25">
      <c r="A12" t="str">
        <v>Flow3</v>
      </c>
      <c r="B12" t="str">
        <v>(Optional) Third row (or array of rows) of numbers to include in period totals.</v>
      </c>
    </row>
    <row r="13" spans="1:19" x14ac:dyDescent="0.25">
      <c r="A13" t="str">
        <v>Flow4</v>
      </c>
      <c r="B13" t="str">
        <v>(Optional) Fourth row (or array of rows) of numbers to include in period totals.</v>
      </c>
    </row>
    <row r="14" spans="1:19" x14ac:dyDescent="0.25">
      <c r="A14" t="str">
        <v>NOTE!</v>
      </c>
      <c r="B14" t="str">
        <v>All flows are added. To subtract a flow make it negative.</v>
      </c>
    </row>
    <row r="15" spans="1:19" x14ac:dyDescent="0.25">
      <c r="A15" t="str">
        <v/>
      </c>
      <c r="B15" t="str">
        <v/>
      </c>
    </row>
    <row r="16" spans="1:19" x14ac:dyDescent="0.25">
      <c r="A16" t="str">
        <v>EXAMPLES:</v>
      </c>
      <c r="B16" t="str">
        <v>NOTE! nabla.f is assumed to be the module's name</v>
      </c>
    </row>
    <row r="17" spans="1:18" x14ac:dyDescent="0.25">
      <c r="A17" t="str">
        <v>Formula:</v>
      </c>
      <c r="B17" t="str">
        <v>=nabla.f.Corkscrewλ(0, Sequence(1,5))</v>
      </c>
    </row>
    <row r="18" spans="1:18" x14ac:dyDescent="0.25">
      <c r="A18" t="str">
        <v>Result:</v>
      </c>
      <c r="B18" t="str">
        <v>00, 01, 03, 06, 10</v>
      </c>
    </row>
    <row r="19" spans="1:18" x14ac:dyDescent="0.25">
      <c r="A19" t="str">
        <v/>
      </c>
      <c r="B19" t="str">
        <v>01, 02, 03, 04, 05</v>
      </c>
    </row>
    <row r="20" spans="1:18" x14ac:dyDescent="0.25">
      <c r="A20" t="str">
        <v/>
      </c>
      <c r="B20" t="str">
        <v>01, 03, 06, 10, 15</v>
      </c>
    </row>
    <row r="22" spans="1:18" ht="20.25" x14ac:dyDescent="0.3">
      <c r="A22" s="302" t="s">
        <v>272</v>
      </c>
      <c r="B22" s="302"/>
      <c r="C22" s="302"/>
    </row>
    <row r="23" spans="1:18" x14ac:dyDescent="0.25">
      <c r="F23" s="191" t="s">
        <v>279</v>
      </c>
      <c r="G23" s="165" cm="1">
        <f t="array" ref="G23:R23">nabla.d.Timelineλ($B$25, $B$26, $B$27, FALSE)</f>
        <v>45322</v>
      </c>
      <c r="H23" s="165">
        <v>46081</v>
      </c>
      <c r="I23" s="165">
        <v>46112</v>
      </c>
      <c r="J23" s="165">
        <v>46142</v>
      </c>
      <c r="K23" s="165">
        <v>46173</v>
      </c>
      <c r="L23" s="165">
        <v>46203</v>
      </c>
      <c r="M23" s="165">
        <v>46234</v>
      </c>
      <c r="N23" s="165">
        <v>46265</v>
      </c>
      <c r="O23" s="165">
        <v>46295</v>
      </c>
      <c r="P23" s="165">
        <v>46326</v>
      </c>
      <c r="Q23" s="165">
        <v>46356</v>
      </c>
      <c r="R23" s="165">
        <v>46387</v>
      </c>
    </row>
    <row r="24" spans="1:18" x14ac:dyDescent="0.25">
      <c r="A24" s="161" t="s">
        <v>273</v>
      </c>
      <c r="B24" s="161" t="s">
        <v>138</v>
      </c>
      <c r="C24" s="161" t="s">
        <v>139</v>
      </c>
      <c r="F24" s="190" t="s">
        <v>276</v>
      </c>
      <c r="G24" s="1" cm="1">
        <f t="array" ref="G24:R24">nabla.d.Timelineλ($B$25, $B$26, $B$27)</f>
        <v>45292</v>
      </c>
      <c r="H24" s="1">
        <v>46054</v>
      </c>
      <c r="I24" s="1">
        <v>46082</v>
      </c>
      <c r="J24" s="1">
        <v>46113</v>
      </c>
      <c r="K24" s="1">
        <v>46143</v>
      </c>
      <c r="L24" s="1">
        <v>46174</v>
      </c>
      <c r="M24" s="1">
        <v>46204</v>
      </c>
      <c r="N24" s="1">
        <v>46235</v>
      </c>
      <c r="O24" s="1">
        <v>46266</v>
      </c>
      <c r="P24" s="1">
        <v>46296</v>
      </c>
      <c r="Q24" s="1">
        <v>46327</v>
      </c>
      <c r="R24" s="1">
        <v>46357</v>
      </c>
    </row>
    <row r="25" spans="1:18" x14ac:dyDescent="0.25">
      <c r="A25" t="s">
        <v>236</v>
      </c>
      <c r="B25" s="141">
        <v>46023</v>
      </c>
      <c r="C25" t="s">
        <v>145</v>
      </c>
      <c r="E25" s="2" t="s">
        <v>275</v>
      </c>
      <c r="F25">
        <f>SUM(_xlfn.ANCHORARRAY(G25))</f>
        <v>53360</v>
      </c>
      <c r="G25" s="192" cm="1">
        <f t="array" ref="G25:R25">nabla.d.ScheduleValuesλ(_xlfn.ANCHORARRAY( $G$24),_xlfn.ANCHORARRAY( $G$23), tblCO[Amount], tblCO[Issued])</f>
        <v>53360</v>
      </c>
      <c r="H25">
        <f/>
        <v>0</v>
      </c>
      <c r="I25">
        <f/>
        <v>0</v>
      </c>
      <c r="J25">
        <f/>
        <v>0</v>
      </c>
      <c r="K25">
        <f/>
        <v>0</v>
      </c>
      <c r="L25">
        <f/>
        <v>0</v>
      </c>
      <c r="M25">
        <f/>
        <v>0</v>
      </c>
      <c r="N25">
        <f/>
        <v>0</v>
      </c>
      <c r="O25">
        <f/>
        <v>0</v>
      </c>
      <c r="P25">
        <f/>
        <v>0</v>
      </c>
      <c r="Q25">
        <f/>
        <v>0</v>
      </c>
      <c r="R25">
        <f/>
        <v>0</v>
      </c>
    </row>
    <row r="26" spans="1:18" x14ac:dyDescent="0.25">
      <c r="A26" t="s">
        <v>141</v>
      </c>
      <c r="B26">
        <v>12</v>
      </c>
      <c r="C26" t="s">
        <v>146</v>
      </c>
      <c r="E26" s="2" t="s">
        <v>277</v>
      </c>
      <c r="F26">
        <f>SUM(_xlfn.ANCHORARRAY(G26))</f>
        <v>53360</v>
      </c>
      <c r="G26" s="192" cm="1">
        <f t="array" ref="G26:R26">nabla.d.ScheduleValuesλ(_xlfn.ANCHORARRAY( $G$24),_xlfn.ANCHORARRAY( $G$23), tblCO[Amount], tblCO[Exp. Receipt])</f>
        <v>4354</v>
      </c>
      <c r="H26">
        <f/>
        <v>29624</v>
      </c>
      <c r="I26">
        <f/>
        <v>9256</v>
      </c>
      <c r="J26">
        <f/>
        <v>0</v>
      </c>
      <c r="K26">
        <f/>
        <v>10126</v>
      </c>
      <c r="L26">
        <f/>
        <v>0</v>
      </c>
      <c r="M26">
        <f/>
        <v>0</v>
      </c>
      <c r="N26">
        <f/>
        <v>0</v>
      </c>
      <c r="O26">
        <f/>
        <v>0</v>
      </c>
      <c r="P26">
        <f/>
        <v>0</v>
      </c>
      <c r="Q26">
        <f/>
        <v>0</v>
      </c>
      <c r="R26">
        <f/>
        <v>0</v>
      </c>
    </row>
    <row r="27" spans="1:18" x14ac:dyDescent="0.25">
      <c r="A27" t="s">
        <v>142</v>
      </c>
      <c r="B27" t="s">
        <v>144</v>
      </c>
      <c r="G27" cm="1">
        <f t="array" ref="G27:R27">nabla.e.SumColsλ(_xlfn.ANCHORARRAY(G25)-_xlfn.ANCHORARRAY(G26))</f>
        <v>49006</v>
      </c>
      <c r="H27">
        <f/>
        <v>-29624</v>
      </c>
      <c r="I27">
        <f/>
        <v>-9256</v>
      </c>
      <c r="J27">
        <f/>
        <v>0</v>
      </c>
      <c r="K27">
        <f/>
        <v>-10126</v>
      </c>
      <c r="L27">
        <f/>
        <v>0</v>
      </c>
      <c r="M27">
        <f/>
        <v>0</v>
      </c>
      <c r="N27">
        <f/>
        <v>0</v>
      </c>
      <c r="O27">
        <f/>
        <v>0</v>
      </c>
      <c r="P27">
        <f/>
        <v>0</v>
      </c>
      <c r="Q27">
        <f/>
        <v>0</v>
      </c>
      <c r="R27">
        <f/>
        <v>0</v>
      </c>
    </row>
    <row r="29" spans="1:18" x14ac:dyDescent="0.25">
      <c r="E29" t="s">
        <v>293</v>
      </c>
      <c r="G29" s="162" cm="1">
        <f t="array" ref="G29:R32">nabla.f.Corkscrewλ(0,_xlfn.ANCHORARRAY(G25),-_xlfn.ANCHORARRAY(G26))</f>
        <v>0</v>
      </c>
      <c r="H29">
        <f/>
        <v>49006</v>
      </c>
      <c r="I29">
        <f/>
        <v>19382</v>
      </c>
      <c r="J29">
        <f/>
        <v>10126</v>
      </c>
      <c r="K29">
        <f/>
        <v>10126</v>
      </c>
      <c r="L29">
        <f/>
        <v>0</v>
      </c>
      <c r="M29">
        <f/>
        <v>0</v>
      </c>
      <c r="N29">
        <f/>
        <v>0</v>
      </c>
      <c r="O29">
        <f/>
        <v>0</v>
      </c>
      <c r="P29">
        <f/>
        <v>0</v>
      </c>
      <c r="Q29">
        <f/>
        <v>0</v>
      </c>
      <c r="R29">
        <f/>
        <v>0</v>
      </c>
    </row>
    <row r="30" spans="1:18" x14ac:dyDescent="0.25">
      <c r="E30" t="s">
        <v>275</v>
      </c>
      <c r="G30">
        <f/>
        <v>53360</v>
      </c>
      <c r="H30">
        <f/>
        <v>0</v>
      </c>
      <c r="I30">
        <f/>
        <v>0</v>
      </c>
      <c r="J30">
        <f/>
        <v>0</v>
      </c>
      <c r="K30">
        <f/>
        <v>0</v>
      </c>
      <c r="L30">
        <f/>
        <v>0</v>
      </c>
      <c r="M30">
        <f/>
        <v>0</v>
      </c>
      <c r="N30">
        <f/>
        <v>0</v>
      </c>
      <c r="O30">
        <f/>
        <v>0</v>
      </c>
      <c r="P30">
        <f/>
        <v>0</v>
      </c>
      <c r="Q30">
        <f/>
        <v>0</v>
      </c>
      <c r="R30">
        <f/>
        <v>0</v>
      </c>
    </row>
    <row r="31" spans="1:18" x14ac:dyDescent="0.25">
      <c r="E31" t="s">
        <v>277</v>
      </c>
      <c r="G31">
        <f/>
        <v>-4354</v>
      </c>
      <c r="H31">
        <f/>
        <v>-29624</v>
      </c>
      <c r="I31">
        <f/>
        <v>-9256</v>
      </c>
      <c r="J31">
        <f/>
        <v>0</v>
      </c>
      <c r="K31">
        <f/>
        <v>-10126</v>
      </c>
      <c r="L31">
        <f/>
        <v>0</v>
      </c>
      <c r="M31">
        <f/>
        <v>0</v>
      </c>
      <c r="N31">
        <f/>
        <v>0</v>
      </c>
      <c r="O31">
        <f/>
        <v>0</v>
      </c>
      <c r="P31">
        <f/>
        <v>0</v>
      </c>
      <c r="Q31">
        <f/>
        <v>0</v>
      </c>
      <c r="R31">
        <f/>
        <v>0</v>
      </c>
    </row>
    <row r="32" spans="1:18" x14ac:dyDescent="0.25">
      <c r="E32" t="s">
        <v>154</v>
      </c>
      <c r="G32">
        <f/>
        <v>49006</v>
      </c>
      <c r="H32">
        <f/>
        <v>19382</v>
      </c>
      <c r="I32">
        <f/>
        <v>10126</v>
      </c>
      <c r="J32">
        <f/>
        <v>10126</v>
      </c>
      <c r="K32">
        <f/>
        <v>0</v>
      </c>
      <c r="L32">
        <f/>
        <v>0</v>
      </c>
      <c r="M32">
        <f/>
        <v>0</v>
      </c>
      <c r="N32">
        <f/>
        <v>0</v>
      </c>
      <c r="O32">
        <f/>
        <v>0</v>
      </c>
      <c r="P32">
        <f/>
        <v>0</v>
      </c>
      <c r="Q32">
        <f/>
        <v>0</v>
      </c>
      <c r="R32">
        <f/>
        <v>0</v>
      </c>
    </row>
  </sheetData>
  <mergeCells count="3">
    <mergeCell ref="A1:S1"/>
    <mergeCell ref="A22:C22"/>
    <mergeCell ref="A2:P2"/>
  </mergeCells>
  <hyperlinks>
    <hyperlink ref="A1" location="'TOC'!$A$1" display="'TOC'!$A$1" xr:uid="{0BFA959E-2266-424E-95C4-C32FAC957F5B}"/>
  </hyperlinks>
  <pageMargins left="0.7" right="0.7" top="0.75" bottom="0.75" header="0.3" footer="0.3"/>
  <customProperties>
    <customPr name="Description" r:id="rId1"/>
  </customPropertie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DB4E-4ED3-4615-85FC-CF577D3AF629}">
  <sheetPr codeName="Sheet55">
    <tabColor rgb="FF157A5F"/>
  </sheetPr>
  <dimension ref="A1:R22"/>
  <sheetViews>
    <sheetView showGridLines="0" workbookViewId="0">
      <selection activeCell="A1" sqref="A1"/>
    </sheetView>
  </sheetViews>
  <sheetFormatPr defaultRowHeight="15" x14ac:dyDescent="0.25"/>
  <cols>
    <col min="1" max="1" width="14.7109375" customWidth="1"/>
    <col min="2" max="2" width="11.42578125" customWidth="1"/>
    <col min="5" max="5" width="14.140625" bestFit="1" customWidth="1"/>
    <col min="6" max="6" width="15.5703125" bestFit="1" customWidth="1"/>
    <col min="7" max="7" width="11.140625" bestFit="1" customWidth="1"/>
    <col min="8" max="8" width="11.28515625" bestFit="1" customWidth="1"/>
    <col min="9" max="9" width="11.7109375" bestFit="1" customWidth="1"/>
    <col min="10" max="10" width="11.28515625" bestFit="1" customWidth="1"/>
    <col min="11" max="11" width="12.140625" bestFit="1" customWidth="1"/>
    <col min="12" max="12" width="11.28515625" bestFit="1" customWidth="1"/>
    <col min="13" max="13" width="10.5703125" bestFit="1" customWidth="1"/>
    <col min="14" max="14" width="11.7109375" bestFit="1" customWidth="1"/>
    <col min="15" max="15" width="11.42578125" bestFit="1" customWidth="1"/>
    <col min="16" max="16" width="11.28515625" bestFit="1" customWidth="1"/>
    <col min="17" max="17" width="11.7109375" bestFit="1" customWidth="1"/>
    <col min="18" max="18" width="11.42578125" bestFit="1" customWidth="1"/>
  </cols>
  <sheetData>
    <row r="1" spans="1:16" ht="45.75" x14ac:dyDescent="0.65">
      <c r="A1" s="270" t="str">
        <f>_xlfn.TEXTAFTER(CELL("filename",A1),"]")</f>
        <v>nabla.f.Cumulativeλ</v>
      </c>
      <c r="B1" s="270"/>
      <c r="C1" s="270"/>
      <c r="D1" s="270"/>
      <c r="E1" s="270"/>
      <c r="F1" s="270"/>
      <c r="G1" s="270"/>
      <c r="H1" s="270"/>
      <c r="I1" s="270"/>
      <c r="J1" s="270"/>
      <c r="K1" s="270"/>
      <c r="L1" s="270"/>
      <c r="M1" s="270"/>
      <c r="N1" s="270"/>
      <c r="O1" s="270"/>
      <c r="P1" s="270"/>
    </row>
    <row r="2" spans="1:16" x14ac:dyDescent="0.25">
      <c r="A2" s="273" t="s">
        <v>309</v>
      </c>
      <c r="B2" s="287"/>
      <c r="C2" s="287"/>
      <c r="D2" s="287"/>
      <c r="E2" s="287"/>
      <c r="F2" s="287"/>
      <c r="G2" s="287"/>
      <c r="H2" s="287"/>
      <c r="I2" s="287"/>
      <c r="J2" s="287"/>
      <c r="K2" s="287"/>
      <c r="L2" s="287"/>
      <c r="M2" s="287"/>
      <c r="N2" s="287"/>
      <c r="O2" s="287"/>
      <c r="P2" s="288"/>
    </row>
    <row r="3" spans="1:16" x14ac:dyDescent="0.25">
      <c r="A3" s="104"/>
      <c r="B3" s="104"/>
      <c r="C3" s="104"/>
      <c r="D3" s="104"/>
      <c r="E3" s="104"/>
      <c r="F3" s="104"/>
      <c r="G3" s="104"/>
      <c r="H3" s="104"/>
      <c r="I3" s="104"/>
      <c r="J3" s="104"/>
      <c r="K3" s="104"/>
      <c r="L3" s="104"/>
      <c r="M3" s="104"/>
      <c r="N3" s="104"/>
      <c r="O3" s="104"/>
      <c r="P3" s="104"/>
    </row>
    <row r="4" spans="1:16" x14ac:dyDescent="0.25">
      <c r="A4" s="162" t="str" cm="1">
        <f t="array" ref="A4:B13">nabla.f.Cumulativeλ()</f>
        <v>FUNCTION:</v>
      </c>
      <c r="B4" t="str">
        <v>Cumulativeλ( Totals, [OpeningBalance])</v>
      </c>
    </row>
    <row r="5" spans="1:16" x14ac:dyDescent="0.25">
      <c r="A5" t="str">
        <v>DESCRIPTION:</v>
      </c>
      <c r="B5" t="str">
        <v>Creates a row or column of cumulative totals from a total row or column</v>
      </c>
    </row>
    <row r="6" spans="1:16" x14ac:dyDescent="0.25">
      <c r="A6" t="str">
        <v>WEBPAGE:</v>
      </c>
      <c r="B6" t="str">
        <v>https://github.com/ryanduguid/Nabla</v>
      </c>
    </row>
    <row r="7" spans="1:16" x14ac:dyDescent="0.25">
      <c r="A7" t="str">
        <v>VERSION:</v>
      </c>
      <c r="B7" t="str">
        <v>18 Aug 2026</v>
      </c>
    </row>
    <row r="8" spans="1:16" x14ac:dyDescent="0.25">
      <c r="A8" t="str">
        <v>PARAMETERS:</v>
      </c>
      <c r="B8" t="str">
        <v/>
      </c>
    </row>
    <row r="9" spans="1:16" x14ac:dyDescent="0.25">
      <c r="A9" t="str">
        <v>Totals</v>
      </c>
      <c r="B9" t="str">
        <v>(Required) A row or column of totals from which to run cumulative totals</v>
      </c>
    </row>
    <row r="10" spans="1:16" x14ac:dyDescent="0.25">
      <c r="A10" t="str">
        <v>OpeningBalance</v>
      </c>
      <c r="B10" t="str">
        <v>(Optional) A starting balance. This defaults to 0</v>
      </c>
    </row>
    <row r="11" spans="1:16" x14ac:dyDescent="0.25">
      <c r="A11" t="str">
        <v>EXAMPLES:</v>
      </c>
      <c r="B11" t="str">
        <v/>
      </c>
    </row>
    <row r="12" spans="1:16" x14ac:dyDescent="0.25">
      <c r="A12" t="str">
        <v>Result</v>
      </c>
      <c r="B12" t="str">
        <v>Formula (nabla.f is assumed to be the module's name)</v>
      </c>
    </row>
    <row r="13" spans="1:16" x14ac:dyDescent="0.25">
      <c r="A13" t="str">
        <v>1,3,6</v>
      </c>
      <c r="B13" t="str">
        <v>=nabla.f.Cumulativeλ(Sequence(,3))</v>
      </c>
    </row>
    <row r="16" spans="1:16" ht="20.25" x14ac:dyDescent="0.3">
      <c r="A16" s="302" t="s">
        <v>272</v>
      </c>
      <c r="B16" s="302"/>
      <c r="C16" s="302"/>
    </row>
    <row r="17" spans="1:18" x14ac:dyDescent="0.25">
      <c r="F17" s="191" t="s">
        <v>279</v>
      </c>
      <c r="G17" s="165" cm="1">
        <f t="array" ref="G17:R17">nabla.d.Timelineλ($B$19, $B$20, $B$21, FALSE)</f>
        <v>45322</v>
      </c>
      <c r="H17" s="165">
        <v>46081</v>
      </c>
      <c r="I17" s="165">
        <v>46112</v>
      </c>
      <c r="J17" s="165">
        <v>46142</v>
      </c>
      <c r="K17" s="165">
        <v>46173</v>
      </c>
      <c r="L17" s="165">
        <v>46203</v>
      </c>
      <c r="M17" s="165">
        <v>46234</v>
      </c>
      <c r="N17" s="165">
        <v>46265</v>
      </c>
      <c r="O17" s="165">
        <v>46295</v>
      </c>
      <c r="P17" s="165">
        <v>46326</v>
      </c>
      <c r="Q17" s="165">
        <v>46356</v>
      </c>
      <c r="R17" s="165">
        <v>46387</v>
      </c>
    </row>
    <row r="18" spans="1:18" x14ac:dyDescent="0.25">
      <c r="A18" s="161" t="s">
        <v>273</v>
      </c>
      <c r="B18" s="161" t="s">
        <v>138</v>
      </c>
      <c r="C18" s="161" t="s">
        <v>139</v>
      </c>
      <c r="F18" s="190" t="s">
        <v>276</v>
      </c>
      <c r="G18" s="1" cm="1">
        <f t="array" ref="G18:R18">nabla.d.Timelineλ($B$19, $B$20, $B$21)</f>
        <v>45292</v>
      </c>
      <c r="H18" s="1">
        <v>46054</v>
      </c>
      <c r="I18" s="1">
        <v>46082</v>
      </c>
      <c r="J18" s="1">
        <v>46113</v>
      </c>
      <c r="K18" s="1">
        <v>46143</v>
      </c>
      <c r="L18" s="1">
        <v>46174</v>
      </c>
      <c r="M18" s="1">
        <v>46204</v>
      </c>
      <c r="N18" s="1">
        <v>46235</v>
      </c>
      <c r="O18" s="1">
        <v>46266</v>
      </c>
      <c r="P18" s="1">
        <v>46296</v>
      </c>
      <c r="Q18" s="1">
        <v>46327</v>
      </c>
      <c r="R18" s="1">
        <v>46357</v>
      </c>
    </row>
    <row r="19" spans="1:18" x14ac:dyDescent="0.25">
      <c r="A19" t="s">
        <v>236</v>
      </c>
      <c r="B19" s="141">
        <v>46023</v>
      </c>
      <c r="C19" t="s">
        <v>145</v>
      </c>
      <c r="E19" s="2" t="s">
        <v>275</v>
      </c>
      <c r="F19">
        <f>SUM(_xlfn.ANCHORARRAY(G19))</f>
        <v>53360</v>
      </c>
      <c r="G19" s="192" cm="1">
        <f t="array" ref="G19:R19">nabla.d.ScheduleValuesλ(_xlfn.ANCHORARRAY( $G$18),_xlfn.ANCHORARRAY( $G$17), tblCO[Amount], tblCO[Issued])</f>
        <v>53360</v>
      </c>
      <c r="H19">
        <f/>
        <v>0</v>
      </c>
      <c r="I19">
        <f/>
        <v>0</v>
      </c>
      <c r="J19">
        <f/>
        <v>0</v>
      </c>
      <c r="K19">
        <f/>
        <v>0</v>
      </c>
      <c r="L19">
        <f/>
        <v>0</v>
      </c>
      <c r="M19">
        <f/>
        <v>0</v>
      </c>
      <c r="N19">
        <f/>
        <v>0</v>
      </c>
      <c r="O19">
        <f/>
        <v>0</v>
      </c>
      <c r="P19">
        <f/>
        <v>0</v>
      </c>
      <c r="Q19">
        <f/>
        <v>0</v>
      </c>
      <c r="R19">
        <f/>
        <v>0</v>
      </c>
    </row>
    <row r="20" spans="1:18" x14ac:dyDescent="0.25">
      <c r="A20" t="s">
        <v>141</v>
      </c>
      <c r="B20">
        <v>12</v>
      </c>
      <c r="C20" t="s">
        <v>146</v>
      </c>
      <c r="E20" s="2" t="s">
        <v>277</v>
      </c>
      <c r="F20">
        <f>SUM(_xlfn.ANCHORARRAY(G20))</f>
        <v>53360</v>
      </c>
      <c r="G20" s="192" cm="1">
        <f t="array" ref="G20:R20">nabla.d.ScheduleValuesλ(_xlfn.ANCHORARRAY( $G$18),_xlfn.ANCHORARRAY( $G$17), tblCO[Amount], tblCO[Exp. Receipt])</f>
        <v>4354</v>
      </c>
      <c r="H20">
        <f/>
        <v>29624</v>
      </c>
      <c r="I20">
        <f/>
        <v>9256</v>
      </c>
      <c r="J20">
        <f/>
        <v>0</v>
      </c>
      <c r="K20">
        <f/>
        <v>10126</v>
      </c>
      <c r="L20">
        <f/>
        <v>0</v>
      </c>
      <c r="M20">
        <f/>
        <v>0</v>
      </c>
      <c r="N20">
        <f/>
        <v>0</v>
      </c>
      <c r="O20">
        <f/>
        <v>0</v>
      </c>
      <c r="P20">
        <f/>
        <v>0</v>
      </c>
      <c r="Q20">
        <f/>
        <v>0</v>
      </c>
      <c r="R20">
        <f/>
        <v>0</v>
      </c>
    </row>
    <row r="21" spans="1:18" x14ac:dyDescent="0.25">
      <c r="A21" t="s">
        <v>142</v>
      </c>
      <c r="B21" t="s">
        <v>144</v>
      </c>
      <c r="E21" s="2" t="s">
        <v>60</v>
      </c>
      <c r="G21" s="167" cm="1">
        <f t="array" ref="G21:R21">_xlfn.ANCHORARRAY(G19)-_xlfn.ANCHORARRAY(G20)</f>
        <v>49006</v>
      </c>
      <c r="H21" s="167">
        <f/>
        <v>-29624</v>
      </c>
      <c r="I21" s="167">
        <f/>
        <v>-9256</v>
      </c>
      <c r="J21" s="167">
        <f/>
        <v>0</v>
      </c>
      <c r="K21" s="167">
        <f/>
        <v>-10126</v>
      </c>
      <c r="L21" s="167">
        <f/>
        <v>0</v>
      </c>
      <c r="M21" s="167">
        <f/>
        <v>0</v>
      </c>
      <c r="N21" s="167">
        <f/>
        <v>0</v>
      </c>
      <c r="O21" s="167">
        <f/>
        <v>0</v>
      </c>
      <c r="P21" s="167">
        <f/>
        <v>0</v>
      </c>
      <c r="Q21" s="167">
        <f/>
        <v>0</v>
      </c>
      <c r="R21" s="167">
        <f/>
        <v>0</v>
      </c>
    </row>
    <row r="22" spans="1:18" x14ac:dyDescent="0.25">
      <c r="E22" s="2" t="s">
        <v>294</v>
      </c>
      <c r="G22" s="162" cm="1">
        <f t="array" ref="G22:R22">nabla.f.Cumulativeλ(_xlfn.ANCHORARRAY(G21))</f>
        <v>49006</v>
      </c>
      <c r="H22">
        <f/>
        <v>19382</v>
      </c>
      <c r="I22">
        <f/>
        <v>10126</v>
      </c>
      <c r="J22">
        <f/>
        <v>10126</v>
      </c>
      <c r="K22">
        <f/>
        <v>0</v>
      </c>
      <c r="L22">
        <f/>
        <v>0</v>
      </c>
      <c r="M22">
        <f/>
        <v>0</v>
      </c>
      <c r="N22">
        <f/>
        <v>0</v>
      </c>
      <c r="O22">
        <f/>
        <v>0</v>
      </c>
      <c r="P22">
        <f/>
        <v>0</v>
      </c>
      <c r="Q22">
        <f/>
        <v>0</v>
      </c>
      <c r="R22">
        <f/>
        <v>0</v>
      </c>
    </row>
  </sheetData>
  <mergeCells count="3">
    <mergeCell ref="A1:P1"/>
    <mergeCell ref="A2:P2"/>
    <mergeCell ref="A16:C16"/>
  </mergeCells>
  <hyperlinks>
    <hyperlink ref="A1" location="'TOC'!$A$1" display="'TOC'!$A$1" xr:uid="{ED1E097E-1DBF-4AE4-B677-F605D3EB54C0}"/>
  </hyperlinks>
  <pageMargins left="0.7" right="0.7" top="0.75" bottom="0.75" header="0.3" footer="0.3"/>
  <customProperties>
    <customPr name="Description" r:id="rId1"/>
  </customPropertie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0B5D-41D0-4F79-B41B-185D5968CA38}">
  <sheetPr codeName="Sheet40">
    <tabColor rgb="FF157A5F"/>
  </sheetPr>
  <dimension ref="A1:EA65"/>
  <sheetViews>
    <sheetView showGridLines="0" workbookViewId="0">
      <selection activeCell="A1" sqref="A1"/>
    </sheetView>
  </sheetViews>
  <sheetFormatPr defaultColWidth="11" defaultRowHeight="15" x14ac:dyDescent="0.25"/>
  <cols>
    <col min="1" max="1" width="13.140625" bestFit="1" customWidth="1"/>
    <col min="10" max="10" width="22.140625" bestFit="1" customWidth="1"/>
    <col min="11" max="11" width="15.5703125" bestFit="1" customWidth="1"/>
  </cols>
  <sheetData>
    <row r="1" spans="1:18" ht="45.75" x14ac:dyDescent="0.65">
      <c r="A1" s="270" t="str">
        <f>_xlfn.TEXTAFTER(CELL("filename",A1),"]")</f>
        <v>nabla.f.Depreciateλ</v>
      </c>
      <c r="B1" s="270"/>
      <c r="C1" s="270"/>
      <c r="D1" s="270"/>
      <c r="E1" s="270"/>
      <c r="F1" s="270"/>
      <c r="G1" s="270"/>
      <c r="H1" s="270"/>
      <c r="I1" s="270"/>
      <c r="J1" s="270"/>
      <c r="K1" s="270"/>
      <c r="L1" s="270"/>
      <c r="M1" s="270"/>
      <c r="N1" s="270"/>
      <c r="O1" s="270"/>
      <c r="P1" s="270"/>
      <c r="Q1" s="270"/>
    </row>
    <row r="2" spans="1:18" x14ac:dyDescent="0.25">
      <c r="A2" s="273" t="s">
        <v>208</v>
      </c>
      <c r="B2" s="311"/>
      <c r="C2" s="311"/>
      <c r="D2" s="311"/>
      <c r="E2" s="311"/>
      <c r="F2" s="311"/>
      <c r="G2" s="311"/>
      <c r="H2" s="311"/>
      <c r="I2" s="311"/>
      <c r="J2" s="311"/>
      <c r="K2" s="311"/>
      <c r="L2" s="311"/>
      <c r="M2" s="311"/>
      <c r="N2" s="311"/>
      <c r="O2" s="311"/>
      <c r="P2" s="311"/>
      <c r="Q2" s="312"/>
    </row>
    <row r="3" spans="1:18" x14ac:dyDescent="0.25">
      <c r="A3" s="104"/>
      <c r="B3" s="104"/>
      <c r="C3" s="104"/>
      <c r="D3" s="104"/>
      <c r="E3" s="104"/>
      <c r="F3" s="104"/>
      <c r="G3" s="104"/>
      <c r="H3" s="104"/>
      <c r="I3" s="104"/>
      <c r="J3" s="104"/>
      <c r="K3" s="314"/>
      <c r="L3" s="314"/>
      <c r="M3" s="314"/>
      <c r="N3" s="314"/>
      <c r="O3" s="314"/>
      <c r="P3" s="314"/>
      <c r="Q3" s="314"/>
      <c r="R3" s="314"/>
    </row>
    <row r="4" spans="1:18" x14ac:dyDescent="0.25">
      <c r="A4" s="162" t="str" cm="1">
        <f t="array" ref="A4:B26">nabla.f.Depreciateλ()</f>
        <v>FUNCTION:</v>
      </c>
      <c r="B4" t="str">
        <v>Depreciateλ(InitialValues, InServiceDates, LifeInYears, Timeline,</v>
      </c>
      <c r="K4" s="314"/>
      <c r="L4" s="314"/>
      <c r="M4" s="314"/>
      <c r="N4" s="314"/>
      <c r="O4" s="314"/>
      <c r="P4" s="314"/>
      <c r="Q4" s="314"/>
      <c r="R4" s="314"/>
    </row>
    <row r="5" spans="1:18" x14ac:dyDescent="0.25">
      <c r="A5" t="str">
        <v/>
      </c>
      <c r="B5" t="str">
        <v>[SalvageValues], [DisposalDates], [DisposalCosts], [Methods], [Factor])</v>
      </c>
      <c r="K5" s="314"/>
      <c r="L5" s="314"/>
      <c r="M5" s="314"/>
      <c r="N5" s="314"/>
      <c r="O5" s="314"/>
      <c r="P5" s="314"/>
      <c r="Q5" s="314"/>
      <c r="R5" s="314"/>
    </row>
    <row r="6" spans="1:18" x14ac:dyDescent="0.25">
      <c r="A6" t="str">
        <v>DESCRIPTION:</v>
      </c>
      <c r="B6" t="str">
        <v>Creates an array of CAPEX, depreciation, and book values for a model's timeline</v>
      </c>
      <c r="K6" s="314"/>
      <c r="L6" s="314"/>
      <c r="M6" s="314"/>
      <c r="N6" s="314"/>
      <c r="O6" s="314"/>
      <c r="P6" s="314"/>
      <c r="Q6" s="314"/>
      <c r="R6" s="314"/>
    </row>
    <row r="7" spans="1:18" x14ac:dyDescent="0.25">
      <c r="A7" t="str">
        <v>WEBPAGE:</v>
      </c>
      <c r="B7" t="str">
        <v>https://github.com/ryanduguid/Nabla</v>
      </c>
      <c r="K7" s="314"/>
      <c r="L7" s="314"/>
      <c r="M7" s="314"/>
      <c r="N7" s="314"/>
      <c r="O7" s="314"/>
      <c r="P7" s="314"/>
      <c r="Q7" s="314"/>
      <c r="R7" s="314"/>
    </row>
    <row r="8" spans="1:18" x14ac:dyDescent="0.25">
      <c r="A8" t="str">
        <v>VERSION:</v>
      </c>
      <c r="B8" t="str">
        <v>18 Aug 2026</v>
      </c>
      <c r="K8" s="314"/>
      <c r="L8" s="314"/>
      <c r="M8" s="314"/>
      <c r="N8" s="314"/>
      <c r="O8" s="314"/>
      <c r="P8" s="314"/>
      <c r="Q8" s="314"/>
      <c r="R8" s="314"/>
    </row>
    <row r="9" spans="1:18" x14ac:dyDescent="0.25">
      <c r="A9" t="str">
        <v>NOTES:</v>
      </c>
      <c r="B9" t="str">
        <v>The methods used here differs from Excel's functions in several ways. Please see webpage for details.</v>
      </c>
      <c r="K9" s="314"/>
      <c r="L9" s="314"/>
      <c r="M9" s="314"/>
      <c r="N9" s="314"/>
      <c r="O9" s="314"/>
      <c r="P9" s="314"/>
      <c r="Q9" s="314"/>
      <c r="R9" s="314"/>
    </row>
    <row r="10" spans="1:18" x14ac:dyDescent="0.25">
      <c r="A10" t="str">
        <v>PARAMETERS:</v>
      </c>
      <c r="B10" t="str">
        <v/>
      </c>
      <c r="K10" s="314"/>
      <c r="L10" s="314"/>
      <c r="M10" s="314"/>
      <c r="N10" s="314"/>
      <c r="O10" s="314"/>
      <c r="P10" s="314"/>
      <c r="Q10" s="314"/>
      <c r="R10" s="314"/>
    </row>
    <row r="11" spans="1:18" x14ac:dyDescent="0.25">
      <c r="A11" t="str">
        <v>InitialValues</v>
      </c>
      <c r="B11" t="str">
        <v>(Required) The purchase values of each asset to depreciate</v>
      </c>
      <c r="K11" s="314"/>
      <c r="L11" s="314"/>
      <c r="M11" s="314"/>
      <c r="N11" s="314"/>
      <c r="O11" s="314"/>
      <c r="P11" s="314"/>
      <c r="Q11" s="314"/>
      <c r="R11" s="314"/>
    </row>
    <row r="12" spans="1:18" x14ac:dyDescent="0.25">
      <c r="A12" t="str">
        <v>InServiceDates</v>
      </c>
      <c r="B12" t="str">
        <v>(Required) The dates from which to start depreciating each asset</v>
      </c>
      <c r="K12" s="314"/>
      <c r="L12" s="314"/>
      <c r="M12" s="314"/>
      <c r="N12" s="314"/>
      <c r="O12" s="314"/>
      <c r="P12" s="314"/>
      <c r="Q12" s="314"/>
      <c r="R12" s="314"/>
    </row>
    <row r="13" spans="1:18" x14ac:dyDescent="0.25">
      <c r="A13" t="str">
        <v>LifeInYears</v>
      </c>
      <c r="B13" t="str">
        <v>(Required) The number of years with which to depreciate each asset</v>
      </c>
      <c r="K13" s="314"/>
      <c r="L13" s="314"/>
      <c r="M13" s="314"/>
      <c r="N13" s="314"/>
      <c r="O13" s="314"/>
      <c r="P13" s="314"/>
      <c r="Q13" s="314"/>
      <c r="R13" s="314"/>
    </row>
    <row r="14" spans="1:18" x14ac:dyDescent="0.25">
      <c r="A14" t="str">
        <v>Timeline</v>
      </c>
      <c r="B14" t="str">
        <v>(Required) The model's timeline or a row of period start dates.</v>
      </c>
      <c r="K14" s="314"/>
      <c r="L14" s="314"/>
      <c r="M14" s="314"/>
      <c r="N14" s="314"/>
      <c r="O14" s="314"/>
      <c r="P14" s="314"/>
      <c r="Q14" s="314"/>
      <c r="R14" s="314"/>
    </row>
    <row r="15" spans="1:18" x14ac:dyDescent="0.25">
      <c r="A15" t="str">
        <v/>
      </c>
      <c r="B15" t="str">
        <v>Timeline can be in Months, Quarters, or Years</v>
      </c>
      <c r="K15" s="314"/>
      <c r="L15" s="314"/>
      <c r="M15" s="314"/>
      <c r="N15" s="314"/>
      <c r="O15" s="314"/>
      <c r="P15" s="314"/>
      <c r="Q15" s="314"/>
      <c r="R15" s="314"/>
    </row>
    <row r="16" spans="1:18" x14ac:dyDescent="0.25">
      <c r="A16" t="str">
        <v>SalvageValues</v>
      </c>
      <c r="B16" t="str">
        <v>(Optional: Default = 0) The book values of each asset after fully depreciated.</v>
      </c>
      <c r="K16" s="314"/>
      <c r="L16" s="314"/>
      <c r="M16" s="314"/>
      <c r="N16" s="314"/>
      <c r="O16" s="314"/>
      <c r="P16" s="314"/>
      <c r="Q16" s="314"/>
      <c r="R16" s="314"/>
    </row>
    <row r="17" spans="1:18" x14ac:dyDescent="0.25">
      <c r="A17" t="str">
        <v>DisposalDates</v>
      </c>
      <c r="B17" t="str">
        <v>(Optional: Default = End of life) The dates on which the assets are removed from the books.</v>
      </c>
      <c r="K17" s="314"/>
      <c r="L17" s="314"/>
      <c r="M17" s="314"/>
      <c r="N17" s="314"/>
      <c r="O17" s="314"/>
      <c r="P17" s="314"/>
      <c r="Q17" s="314"/>
      <c r="R17" s="314"/>
    </row>
    <row r="18" spans="1:18" x14ac:dyDescent="0.25">
      <c r="A18" t="str">
        <v>DisposalCosts</v>
      </c>
      <c r="B18" t="str">
        <v>(Optional: Default = 0) The book values of each asset after fully depreciated.</v>
      </c>
      <c r="K18" s="314"/>
      <c r="L18" s="314"/>
      <c r="M18" s="314"/>
      <c r="N18" s="314"/>
      <c r="O18" s="314"/>
      <c r="P18" s="314"/>
      <c r="Q18" s="314"/>
      <c r="R18" s="314"/>
    </row>
    <row r="19" spans="1:18" x14ac:dyDescent="0.25">
      <c r="A19" t="str">
        <v>Methods</v>
      </c>
      <c r="B19" t="str">
        <v>(Optional: Default = SLN) The desired depreciation method. Must be one of these Excel function names:</v>
      </c>
      <c r="K19" s="314"/>
      <c r="L19" s="314"/>
      <c r="M19" s="314"/>
      <c r="N19" s="314"/>
      <c r="O19" s="314"/>
      <c r="P19" s="314"/>
      <c r="Q19" s="314"/>
      <c r="R19" s="314"/>
    </row>
    <row r="20" spans="1:18" x14ac:dyDescent="0.25">
      <c r="A20" t="str">
        <v/>
      </c>
      <c r="B20" t="str">
        <v>SLN=Straight Line Depreciation</v>
      </c>
      <c r="K20" s="314"/>
      <c r="L20" s="314"/>
      <c r="M20" s="314"/>
      <c r="N20" s="314"/>
      <c r="O20" s="314"/>
      <c r="P20" s="314"/>
      <c r="Q20" s="314"/>
      <c r="R20" s="314"/>
    </row>
    <row r="21" spans="1:18" x14ac:dyDescent="0.25">
      <c r="A21" t="str">
        <v/>
      </c>
      <c r="B21" t="str">
        <v>SYD=Sum of Year's Digits</v>
      </c>
      <c r="K21" s="314"/>
      <c r="L21" s="314"/>
      <c r="M21" s="314"/>
      <c r="N21" s="314"/>
      <c r="O21" s="314"/>
      <c r="P21" s="314"/>
      <c r="Q21" s="314"/>
      <c r="R21" s="314"/>
    </row>
    <row r="22" spans="1:18" x14ac:dyDescent="0.25">
      <c r="A22" t="str">
        <v/>
      </c>
      <c r="B22" t="str">
        <v>DB =Declining Balance</v>
      </c>
      <c r="K22" s="314"/>
      <c r="L22" s="314"/>
      <c r="M22" s="314"/>
      <c r="N22" s="314"/>
      <c r="O22" s="314"/>
      <c r="P22" s="314"/>
      <c r="Q22" s="314"/>
      <c r="R22" s="314"/>
    </row>
    <row r="23" spans="1:18" x14ac:dyDescent="0.25">
      <c r="A23" t="str">
        <v/>
      </c>
      <c r="B23" t="str">
        <v>DDB=Double Declining Balance</v>
      </c>
      <c r="K23" s="315" t="s">
        <v>335</v>
      </c>
      <c r="L23" s="315"/>
      <c r="M23" s="315"/>
      <c r="N23" s="315"/>
      <c r="O23" s="315"/>
      <c r="P23" s="315"/>
      <c r="Q23" s="315"/>
      <c r="R23" s="315"/>
    </row>
    <row r="24" spans="1:18" x14ac:dyDescent="0.25">
      <c r="A24" t="str">
        <v/>
      </c>
      <c r="B24" t="str">
        <v>VDB=Variable Declining Balance</v>
      </c>
    </row>
    <row r="25" spans="1:18" x14ac:dyDescent="0.25">
      <c r="A25" t="str">
        <v/>
      </c>
      <c r="B25" t="str">
        <v>DV =Diminishing value (ATO 200% method). Salvage value ignored</v>
      </c>
    </row>
    <row r="26" spans="1:18" x14ac:dyDescent="0.25">
      <c r="A26" t="str">
        <v>Factors</v>
      </c>
      <c r="B26" t="str">
        <v>(Optional: Default = 2) Only applicable to DDB and VDB methods.</v>
      </c>
    </row>
    <row r="35" spans="1:131" ht="20.25" x14ac:dyDescent="0.3">
      <c r="A35" s="302" t="s">
        <v>272</v>
      </c>
      <c r="B35" s="302"/>
      <c r="C35" s="302"/>
      <c r="J35" s="2" t="s">
        <v>289</v>
      </c>
    </row>
    <row r="37" spans="1:131" x14ac:dyDescent="0.25">
      <c r="A37" s="161" t="s">
        <v>273</v>
      </c>
      <c r="B37" s="161" t="s">
        <v>138</v>
      </c>
      <c r="C37" s="161" t="s">
        <v>139</v>
      </c>
      <c r="J37" s="190" t="s">
        <v>131</v>
      </c>
      <c r="K37" s="190" t="s">
        <v>276</v>
      </c>
      <c r="L37" s="1" cm="1">
        <f t="array" ref="L37:EA37">nabla.d.Timelineλ($B$38, $B$39, $B$40)</f>
        <v>45292</v>
      </c>
      <c r="M37" s="1">
        <v>46388</v>
      </c>
      <c r="N37" s="1">
        <v>46753</v>
      </c>
      <c r="O37" s="1">
        <v>47119</v>
      </c>
      <c r="P37" s="1">
        <v>47484</v>
      </c>
      <c r="Q37" s="1">
        <v>47849</v>
      </c>
      <c r="R37" s="1">
        <v>48214</v>
      </c>
      <c r="S37" s="1">
        <v>48580</v>
      </c>
      <c r="T37" s="1">
        <v>48945</v>
      </c>
      <c r="U37" s="1">
        <v>49310</v>
      </c>
      <c r="V37" s="1">
        <v>49675</v>
      </c>
      <c r="W37" s="1">
        <v>50041</v>
      </c>
      <c r="X37" s="1">
        <v>50406</v>
      </c>
      <c r="Y37" s="1">
        <v>50771</v>
      </c>
      <c r="Z37" s="1">
        <v>51136</v>
      </c>
      <c r="AA37" s="1">
        <v>51502</v>
      </c>
      <c r="AB37" s="1">
        <v>51867</v>
      </c>
      <c r="AC37" s="1">
        <v>52232</v>
      </c>
      <c r="AD37" s="1">
        <v>52597</v>
      </c>
      <c r="AE37" s="1">
        <v>52963</v>
      </c>
      <c r="AF37" s="1">
        <v>53328</v>
      </c>
      <c r="AG37" s="1">
        <v>53693</v>
      </c>
      <c r="AH37" s="1">
        <v>54058</v>
      </c>
      <c r="AI37" s="1">
        <v>54424</v>
      </c>
      <c r="AJ37" s="1">
        <v>54789</v>
      </c>
      <c r="AK37" s="1">
        <v>55154</v>
      </c>
      <c r="AL37" s="1">
        <v>55519</v>
      </c>
      <c r="AM37" s="1">
        <v>55885</v>
      </c>
      <c r="AN37" s="1">
        <v>56250</v>
      </c>
      <c r="AO37" s="1">
        <v>56615</v>
      </c>
      <c r="AP37" s="1">
        <v>56980</v>
      </c>
      <c r="AQ37" s="1">
        <v>57346</v>
      </c>
      <c r="AR37" s="1">
        <v>57711</v>
      </c>
      <c r="AS37" s="1">
        <v>58076</v>
      </c>
      <c r="AT37" s="1">
        <v>58441</v>
      </c>
      <c r="AU37" s="1">
        <v>58807</v>
      </c>
      <c r="AV37" s="1">
        <v>59172</v>
      </c>
      <c r="AW37" s="1">
        <v>59537</v>
      </c>
      <c r="AX37" s="1">
        <v>59902</v>
      </c>
      <c r="AY37" s="1">
        <v>60268</v>
      </c>
      <c r="AZ37" s="1">
        <v>60633</v>
      </c>
      <c r="BA37" s="1">
        <v>60998</v>
      </c>
      <c r="BB37" s="1">
        <v>61363</v>
      </c>
      <c r="BC37" s="1">
        <v>61729</v>
      </c>
      <c r="BD37" s="1">
        <v>62094</v>
      </c>
      <c r="BE37" s="1">
        <v>62459</v>
      </c>
      <c r="BF37" s="1">
        <v>62824</v>
      </c>
      <c r="BG37" s="1">
        <v>63190</v>
      </c>
      <c r="BH37" s="1">
        <v>63555</v>
      </c>
      <c r="BI37" s="1">
        <v>63920</v>
      </c>
      <c r="BJ37" s="1">
        <v>64285</v>
      </c>
      <c r="BK37" s="1">
        <v>64651</v>
      </c>
      <c r="BL37" s="1">
        <v>65016</v>
      </c>
      <c r="BM37" s="1">
        <v>65381</v>
      </c>
      <c r="BN37" s="1">
        <v>65746</v>
      </c>
      <c r="BO37" s="1">
        <v>66112</v>
      </c>
      <c r="BP37" s="1">
        <v>66477</v>
      </c>
      <c r="BQ37" s="1">
        <v>66842</v>
      </c>
      <c r="BR37" s="1">
        <v>67207</v>
      </c>
      <c r="BS37" s="1">
        <v>67573</v>
      </c>
      <c r="BT37" s="1">
        <v>67938</v>
      </c>
      <c r="BU37" s="1">
        <v>68303</v>
      </c>
      <c r="BV37" s="1">
        <v>68668</v>
      </c>
      <c r="BW37" s="1">
        <v>69034</v>
      </c>
      <c r="BX37" s="1">
        <v>69399</v>
      </c>
      <c r="BY37" s="1">
        <v>69764</v>
      </c>
      <c r="BZ37" s="1">
        <v>70129</v>
      </c>
      <c r="CA37" s="1">
        <v>70495</v>
      </c>
      <c r="CB37" s="1">
        <v>70860</v>
      </c>
      <c r="CC37" s="1">
        <v>71225</v>
      </c>
      <c r="CD37" s="1">
        <v>71590</v>
      </c>
      <c r="CE37" s="1">
        <v>71956</v>
      </c>
      <c r="CF37" s="1">
        <v>72321</v>
      </c>
      <c r="CG37" s="1">
        <v>72686</v>
      </c>
      <c r="CH37" s="1">
        <v>73051</v>
      </c>
      <c r="CI37" s="1">
        <v>73416</v>
      </c>
      <c r="CJ37" s="1">
        <v>73781</v>
      </c>
      <c r="CK37" s="1">
        <v>74146</v>
      </c>
      <c r="CL37" s="1">
        <v>74511</v>
      </c>
      <c r="CM37" s="1">
        <v>74877</v>
      </c>
      <c r="CN37" s="1">
        <v>75242</v>
      </c>
      <c r="CO37" s="1">
        <v>75607</v>
      </c>
      <c r="CP37" s="1">
        <v>75972</v>
      </c>
      <c r="CQ37" s="1">
        <v>76338</v>
      </c>
      <c r="CR37" s="1">
        <v>76703</v>
      </c>
      <c r="CS37" s="1">
        <v>77068</v>
      </c>
      <c r="CT37" s="1">
        <v>77433</v>
      </c>
      <c r="CU37" s="1">
        <v>77799</v>
      </c>
      <c r="CV37" s="1">
        <v>78164</v>
      </c>
      <c r="CW37" s="1">
        <v>78529</v>
      </c>
      <c r="CX37" s="1">
        <v>78894</v>
      </c>
      <c r="CY37" s="1">
        <v>79260</v>
      </c>
      <c r="CZ37" s="1">
        <v>79625</v>
      </c>
      <c r="DA37" s="1">
        <v>79990</v>
      </c>
      <c r="DB37" s="1">
        <v>80355</v>
      </c>
      <c r="DC37" s="1">
        <v>80721</v>
      </c>
      <c r="DD37" s="1">
        <v>80355</v>
      </c>
      <c r="DE37" s="1">
        <v>80721</v>
      </c>
      <c r="DF37" s="1">
        <v>81086</v>
      </c>
      <c r="DG37" s="1">
        <v>81451</v>
      </c>
      <c r="DH37" s="1">
        <v>81816</v>
      </c>
      <c r="DI37" s="1">
        <v>82182</v>
      </c>
      <c r="DJ37" s="1">
        <v>82547</v>
      </c>
      <c r="DK37" s="1">
        <v>82912</v>
      </c>
      <c r="DL37" s="1">
        <v>83277</v>
      </c>
      <c r="DM37" s="1">
        <v>83643</v>
      </c>
      <c r="DN37" s="1">
        <v>84008</v>
      </c>
      <c r="DO37" s="1">
        <v>84373</v>
      </c>
      <c r="DP37" s="1">
        <v>84738</v>
      </c>
      <c r="DQ37" s="1">
        <v>85104</v>
      </c>
      <c r="DR37" s="1">
        <v>85469</v>
      </c>
      <c r="DS37" s="1">
        <v>85834</v>
      </c>
      <c r="DT37" s="1">
        <v>86199</v>
      </c>
      <c r="DU37" s="1">
        <v>86565</v>
      </c>
      <c r="DV37" s="1">
        <v>86930</v>
      </c>
      <c r="DW37" s="1">
        <v>87295</v>
      </c>
      <c r="DX37" s="1">
        <v>87660</v>
      </c>
      <c r="DY37" s="1">
        <v>88026</v>
      </c>
      <c r="DZ37">
        <v>88391</v>
      </c>
      <c r="EA37">
        <v>88756</v>
      </c>
    </row>
    <row r="38" spans="1:131" x14ac:dyDescent="0.25">
      <c r="A38" t="s">
        <v>236</v>
      </c>
      <c r="B38" s="141">
        <v>46023</v>
      </c>
      <c r="C38" t="s">
        <v>145</v>
      </c>
      <c r="J38" t="s">
        <v>343</v>
      </c>
      <c r="L38" cm="1">
        <f t="array" ref="L38:EA38">nabla.f.SumContainsλ(_xlfn.ANCHORARRAY($L$46),_xlfn.ANCHORARRAY($J$46),J38)</f>
        <v>85000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row>
    <row r="39" spans="1:131" x14ac:dyDescent="0.25">
      <c r="A39" t="s">
        <v>141</v>
      </c>
      <c r="B39">
        <v>120</v>
      </c>
      <c r="C39" t="s">
        <v>146</v>
      </c>
      <c r="J39" t="s">
        <v>344</v>
      </c>
      <c r="L39" cm="1">
        <f t="array" ref="L39:EA39">nabla.f.SumContainsλ(_xlfn.ANCHORARRAY($L$46),_xlfn.ANCHORARRAY($J$46),J39)</f>
        <v>9104.16</v>
      </c>
      <c r="M39">
        <v>10127.74</v>
      </c>
      <c r="N39">
        <v>8313.3000000000011</v>
      </c>
      <c r="O39">
        <v>6887.9249999999993</v>
      </c>
      <c r="P39">
        <v>5757.8387499999999</v>
      </c>
      <c r="Q39">
        <v>5013.3290625000009</v>
      </c>
      <c r="R39">
        <v>4646.2857291666669</v>
      </c>
      <c r="S39">
        <v>4349.8337291666667</v>
      </c>
      <c r="T39">
        <v>2723.5061291666671</v>
      </c>
      <c r="U39">
        <v>3945.5243200000004</v>
      </c>
      <c r="V39">
        <v>2440.5572799999959</v>
      </c>
      <c r="W39">
        <v>2730</v>
      </c>
      <c r="X39">
        <v>2230</v>
      </c>
      <c r="Y39">
        <v>2230</v>
      </c>
      <c r="Z39">
        <v>2230</v>
      </c>
      <c r="AA39">
        <v>2230</v>
      </c>
      <c r="AB39">
        <v>2230</v>
      </c>
      <c r="AC39">
        <v>1115</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row>
    <row r="40" spans="1:131" x14ac:dyDescent="0.25">
      <c r="A40" t="s">
        <v>142</v>
      </c>
      <c r="B40" t="s">
        <v>24</v>
      </c>
      <c r="J40" t="s">
        <v>345</v>
      </c>
      <c r="L40" cm="1">
        <f t="array" ref="L40:EA40">nabla.f.SumContainsλ(_xlfn.ANCHORARRAY($L$46),_xlfn.ANCHORARRAY($J$46),J40)</f>
        <v>75895.839999999997</v>
      </c>
      <c r="M40">
        <v>65768.099999999977</v>
      </c>
      <c r="N40">
        <v>57454.799999999959</v>
      </c>
      <c r="O40">
        <v>50566.874999999942</v>
      </c>
      <c r="P40">
        <v>44809.036249999946</v>
      </c>
      <c r="Q40">
        <v>39795.707187499975</v>
      </c>
      <c r="R40">
        <v>35149.421458333316</v>
      </c>
      <c r="S40">
        <v>30799.587729166647</v>
      </c>
      <c r="T40">
        <v>28076.081599999961</v>
      </c>
      <c r="U40">
        <v>24130.557279999943</v>
      </c>
      <c r="V40">
        <v>21689.999999999942</v>
      </c>
      <c r="W40">
        <v>18959.999999999924</v>
      </c>
      <c r="X40">
        <v>16729.999999999905</v>
      </c>
      <c r="Y40">
        <v>14499.999999999887</v>
      </c>
      <c r="Z40">
        <v>12269.999999999885</v>
      </c>
      <c r="AA40">
        <v>10039.999999999885</v>
      </c>
      <c r="AB40">
        <v>7809.9999999998854</v>
      </c>
      <c r="AC40">
        <v>6694.9999999998854</v>
      </c>
      <c r="AD40">
        <v>6694.9999999998845</v>
      </c>
      <c r="AE40">
        <v>6694.9999999998845</v>
      </c>
      <c r="AF40">
        <v>6694.9999999998845</v>
      </c>
      <c r="AG40">
        <v>6694.9999999998845</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row>
    <row r="41" spans="1:131" x14ac:dyDescent="0.25">
      <c r="J41" t="s">
        <v>346</v>
      </c>
      <c r="L41" cm="1">
        <f t="array" ref="L41:EA41">nabla.f.SumContainsλ(_xlfn.ANCHORARRAY($L$46),_xlfn.ANCHORARRAY($J$46),J41)</f>
        <v>0</v>
      </c>
      <c r="M41">
        <v>0</v>
      </c>
      <c r="N41">
        <v>0</v>
      </c>
      <c r="O41">
        <v>0</v>
      </c>
      <c r="P41">
        <v>0</v>
      </c>
      <c r="Q41">
        <v>0</v>
      </c>
      <c r="R41">
        <v>0</v>
      </c>
      <c r="S41">
        <v>0</v>
      </c>
      <c r="T41">
        <v>0</v>
      </c>
      <c r="U41">
        <v>1000</v>
      </c>
      <c r="V41">
        <v>0</v>
      </c>
      <c r="W41">
        <v>500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row>
    <row r="42" spans="1:131" x14ac:dyDescent="0.25">
      <c r="J42" t="s">
        <v>347</v>
      </c>
      <c r="L42" cm="1">
        <f t="array" ref="L42:EA42">nabla.f.SumContainsλ(_xlfn.ANCHORARRAY($L$46),_xlfn.ANCHORARRAY($J$46),J42)</f>
        <v>0</v>
      </c>
      <c r="M42">
        <v>0</v>
      </c>
      <c r="N42">
        <v>0</v>
      </c>
      <c r="O42">
        <v>0</v>
      </c>
      <c r="P42">
        <v>0</v>
      </c>
      <c r="Q42">
        <v>0</v>
      </c>
      <c r="R42">
        <v>0</v>
      </c>
      <c r="S42">
        <v>0</v>
      </c>
      <c r="T42">
        <v>0</v>
      </c>
      <c r="U42">
        <v>500</v>
      </c>
      <c r="V42">
        <v>0</v>
      </c>
      <c r="W42">
        <v>100</v>
      </c>
      <c r="X42">
        <v>0</v>
      </c>
      <c r="Y42">
        <v>0</v>
      </c>
      <c r="Z42">
        <v>0</v>
      </c>
      <c r="AA42">
        <v>0</v>
      </c>
      <c r="AB42">
        <v>0</v>
      </c>
      <c r="AC42">
        <v>0</v>
      </c>
      <c r="AD42">
        <v>0</v>
      </c>
      <c r="AE42">
        <v>0</v>
      </c>
      <c r="AF42">
        <v>0</v>
      </c>
      <c r="AG42">
        <v>250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row>
    <row r="43" spans="1:131" ht="20.25" x14ac:dyDescent="0.3">
      <c r="A43" s="295" t="s">
        <v>295</v>
      </c>
      <c r="B43" s="296"/>
      <c r="C43" s="296"/>
      <c r="D43" s="296"/>
      <c r="E43" s="296"/>
      <c r="F43" s="296"/>
      <c r="G43" s="296"/>
      <c r="H43" s="313"/>
    </row>
    <row r="44" spans="1:131" x14ac:dyDescent="0.25">
      <c r="A44" s="309"/>
      <c r="B44" s="310"/>
      <c r="C44" s="310"/>
      <c r="D44" s="310"/>
      <c r="E44" s="310"/>
      <c r="F44" s="310"/>
      <c r="G44" s="310"/>
      <c r="H44" s="310"/>
      <c r="L44" cm="1">
        <f t="array" ref="L44:AQ44">_xlfn.SEQUENCE(, 32)</f>
        <v>1</v>
      </c>
      <c r="M44">
        <v>2</v>
      </c>
      <c r="N44">
        <v>3</v>
      </c>
      <c r="O44">
        <v>4</v>
      </c>
      <c r="P44">
        <v>5</v>
      </c>
      <c r="Q44">
        <v>6</v>
      </c>
      <c r="R44">
        <v>7</v>
      </c>
      <c r="S44">
        <v>8</v>
      </c>
      <c r="T44">
        <v>9</v>
      </c>
      <c r="U44">
        <v>10</v>
      </c>
      <c r="V44">
        <v>11</v>
      </c>
      <c r="W44">
        <v>12</v>
      </c>
      <c r="X44">
        <v>13</v>
      </c>
      <c r="Y44">
        <v>14</v>
      </c>
      <c r="Z44">
        <v>15</v>
      </c>
      <c r="AA44">
        <v>16</v>
      </c>
      <c r="AB44">
        <v>17</v>
      </c>
      <c r="AC44">
        <v>18</v>
      </c>
      <c r="AD44">
        <v>19</v>
      </c>
      <c r="AE44">
        <v>20</v>
      </c>
      <c r="AF44">
        <v>21</v>
      </c>
      <c r="AG44">
        <v>22</v>
      </c>
      <c r="AH44">
        <v>23</v>
      </c>
      <c r="AI44">
        <v>24</v>
      </c>
      <c r="AJ44">
        <v>25</v>
      </c>
      <c r="AK44">
        <v>26</v>
      </c>
      <c r="AL44">
        <v>27</v>
      </c>
      <c r="AM44">
        <v>28</v>
      </c>
      <c r="AN44">
        <v>29</v>
      </c>
      <c r="AO44">
        <v>30</v>
      </c>
      <c r="AP44">
        <v>31</v>
      </c>
      <c r="AQ44">
        <v>32</v>
      </c>
    </row>
    <row r="45" spans="1:131" x14ac:dyDescent="0.25">
      <c r="A45" s="193" t="s">
        <v>296</v>
      </c>
      <c r="B45" s="194" t="s">
        <v>249</v>
      </c>
      <c r="C45" s="194" t="s">
        <v>297</v>
      </c>
      <c r="D45" s="194" t="s">
        <v>306</v>
      </c>
      <c r="E45" s="194" t="s">
        <v>298</v>
      </c>
      <c r="F45" s="194" t="s">
        <v>66</v>
      </c>
      <c r="G45" s="194" t="s">
        <v>307</v>
      </c>
      <c r="H45" s="193" t="s">
        <v>299</v>
      </c>
      <c r="J45" s="190" t="s">
        <v>131</v>
      </c>
      <c r="K45" s="190" t="s">
        <v>276</v>
      </c>
      <c r="L45" s="1" cm="1">
        <f t="array" ref="L45:EA45">nabla.d.Timelineλ($B$38, $B$39, $B$40)</f>
        <v>45292</v>
      </c>
      <c r="M45" s="1">
        <v>46388</v>
      </c>
      <c r="N45" s="1">
        <v>46753</v>
      </c>
      <c r="O45" s="1">
        <v>47119</v>
      </c>
      <c r="P45" s="1">
        <v>47484</v>
      </c>
      <c r="Q45" s="1">
        <v>47849</v>
      </c>
      <c r="R45" s="1">
        <v>48214</v>
      </c>
      <c r="S45" s="1">
        <v>48580</v>
      </c>
      <c r="T45" s="1">
        <v>48945</v>
      </c>
      <c r="U45" s="1">
        <v>49310</v>
      </c>
      <c r="V45" s="1">
        <v>49675</v>
      </c>
      <c r="W45" s="1">
        <v>50041</v>
      </c>
      <c r="X45" s="1">
        <v>50406</v>
      </c>
      <c r="Y45" s="1">
        <v>50771</v>
      </c>
      <c r="Z45" s="1">
        <v>51136</v>
      </c>
      <c r="AA45" s="1">
        <v>51502</v>
      </c>
      <c r="AB45" s="1">
        <v>51867</v>
      </c>
      <c r="AC45" s="1">
        <v>52232</v>
      </c>
      <c r="AD45" s="1">
        <v>52597</v>
      </c>
      <c r="AE45" s="1">
        <v>52963</v>
      </c>
      <c r="AF45" s="1">
        <v>53328</v>
      </c>
      <c r="AG45" s="1">
        <v>53693</v>
      </c>
      <c r="AH45" s="1">
        <v>54058</v>
      </c>
      <c r="AI45" s="1">
        <v>54424</v>
      </c>
      <c r="AJ45" s="1">
        <v>54789</v>
      </c>
      <c r="AK45" s="1">
        <v>55154</v>
      </c>
      <c r="AL45" s="1">
        <v>55519</v>
      </c>
      <c r="AM45" s="1">
        <v>55885</v>
      </c>
      <c r="AN45" s="1">
        <v>56250</v>
      </c>
      <c r="AO45" s="1">
        <v>56615</v>
      </c>
      <c r="AP45" s="1">
        <v>56980</v>
      </c>
      <c r="AQ45" s="1">
        <v>57346</v>
      </c>
      <c r="AR45" s="1">
        <v>57711</v>
      </c>
      <c r="AS45" s="1">
        <v>58076</v>
      </c>
      <c r="AT45" s="1">
        <v>58441</v>
      </c>
      <c r="AU45" s="1">
        <v>58807</v>
      </c>
      <c r="AV45" s="1">
        <v>59172</v>
      </c>
      <c r="AW45" s="1">
        <v>59537</v>
      </c>
      <c r="AX45" s="1">
        <v>59902</v>
      </c>
      <c r="AY45" s="1">
        <v>60268</v>
      </c>
      <c r="AZ45" s="1">
        <v>60633</v>
      </c>
      <c r="BA45" s="1">
        <v>60998</v>
      </c>
      <c r="BB45" s="1">
        <v>61363</v>
      </c>
      <c r="BC45" s="1">
        <v>61729</v>
      </c>
      <c r="BD45" s="1">
        <v>62094</v>
      </c>
      <c r="BE45" s="1">
        <v>62459</v>
      </c>
      <c r="BF45" s="1">
        <v>62824</v>
      </c>
      <c r="BG45" s="1">
        <v>63190</v>
      </c>
      <c r="BH45" s="1">
        <v>63555</v>
      </c>
      <c r="BI45" s="1">
        <v>63920</v>
      </c>
      <c r="BJ45" s="1">
        <v>64285</v>
      </c>
      <c r="BK45" s="1">
        <v>64651</v>
      </c>
      <c r="BL45" s="1">
        <v>65016</v>
      </c>
      <c r="BM45" s="1">
        <v>65381</v>
      </c>
      <c r="BN45" s="1">
        <v>65746</v>
      </c>
      <c r="BO45" s="1">
        <v>66112</v>
      </c>
      <c r="BP45" s="1">
        <v>66477</v>
      </c>
      <c r="BQ45" s="1">
        <v>66842</v>
      </c>
      <c r="BR45" s="1">
        <v>67207</v>
      </c>
      <c r="BS45" s="1">
        <v>67573</v>
      </c>
      <c r="BT45" s="1">
        <v>67938</v>
      </c>
      <c r="BU45" s="1">
        <v>68303</v>
      </c>
      <c r="BV45" s="1">
        <v>68668</v>
      </c>
      <c r="BW45" s="1">
        <v>69034</v>
      </c>
      <c r="BX45" s="1">
        <v>69399</v>
      </c>
      <c r="BY45" s="1">
        <v>69764</v>
      </c>
      <c r="BZ45" s="1">
        <v>70129</v>
      </c>
      <c r="CA45" s="1">
        <v>70495</v>
      </c>
      <c r="CB45" s="1">
        <v>70860</v>
      </c>
      <c r="CC45" s="1">
        <v>71225</v>
      </c>
      <c r="CD45" s="1">
        <v>71590</v>
      </c>
      <c r="CE45" s="1">
        <v>71956</v>
      </c>
      <c r="CF45" s="1">
        <v>72321</v>
      </c>
      <c r="CG45" s="1">
        <v>72686</v>
      </c>
      <c r="CH45" s="1">
        <v>73051</v>
      </c>
      <c r="CI45" s="1">
        <v>73416</v>
      </c>
      <c r="CJ45" s="1">
        <v>73781</v>
      </c>
      <c r="CK45" s="1">
        <v>74146</v>
      </c>
      <c r="CL45" s="1">
        <v>74511</v>
      </c>
      <c r="CM45" s="1">
        <v>74877</v>
      </c>
      <c r="CN45" s="1">
        <v>75242</v>
      </c>
      <c r="CO45" s="1">
        <v>75607</v>
      </c>
      <c r="CP45" s="1">
        <v>75972</v>
      </c>
      <c r="CQ45" s="1">
        <v>76338</v>
      </c>
      <c r="CR45" s="1">
        <v>76703</v>
      </c>
      <c r="CS45" s="1">
        <v>77068</v>
      </c>
      <c r="CT45" s="1">
        <v>77433</v>
      </c>
      <c r="CU45" s="1">
        <v>77799</v>
      </c>
      <c r="CV45" s="1">
        <v>78164</v>
      </c>
      <c r="CW45" s="1">
        <v>78529</v>
      </c>
      <c r="CX45" s="1">
        <v>78894</v>
      </c>
      <c r="CY45" s="1">
        <v>79260</v>
      </c>
      <c r="CZ45" s="1">
        <v>79625</v>
      </c>
      <c r="DA45" s="1">
        <v>79990</v>
      </c>
      <c r="DB45" s="1">
        <v>80355</v>
      </c>
      <c r="DC45" s="1">
        <v>80721</v>
      </c>
      <c r="DD45" s="1">
        <v>80355</v>
      </c>
      <c r="DE45" s="1">
        <v>80721</v>
      </c>
      <c r="DF45" s="1">
        <v>81086</v>
      </c>
      <c r="DG45" s="1">
        <v>81451</v>
      </c>
      <c r="DH45" s="1">
        <v>81816</v>
      </c>
      <c r="DI45" s="1">
        <v>82182</v>
      </c>
      <c r="DJ45" s="1">
        <v>82547</v>
      </c>
      <c r="DK45" s="1">
        <v>82912</v>
      </c>
      <c r="DL45" s="1">
        <v>83277</v>
      </c>
      <c r="DM45" s="1">
        <v>83643</v>
      </c>
      <c r="DN45" s="1">
        <v>84008</v>
      </c>
      <c r="DO45" s="1">
        <v>84373</v>
      </c>
      <c r="DP45" s="1">
        <v>84738</v>
      </c>
      <c r="DQ45" s="1">
        <v>85104</v>
      </c>
      <c r="DR45" s="1">
        <v>85469</v>
      </c>
      <c r="DS45" s="1">
        <v>85834</v>
      </c>
      <c r="DT45" s="1">
        <v>86199</v>
      </c>
      <c r="DU45" s="1">
        <v>86565</v>
      </c>
      <c r="DV45" s="1">
        <v>86930</v>
      </c>
      <c r="DW45" s="1">
        <v>87295</v>
      </c>
      <c r="DX45" s="1">
        <v>87660</v>
      </c>
      <c r="DY45" s="1">
        <v>88026</v>
      </c>
      <c r="DZ45">
        <v>88391</v>
      </c>
      <c r="EA45">
        <v>88756</v>
      </c>
    </row>
    <row r="46" spans="1:131" x14ac:dyDescent="0.25">
      <c r="A46" t="s">
        <v>303</v>
      </c>
      <c r="B46" s="195">
        <v>25000</v>
      </c>
      <c r="C46" s="120">
        <v>46054</v>
      </c>
      <c r="D46" s="195">
        <v>8</v>
      </c>
      <c r="E46" s="195">
        <v>1000</v>
      </c>
      <c r="F46" s="120">
        <f>EDATE(tblAssets[[#This Row],[Acquired]],(tblAssets[[#This Row],[Life]]+1)*12)</f>
        <v>48611</v>
      </c>
      <c r="G46" s="195">
        <v>500</v>
      </c>
      <c r="H46" s="120" t="s">
        <v>445</v>
      </c>
      <c r="J46" t="str" cm="1">
        <f t="array" ref="J46:J65">nabla.f.LabelDepreciateλ(tblAssets[Asset])</f>
        <v>Cutter CAPEX</v>
      </c>
      <c r="K46" cm="1">
        <f t="array" ref="K46:K65">nabla.f.SumDepreciateλ(_xlfn.ANCHORARRAY(L46))</f>
        <v>25000</v>
      </c>
      <c r="L46" s="162" cm="1">
        <f t="array" ref="L46:EA65">nabla.f.Depreciateλ(tblAssets[Amount],tblAssets[Acquired],tblAssets[Life],_xlfn.ANCHORARRAY(L45),tblAssets[Salvage],tblAssets[Date],tblAssets[Cost],tblAssets[Method])</f>
        <v>25000</v>
      </c>
      <c r="M46" s="261">
        <v>0</v>
      </c>
      <c r="N46" s="261">
        <v>0</v>
      </c>
      <c r="O46" s="261">
        <v>0</v>
      </c>
      <c r="P46" s="261">
        <v>0</v>
      </c>
      <c r="Q46" s="261">
        <v>0</v>
      </c>
      <c r="R46" s="261">
        <v>0</v>
      </c>
      <c r="S46" s="261">
        <v>0</v>
      </c>
      <c r="T46" s="261">
        <v>0</v>
      </c>
      <c r="U46" s="261">
        <v>0</v>
      </c>
      <c r="V46" s="261">
        <v>0</v>
      </c>
      <c r="W46" s="261">
        <v>0</v>
      </c>
      <c r="X46" s="261">
        <v>0</v>
      </c>
      <c r="Y46" s="261">
        <v>0</v>
      </c>
      <c r="Z46" s="261">
        <v>0</v>
      </c>
      <c r="AA46" s="261">
        <v>0</v>
      </c>
      <c r="AB46" s="261">
        <v>0</v>
      </c>
      <c r="AC46" s="261">
        <v>0</v>
      </c>
      <c r="AD46" s="261">
        <v>0</v>
      </c>
      <c r="AE46" s="261">
        <v>0</v>
      </c>
      <c r="AF46" s="261">
        <v>0</v>
      </c>
      <c r="AG46" s="261">
        <v>0</v>
      </c>
      <c r="AH46" s="261">
        <v>0</v>
      </c>
      <c r="AI46" s="261">
        <v>0</v>
      </c>
      <c r="AJ46" s="261">
        <v>0</v>
      </c>
      <c r="AK46" s="261">
        <v>0</v>
      </c>
      <c r="AL46" s="261">
        <v>0</v>
      </c>
      <c r="AM46" s="261">
        <v>0</v>
      </c>
      <c r="AN46" s="261">
        <v>0</v>
      </c>
      <c r="AO46" s="261">
        <v>0</v>
      </c>
      <c r="AP46" s="261">
        <v>0</v>
      </c>
      <c r="AQ46" s="261">
        <v>0</v>
      </c>
      <c r="AR46" s="261">
        <v>0</v>
      </c>
      <c r="AS46" s="261">
        <v>0</v>
      </c>
      <c r="AT46" s="261">
        <v>0</v>
      </c>
      <c r="AU46" s="261">
        <v>0</v>
      </c>
      <c r="AV46" s="261">
        <v>0</v>
      </c>
      <c r="AW46" s="261">
        <v>0</v>
      </c>
      <c r="AX46" s="261">
        <v>0</v>
      </c>
      <c r="AY46" s="261">
        <v>0</v>
      </c>
      <c r="AZ46" s="261">
        <v>0</v>
      </c>
      <c r="BA46" s="261">
        <v>0</v>
      </c>
      <c r="BB46" s="261">
        <v>0</v>
      </c>
      <c r="BC46" s="261">
        <v>0</v>
      </c>
      <c r="BD46" s="261">
        <v>0</v>
      </c>
      <c r="BE46" s="261">
        <v>0</v>
      </c>
      <c r="BF46" s="261">
        <v>0</v>
      </c>
      <c r="BG46" s="261">
        <v>0</v>
      </c>
      <c r="BH46" s="261">
        <v>0</v>
      </c>
      <c r="BI46" s="261">
        <v>0</v>
      </c>
      <c r="BJ46" s="261">
        <v>0</v>
      </c>
      <c r="BK46" s="261">
        <v>0</v>
      </c>
      <c r="BL46" s="261">
        <v>0</v>
      </c>
      <c r="BM46" s="261">
        <v>0</v>
      </c>
      <c r="BN46" s="261">
        <v>0</v>
      </c>
      <c r="BO46" s="261">
        <v>0</v>
      </c>
      <c r="BP46" s="261">
        <v>0</v>
      </c>
      <c r="BQ46" s="261">
        <v>0</v>
      </c>
      <c r="BR46" s="261">
        <v>0</v>
      </c>
      <c r="BS46" s="261">
        <v>0</v>
      </c>
      <c r="BT46" s="261">
        <v>0</v>
      </c>
      <c r="BU46" s="261">
        <v>0</v>
      </c>
      <c r="BV46" s="261">
        <v>0</v>
      </c>
      <c r="BW46" s="261">
        <v>0</v>
      </c>
      <c r="BX46" s="261">
        <v>0</v>
      </c>
      <c r="BY46" s="261">
        <v>0</v>
      </c>
      <c r="BZ46" s="261">
        <v>0</v>
      </c>
      <c r="CA46" s="261">
        <v>0</v>
      </c>
      <c r="CB46" s="261">
        <v>0</v>
      </c>
      <c r="CC46" s="261">
        <v>0</v>
      </c>
      <c r="CD46" s="261">
        <v>0</v>
      </c>
      <c r="CE46" s="261">
        <v>0</v>
      </c>
      <c r="CF46" s="261">
        <v>0</v>
      </c>
      <c r="CG46" s="261">
        <v>0</v>
      </c>
      <c r="CH46" s="261">
        <v>0</v>
      </c>
      <c r="CI46" s="261">
        <v>0</v>
      </c>
      <c r="CJ46" s="261">
        <v>0</v>
      </c>
      <c r="CK46" s="261">
        <v>0</v>
      </c>
      <c r="CL46" s="261">
        <v>0</v>
      </c>
      <c r="CM46" s="261">
        <v>0</v>
      </c>
      <c r="CN46" s="261">
        <v>0</v>
      </c>
      <c r="CO46" s="261">
        <v>0</v>
      </c>
      <c r="CP46" s="261">
        <v>0</v>
      </c>
      <c r="CQ46" s="261">
        <v>0</v>
      </c>
      <c r="CR46" s="261">
        <v>0</v>
      </c>
      <c r="CS46" s="261">
        <v>0</v>
      </c>
      <c r="CT46" s="261">
        <v>0</v>
      </c>
      <c r="CU46" s="261">
        <v>0</v>
      </c>
      <c r="CV46" s="261">
        <v>0</v>
      </c>
      <c r="CW46" s="261">
        <v>0</v>
      </c>
      <c r="CX46" s="261">
        <v>0</v>
      </c>
      <c r="CY46" s="261">
        <v>0</v>
      </c>
      <c r="CZ46" s="261">
        <v>0</v>
      </c>
      <c r="DA46" s="261">
        <v>0</v>
      </c>
      <c r="DB46" s="261">
        <v>0</v>
      </c>
      <c r="DC46" s="261">
        <v>0</v>
      </c>
      <c r="DD46" s="261">
        <v>0</v>
      </c>
      <c r="DE46" s="261">
        <v>0</v>
      </c>
      <c r="DF46" s="261">
        <v>0</v>
      </c>
      <c r="DG46" s="261">
        <v>0</v>
      </c>
      <c r="DH46" s="261">
        <v>0</v>
      </c>
      <c r="DI46" s="261">
        <v>0</v>
      </c>
      <c r="DJ46" s="261">
        <v>0</v>
      </c>
      <c r="DK46" s="261">
        <v>0</v>
      </c>
      <c r="DL46" s="261">
        <v>0</v>
      </c>
      <c r="DM46" s="261">
        <v>0</v>
      </c>
      <c r="DN46" s="261">
        <v>0</v>
      </c>
      <c r="DO46" s="261">
        <v>0</v>
      </c>
      <c r="DP46" s="261">
        <v>0</v>
      </c>
      <c r="DQ46" s="261">
        <v>0</v>
      </c>
      <c r="DR46" s="261">
        <v>0</v>
      </c>
      <c r="DS46" s="261">
        <v>0</v>
      </c>
      <c r="DT46" s="261">
        <v>0</v>
      </c>
      <c r="DU46" s="261">
        <v>0</v>
      </c>
      <c r="DV46" s="261">
        <v>0</v>
      </c>
      <c r="DW46" s="261">
        <v>0</v>
      </c>
      <c r="DX46" s="261">
        <v>0</v>
      </c>
      <c r="DY46" s="261">
        <v>0</v>
      </c>
      <c r="DZ46">
        <v>0</v>
      </c>
      <c r="EA46">
        <v>0</v>
      </c>
    </row>
    <row r="47" spans="1:131" x14ac:dyDescent="0.25">
      <c r="A47" s="263" t="s">
        <v>304</v>
      </c>
      <c r="B47" s="266">
        <v>10000</v>
      </c>
      <c r="C47" s="267">
        <v>46113</v>
      </c>
      <c r="D47" s="197">
        <v>10</v>
      </c>
      <c r="E47" s="197">
        <v>500</v>
      </c>
      <c r="F47" s="264">
        <f>EDATE(tblAssets[[#This Row],[Acquired]],(tblAssets[[#This Row],[Life]]+1)*12)</f>
        <v>49400</v>
      </c>
      <c r="G47" s="266">
        <v>100</v>
      </c>
      <c r="H47" s="264" t="s">
        <v>301</v>
      </c>
      <c r="J47" t="str">
        <v>Cutter Opening Value</v>
      </c>
      <c r="K47">
        <v>0</v>
      </c>
      <c r="L47" s="261">
        <v>25000</v>
      </c>
      <c r="M47" s="261">
        <v>19270.869999999981</v>
      </c>
      <c r="N47" s="261">
        <v>14453.06999999998</v>
      </c>
      <c r="O47" s="261">
        <v>10839.829999999987</v>
      </c>
      <c r="P47" s="261">
        <v>8129.8449999999939</v>
      </c>
      <c r="Q47" s="261">
        <v>6097.466249999994</v>
      </c>
      <c r="R47" s="261">
        <v>4425.3971874999888</v>
      </c>
      <c r="S47" s="261">
        <v>2781.1914583333219</v>
      </c>
      <c r="T47" s="261">
        <v>1136.9857291666553</v>
      </c>
      <c r="U47" s="261">
        <v>999.99999999998863</v>
      </c>
      <c r="V47" s="261">
        <v>0</v>
      </c>
      <c r="W47" s="261">
        <v>0</v>
      </c>
      <c r="X47" s="261">
        <v>0</v>
      </c>
      <c r="Y47" s="261">
        <v>0</v>
      </c>
      <c r="Z47" s="261">
        <v>0</v>
      </c>
      <c r="AA47" s="261">
        <v>0</v>
      </c>
      <c r="AB47" s="261">
        <v>0</v>
      </c>
      <c r="AC47" s="261">
        <v>0</v>
      </c>
      <c r="AD47" s="261">
        <v>0</v>
      </c>
      <c r="AE47" s="261">
        <v>0</v>
      </c>
      <c r="AF47" s="261">
        <v>0</v>
      </c>
      <c r="AG47" s="261">
        <v>0</v>
      </c>
      <c r="AH47" s="261">
        <v>0</v>
      </c>
      <c r="AI47" s="261">
        <v>0</v>
      </c>
      <c r="AJ47" s="261">
        <v>0</v>
      </c>
      <c r="AK47" s="261">
        <v>0</v>
      </c>
      <c r="AL47" s="261">
        <v>0</v>
      </c>
      <c r="AM47" s="261">
        <v>0</v>
      </c>
      <c r="AN47" s="261">
        <v>0</v>
      </c>
      <c r="AO47" s="261">
        <v>0</v>
      </c>
      <c r="AP47" s="261">
        <v>0</v>
      </c>
      <c r="AQ47" s="261">
        <v>0</v>
      </c>
      <c r="AR47" s="261">
        <v>0</v>
      </c>
      <c r="AS47" s="261">
        <v>0</v>
      </c>
      <c r="AT47" s="261">
        <v>0</v>
      </c>
      <c r="AU47" s="261">
        <v>0</v>
      </c>
      <c r="AV47" s="261">
        <v>0</v>
      </c>
      <c r="AW47" s="261">
        <v>0</v>
      </c>
      <c r="AX47" s="261">
        <v>0</v>
      </c>
      <c r="AY47" s="261">
        <v>0</v>
      </c>
      <c r="AZ47" s="261">
        <v>0</v>
      </c>
      <c r="BA47" s="261">
        <v>0</v>
      </c>
      <c r="BB47" s="261">
        <v>0</v>
      </c>
      <c r="BC47" s="261">
        <v>0</v>
      </c>
      <c r="BD47" s="261">
        <v>0</v>
      </c>
      <c r="BE47" s="261">
        <v>0</v>
      </c>
      <c r="BF47" s="261">
        <v>0</v>
      </c>
      <c r="BG47" s="261">
        <v>0</v>
      </c>
      <c r="BH47" s="261">
        <v>0</v>
      </c>
      <c r="BI47" s="261">
        <v>0</v>
      </c>
      <c r="BJ47" s="261">
        <v>0</v>
      </c>
      <c r="BK47" s="261">
        <v>0</v>
      </c>
      <c r="BL47" s="261">
        <v>0</v>
      </c>
      <c r="BM47" s="261">
        <v>0</v>
      </c>
      <c r="BN47" s="261">
        <v>0</v>
      </c>
      <c r="BO47" s="261">
        <v>0</v>
      </c>
      <c r="BP47" s="261">
        <v>0</v>
      </c>
      <c r="BQ47" s="261">
        <v>0</v>
      </c>
      <c r="BR47" s="261">
        <v>0</v>
      </c>
      <c r="BS47" s="261">
        <v>0</v>
      </c>
      <c r="BT47" s="261">
        <v>0</v>
      </c>
      <c r="BU47" s="261">
        <v>0</v>
      </c>
      <c r="BV47" s="261">
        <v>0</v>
      </c>
      <c r="BW47" s="261">
        <v>0</v>
      </c>
      <c r="BX47" s="261">
        <v>0</v>
      </c>
      <c r="BY47" s="261">
        <v>0</v>
      </c>
      <c r="BZ47" s="261">
        <v>0</v>
      </c>
      <c r="CA47" s="261">
        <v>0</v>
      </c>
      <c r="CB47" s="261">
        <v>0</v>
      </c>
      <c r="CC47" s="261">
        <v>0</v>
      </c>
      <c r="CD47" s="261">
        <v>0</v>
      </c>
      <c r="CE47" s="261">
        <v>0</v>
      </c>
      <c r="CF47" s="261">
        <v>0</v>
      </c>
      <c r="CG47" s="261">
        <v>0</v>
      </c>
      <c r="CH47" s="261">
        <v>0</v>
      </c>
      <c r="CI47" s="261">
        <v>0</v>
      </c>
      <c r="CJ47" s="261">
        <v>0</v>
      </c>
      <c r="CK47" s="261">
        <v>0</v>
      </c>
      <c r="CL47" s="261">
        <v>0</v>
      </c>
      <c r="CM47" s="261">
        <v>0</v>
      </c>
      <c r="CN47" s="261">
        <v>0</v>
      </c>
      <c r="CO47" s="261">
        <v>0</v>
      </c>
      <c r="CP47" s="261">
        <v>0</v>
      </c>
      <c r="CQ47" s="261">
        <v>0</v>
      </c>
      <c r="CR47" s="261">
        <v>0</v>
      </c>
      <c r="CS47" s="261">
        <v>0</v>
      </c>
      <c r="CT47" s="261">
        <v>0</v>
      </c>
      <c r="CU47" s="261">
        <v>0</v>
      </c>
      <c r="CV47" s="261">
        <v>0</v>
      </c>
      <c r="CW47" s="261">
        <v>0</v>
      </c>
      <c r="CX47" s="261">
        <v>0</v>
      </c>
      <c r="CY47" s="261">
        <v>0</v>
      </c>
      <c r="CZ47" s="261">
        <v>0</v>
      </c>
      <c r="DA47" s="261">
        <v>0</v>
      </c>
      <c r="DB47" s="261">
        <v>0</v>
      </c>
      <c r="DC47" s="261">
        <v>0</v>
      </c>
      <c r="DD47" s="261">
        <v>0</v>
      </c>
      <c r="DE47" s="261">
        <v>0</v>
      </c>
      <c r="DF47" s="261">
        <v>0</v>
      </c>
      <c r="DG47" s="261">
        <v>0</v>
      </c>
      <c r="DH47" s="261">
        <v>0</v>
      </c>
      <c r="DI47" s="261">
        <v>0</v>
      </c>
      <c r="DJ47" s="261">
        <v>0</v>
      </c>
      <c r="DK47" s="261">
        <v>0</v>
      </c>
      <c r="DL47" s="261">
        <v>0</v>
      </c>
      <c r="DM47" s="261">
        <v>0</v>
      </c>
      <c r="DN47" s="261">
        <v>0</v>
      </c>
      <c r="DO47" s="261">
        <v>0</v>
      </c>
      <c r="DP47" s="261">
        <v>0</v>
      </c>
      <c r="DQ47" s="261">
        <v>0</v>
      </c>
      <c r="DR47" s="261">
        <v>0</v>
      </c>
      <c r="DS47" s="261">
        <v>0</v>
      </c>
      <c r="DT47" s="261">
        <v>0</v>
      </c>
      <c r="DU47" s="261">
        <v>0</v>
      </c>
      <c r="DV47" s="261">
        <v>0</v>
      </c>
      <c r="DW47" s="261">
        <v>0</v>
      </c>
      <c r="DX47" s="261">
        <v>0</v>
      </c>
      <c r="DY47" s="261">
        <v>0</v>
      </c>
      <c r="DZ47">
        <v>0</v>
      </c>
      <c r="EA47">
        <v>0</v>
      </c>
    </row>
    <row r="48" spans="1:131" x14ac:dyDescent="0.25">
      <c r="A48" s="262" t="s">
        <v>305</v>
      </c>
      <c r="B48" s="266">
        <v>50000</v>
      </c>
      <c r="C48" s="267">
        <v>46023</v>
      </c>
      <c r="D48" s="197">
        <v>20</v>
      </c>
      <c r="E48" s="197"/>
      <c r="F48" s="265">
        <f>EDATE(tblAssets[[#This Row],[Acquired]],(tblAssets[[#This Row],[Life]]+1)*12)</f>
        <v>52963</v>
      </c>
      <c r="G48" s="266">
        <v>250</v>
      </c>
      <c r="H48" s="265" t="s">
        <v>302</v>
      </c>
      <c r="J48" t="str">
        <v>Cutter Depreciation</v>
      </c>
      <c r="K48">
        <v>25000.000000000004</v>
      </c>
      <c r="L48" s="261">
        <v>5729.13</v>
      </c>
      <c r="M48" s="261">
        <v>4817.8</v>
      </c>
      <c r="N48" s="261">
        <v>3613.2400000000007</v>
      </c>
      <c r="O48" s="261">
        <v>2709.9849999999992</v>
      </c>
      <c r="P48" s="261">
        <v>2032.3787499999999</v>
      </c>
      <c r="Q48" s="261">
        <v>1672.0690625</v>
      </c>
      <c r="R48" s="261">
        <v>1644.2057291666665</v>
      </c>
      <c r="S48" s="261">
        <v>1644.2057291666665</v>
      </c>
      <c r="T48" s="261">
        <v>136.98572916666672</v>
      </c>
      <c r="U48" s="261">
        <v>1000</v>
      </c>
      <c r="V48" s="261">
        <v>0</v>
      </c>
      <c r="W48" s="261">
        <v>0</v>
      </c>
      <c r="X48" s="261">
        <v>0</v>
      </c>
      <c r="Y48" s="261">
        <v>0</v>
      </c>
      <c r="Z48" s="261">
        <v>0</v>
      </c>
      <c r="AA48" s="261">
        <v>0</v>
      </c>
      <c r="AB48" s="261">
        <v>0</v>
      </c>
      <c r="AC48" s="261">
        <v>0</v>
      </c>
      <c r="AD48" s="261">
        <v>0</v>
      </c>
      <c r="AE48" s="261">
        <v>0</v>
      </c>
      <c r="AF48" s="261">
        <v>0</v>
      </c>
      <c r="AG48" s="261">
        <v>0</v>
      </c>
      <c r="AH48" s="261">
        <v>0</v>
      </c>
      <c r="AI48" s="261">
        <v>0</v>
      </c>
      <c r="AJ48" s="261">
        <v>0</v>
      </c>
      <c r="AK48" s="261">
        <v>0</v>
      </c>
      <c r="AL48" s="261">
        <v>0</v>
      </c>
      <c r="AM48" s="261">
        <v>0</v>
      </c>
      <c r="AN48" s="261">
        <v>0</v>
      </c>
      <c r="AO48" s="261">
        <v>0</v>
      </c>
      <c r="AP48" s="261">
        <v>0</v>
      </c>
      <c r="AQ48" s="261">
        <v>0</v>
      </c>
      <c r="AR48" s="261">
        <v>0</v>
      </c>
      <c r="AS48" s="261">
        <v>0</v>
      </c>
      <c r="AT48" s="261">
        <v>0</v>
      </c>
      <c r="AU48" s="261">
        <v>0</v>
      </c>
      <c r="AV48" s="261">
        <v>0</v>
      </c>
      <c r="AW48" s="261">
        <v>0</v>
      </c>
      <c r="AX48" s="261">
        <v>0</v>
      </c>
      <c r="AY48" s="261">
        <v>0</v>
      </c>
      <c r="AZ48" s="261">
        <v>0</v>
      </c>
      <c r="BA48" s="261">
        <v>0</v>
      </c>
      <c r="BB48" s="261">
        <v>0</v>
      </c>
      <c r="BC48" s="261">
        <v>0</v>
      </c>
      <c r="BD48" s="261">
        <v>0</v>
      </c>
      <c r="BE48" s="261">
        <v>0</v>
      </c>
      <c r="BF48" s="261">
        <v>0</v>
      </c>
      <c r="BG48" s="261">
        <v>0</v>
      </c>
      <c r="BH48" s="261">
        <v>0</v>
      </c>
      <c r="BI48" s="261">
        <v>0</v>
      </c>
      <c r="BJ48" s="261">
        <v>0</v>
      </c>
      <c r="BK48" s="261">
        <v>0</v>
      </c>
      <c r="BL48" s="261">
        <v>0</v>
      </c>
      <c r="BM48" s="261">
        <v>0</v>
      </c>
      <c r="BN48" s="261">
        <v>0</v>
      </c>
      <c r="BO48" s="261">
        <v>0</v>
      </c>
      <c r="BP48" s="261">
        <v>0</v>
      </c>
      <c r="BQ48" s="261">
        <v>0</v>
      </c>
      <c r="BR48" s="261">
        <v>0</v>
      </c>
      <c r="BS48" s="261">
        <v>0</v>
      </c>
      <c r="BT48" s="261">
        <v>0</v>
      </c>
      <c r="BU48" s="261">
        <v>0</v>
      </c>
      <c r="BV48" s="261">
        <v>0</v>
      </c>
      <c r="BW48" s="261">
        <v>0</v>
      </c>
      <c r="BX48" s="261">
        <v>0</v>
      </c>
      <c r="BY48" s="261">
        <v>0</v>
      </c>
      <c r="BZ48" s="261">
        <v>0</v>
      </c>
      <c r="CA48" s="261">
        <v>0</v>
      </c>
      <c r="CB48" s="261">
        <v>0</v>
      </c>
      <c r="CC48" s="261">
        <v>0</v>
      </c>
      <c r="CD48" s="261">
        <v>0</v>
      </c>
      <c r="CE48" s="261">
        <v>0</v>
      </c>
      <c r="CF48" s="261">
        <v>0</v>
      </c>
      <c r="CG48" s="261">
        <v>0</v>
      </c>
      <c r="CH48" s="261">
        <v>0</v>
      </c>
      <c r="CI48" s="261">
        <v>0</v>
      </c>
      <c r="CJ48" s="261">
        <v>0</v>
      </c>
      <c r="CK48" s="261">
        <v>0</v>
      </c>
      <c r="CL48" s="261">
        <v>0</v>
      </c>
      <c r="CM48" s="261">
        <v>0</v>
      </c>
      <c r="CN48" s="261">
        <v>0</v>
      </c>
      <c r="CO48" s="261">
        <v>0</v>
      </c>
      <c r="CP48" s="261">
        <v>0</v>
      </c>
      <c r="CQ48" s="261">
        <v>0</v>
      </c>
      <c r="CR48" s="261">
        <v>0</v>
      </c>
      <c r="CS48" s="261">
        <v>0</v>
      </c>
      <c r="CT48" s="261">
        <v>0</v>
      </c>
      <c r="CU48" s="261">
        <v>0</v>
      </c>
      <c r="CV48" s="261">
        <v>0</v>
      </c>
      <c r="CW48" s="261">
        <v>0</v>
      </c>
      <c r="CX48" s="261">
        <v>0</v>
      </c>
      <c r="CY48" s="261">
        <v>0</v>
      </c>
      <c r="CZ48" s="261">
        <v>0</v>
      </c>
      <c r="DA48" s="261">
        <v>0</v>
      </c>
      <c r="DB48" s="261">
        <v>0</v>
      </c>
      <c r="DC48" s="261">
        <v>0</v>
      </c>
      <c r="DD48" s="261">
        <v>0</v>
      </c>
      <c r="DE48" s="261">
        <v>0</v>
      </c>
      <c r="DF48" s="261">
        <v>0</v>
      </c>
      <c r="DG48" s="261">
        <v>0</v>
      </c>
      <c r="DH48" s="261">
        <v>0</v>
      </c>
      <c r="DI48" s="261">
        <v>0</v>
      </c>
      <c r="DJ48" s="261">
        <v>0</v>
      </c>
      <c r="DK48" s="261">
        <v>0</v>
      </c>
      <c r="DL48" s="261">
        <v>0</v>
      </c>
      <c r="DM48" s="261">
        <v>0</v>
      </c>
      <c r="DN48" s="261">
        <v>0</v>
      </c>
      <c r="DO48" s="261">
        <v>0</v>
      </c>
      <c r="DP48" s="261">
        <v>0</v>
      </c>
      <c r="DQ48" s="261">
        <v>0</v>
      </c>
      <c r="DR48" s="261">
        <v>0</v>
      </c>
      <c r="DS48" s="261">
        <v>0</v>
      </c>
      <c r="DT48" s="261">
        <v>0</v>
      </c>
      <c r="DU48" s="261">
        <v>0</v>
      </c>
      <c r="DV48" s="261">
        <v>0</v>
      </c>
      <c r="DW48" s="261">
        <v>0</v>
      </c>
      <c r="DX48" s="261">
        <v>0</v>
      </c>
      <c r="DY48" s="261">
        <v>0</v>
      </c>
      <c r="DZ48">
        <v>0</v>
      </c>
      <c r="EA48">
        <v>0</v>
      </c>
    </row>
    <row r="49" spans="10:131" x14ac:dyDescent="0.25">
      <c r="J49" t="str">
        <v>Cutter Book Value</v>
      </c>
      <c r="K49">
        <v>0</v>
      </c>
      <c r="L49" s="261">
        <v>19270.87</v>
      </c>
      <c r="M49" s="261">
        <v>14453.069999999982</v>
      </c>
      <c r="N49" s="261">
        <v>10839.82999999998</v>
      </c>
      <c r="O49" s="261">
        <v>8129.8449999999884</v>
      </c>
      <c r="P49" s="261">
        <v>6097.466249999994</v>
      </c>
      <c r="Q49" s="261">
        <v>4425.3971874999943</v>
      </c>
      <c r="R49" s="261">
        <v>2781.1914583333223</v>
      </c>
      <c r="S49" s="261">
        <v>1136.9857291666553</v>
      </c>
      <c r="T49" s="261">
        <v>999.99999999998863</v>
      </c>
      <c r="U49" s="261">
        <v>-1.1368683772161603E-11</v>
      </c>
      <c r="V49" s="261">
        <v>0</v>
      </c>
      <c r="W49" s="261">
        <v>0</v>
      </c>
      <c r="X49" s="261">
        <v>0</v>
      </c>
      <c r="Y49" s="261">
        <v>0</v>
      </c>
      <c r="Z49" s="261">
        <v>0</v>
      </c>
      <c r="AA49" s="261">
        <v>0</v>
      </c>
      <c r="AB49" s="261">
        <v>0</v>
      </c>
      <c r="AC49" s="261">
        <v>0</v>
      </c>
      <c r="AD49" s="261">
        <v>0</v>
      </c>
      <c r="AE49" s="261">
        <v>0</v>
      </c>
      <c r="AF49" s="261">
        <v>0</v>
      </c>
      <c r="AG49" s="261">
        <v>0</v>
      </c>
      <c r="AH49" s="261">
        <v>0</v>
      </c>
      <c r="AI49" s="261">
        <v>0</v>
      </c>
      <c r="AJ49" s="261">
        <v>0</v>
      </c>
      <c r="AK49" s="261">
        <v>0</v>
      </c>
      <c r="AL49" s="261">
        <v>0</v>
      </c>
      <c r="AM49" s="261">
        <v>0</v>
      </c>
      <c r="AN49" s="261">
        <v>0</v>
      </c>
      <c r="AO49" s="261">
        <v>0</v>
      </c>
      <c r="AP49" s="261">
        <v>0</v>
      </c>
      <c r="AQ49" s="261">
        <v>0</v>
      </c>
      <c r="AR49" s="261">
        <v>0</v>
      </c>
      <c r="AS49" s="261">
        <v>0</v>
      </c>
      <c r="AT49" s="261">
        <v>0</v>
      </c>
      <c r="AU49" s="261">
        <v>0</v>
      </c>
      <c r="AV49" s="261">
        <v>0</v>
      </c>
      <c r="AW49" s="261">
        <v>0</v>
      </c>
      <c r="AX49" s="261">
        <v>0</v>
      </c>
      <c r="AY49" s="261">
        <v>0</v>
      </c>
      <c r="AZ49" s="261">
        <v>0</v>
      </c>
      <c r="BA49" s="261">
        <v>0</v>
      </c>
      <c r="BB49" s="261">
        <v>0</v>
      </c>
      <c r="BC49" s="261">
        <v>0</v>
      </c>
      <c r="BD49" s="261">
        <v>0</v>
      </c>
      <c r="BE49" s="261">
        <v>0</v>
      </c>
      <c r="BF49" s="261">
        <v>0</v>
      </c>
      <c r="BG49" s="261">
        <v>0</v>
      </c>
      <c r="BH49" s="261">
        <v>0</v>
      </c>
      <c r="BI49" s="261">
        <v>0</v>
      </c>
      <c r="BJ49" s="261">
        <v>0</v>
      </c>
      <c r="BK49" s="261">
        <v>0</v>
      </c>
      <c r="BL49" s="261">
        <v>0</v>
      </c>
      <c r="BM49" s="261">
        <v>0</v>
      </c>
      <c r="BN49" s="261">
        <v>0</v>
      </c>
      <c r="BO49" s="261">
        <v>0</v>
      </c>
      <c r="BP49" s="261">
        <v>0</v>
      </c>
      <c r="BQ49" s="261">
        <v>0</v>
      </c>
      <c r="BR49" s="261">
        <v>0</v>
      </c>
      <c r="BS49" s="261">
        <v>0</v>
      </c>
      <c r="BT49" s="261">
        <v>0</v>
      </c>
      <c r="BU49" s="261">
        <v>0</v>
      </c>
      <c r="BV49" s="261">
        <v>0</v>
      </c>
      <c r="BW49" s="261">
        <v>0</v>
      </c>
      <c r="BX49" s="261">
        <v>0</v>
      </c>
      <c r="BY49" s="261">
        <v>0</v>
      </c>
      <c r="BZ49" s="261">
        <v>0</v>
      </c>
      <c r="CA49" s="261">
        <v>0</v>
      </c>
      <c r="CB49" s="261">
        <v>0</v>
      </c>
      <c r="CC49" s="261">
        <v>0</v>
      </c>
      <c r="CD49" s="261">
        <v>0</v>
      </c>
      <c r="CE49" s="261">
        <v>0</v>
      </c>
      <c r="CF49" s="261">
        <v>0</v>
      </c>
      <c r="CG49" s="261">
        <v>0</v>
      </c>
      <c r="CH49" s="261">
        <v>0</v>
      </c>
      <c r="CI49" s="261">
        <v>0</v>
      </c>
      <c r="CJ49" s="261">
        <v>0</v>
      </c>
      <c r="CK49" s="261">
        <v>0</v>
      </c>
      <c r="CL49" s="261">
        <v>0</v>
      </c>
      <c r="CM49" s="261">
        <v>0</v>
      </c>
      <c r="CN49" s="261">
        <v>0</v>
      </c>
      <c r="CO49" s="261">
        <v>0</v>
      </c>
      <c r="CP49" s="261">
        <v>0</v>
      </c>
      <c r="CQ49" s="261">
        <v>0</v>
      </c>
      <c r="CR49" s="261">
        <v>0</v>
      </c>
      <c r="CS49" s="261">
        <v>0</v>
      </c>
      <c r="CT49" s="261">
        <v>0</v>
      </c>
      <c r="CU49" s="261">
        <v>0</v>
      </c>
      <c r="CV49" s="261">
        <v>0</v>
      </c>
      <c r="CW49" s="261">
        <v>0</v>
      </c>
      <c r="CX49" s="261">
        <v>0</v>
      </c>
      <c r="CY49" s="261">
        <v>0</v>
      </c>
      <c r="CZ49" s="261">
        <v>0</v>
      </c>
      <c r="DA49" s="261">
        <v>0</v>
      </c>
      <c r="DB49" s="261">
        <v>0</v>
      </c>
      <c r="DC49" s="261">
        <v>0</v>
      </c>
      <c r="DD49" s="261">
        <v>0</v>
      </c>
      <c r="DE49" s="261">
        <v>0</v>
      </c>
      <c r="DF49" s="261">
        <v>0</v>
      </c>
      <c r="DG49" s="261">
        <v>0</v>
      </c>
      <c r="DH49" s="261">
        <v>0</v>
      </c>
      <c r="DI49" s="261">
        <v>0</v>
      </c>
      <c r="DJ49" s="261">
        <v>0</v>
      </c>
      <c r="DK49" s="261">
        <v>0</v>
      </c>
      <c r="DL49" s="261">
        <v>0</v>
      </c>
      <c r="DM49" s="261">
        <v>0</v>
      </c>
      <c r="DN49" s="261">
        <v>0</v>
      </c>
      <c r="DO49" s="261">
        <v>0</v>
      </c>
      <c r="DP49" s="261">
        <v>0</v>
      </c>
      <c r="DQ49" s="261">
        <v>0</v>
      </c>
      <c r="DR49" s="261">
        <v>0</v>
      </c>
      <c r="DS49" s="261">
        <v>0</v>
      </c>
      <c r="DT49" s="261">
        <v>0</v>
      </c>
      <c r="DU49" s="261">
        <v>0</v>
      </c>
      <c r="DV49" s="261">
        <v>0</v>
      </c>
      <c r="DW49" s="261">
        <v>0</v>
      </c>
      <c r="DX49" s="261">
        <v>0</v>
      </c>
      <c r="DY49" s="261">
        <v>0</v>
      </c>
      <c r="DZ49">
        <v>0</v>
      </c>
      <c r="EA49">
        <v>0</v>
      </c>
    </row>
    <row r="50" spans="10:131" x14ac:dyDescent="0.25">
      <c r="J50" t="str">
        <v>Cutter Revenue from Sale</v>
      </c>
      <c r="K50">
        <v>1000</v>
      </c>
      <c r="L50" s="261">
        <v>0</v>
      </c>
      <c r="M50" s="261">
        <v>0</v>
      </c>
      <c r="N50" s="261">
        <v>0</v>
      </c>
      <c r="O50" s="261">
        <v>0</v>
      </c>
      <c r="P50" s="261">
        <v>0</v>
      </c>
      <c r="Q50" s="261">
        <v>0</v>
      </c>
      <c r="R50" s="261">
        <v>0</v>
      </c>
      <c r="S50" s="261">
        <v>0</v>
      </c>
      <c r="T50" s="261">
        <v>0</v>
      </c>
      <c r="U50" s="261">
        <v>1000</v>
      </c>
      <c r="V50" s="261">
        <v>0</v>
      </c>
      <c r="W50" s="261">
        <v>0</v>
      </c>
      <c r="X50" s="261">
        <v>0</v>
      </c>
      <c r="Y50" s="261">
        <v>0</v>
      </c>
      <c r="Z50" s="261">
        <v>0</v>
      </c>
      <c r="AA50" s="261">
        <v>0</v>
      </c>
      <c r="AB50" s="261">
        <v>0</v>
      </c>
      <c r="AC50" s="261">
        <v>0</v>
      </c>
      <c r="AD50" s="261">
        <v>0</v>
      </c>
      <c r="AE50" s="261">
        <v>0</v>
      </c>
      <c r="AF50" s="261">
        <v>0</v>
      </c>
      <c r="AG50" s="261">
        <v>0</v>
      </c>
      <c r="AH50" s="261">
        <v>0</v>
      </c>
      <c r="AI50" s="261">
        <v>0</v>
      </c>
      <c r="AJ50" s="261">
        <v>0</v>
      </c>
      <c r="AK50" s="261">
        <v>0</v>
      </c>
      <c r="AL50" s="261">
        <v>0</v>
      </c>
      <c r="AM50" s="261">
        <v>0</v>
      </c>
      <c r="AN50" s="261">
        <v>0</v>
      </c>
      <c r="AO50" s="261">
        <v>0</v>
      </c>
      <c r="AP50" s="261">
        <v>0</v>
      </c>
      <c r="AQ50" s="261">
        <v>0</v>
      </c>
      <c r="AR50" s="261">
        <v>0</v>
      </c>
      <c r="AS50" s="261">
        <v>0</v>
      </c>
      <c r="AT50" s="261">
        <v>0</v>
      </c>
      <c r="AU50" s="261">
        <v>0</v>
      </c>
      <c r="AV50" s="261">
        <v>0</v>
      </c>
      <c r="AW50" s="261">
        <v>0</v>
      </c>
      <c r="AX50" s="261">
        <v>0</v>
      </c>
      <c r="AY50" s="261">
        <v>0</v>
      </c>
      <c r="AZ50" s="261">
        <v>0</v>
      </c>
      <c r="BA50" s="261">
        <v>0</v>
      </c>
      <c r="BB50" s="261">
        <v>0</v>
      </c>
      <c r="BC50" s="261">
        <v>0</v>
      </c>
      <c r="BD50" s="261">
        <v>0</v>
      </c>
      <c r="BE50" s="261">
        <v>0</v>
      </c>
      <c r="BF50" s="261">
        <v>0</v>
      </c>
      <c r="BG50" s="261">
        <v>0</v>
      </c>
      <c r="BH50" s="261">
        <v>0</v>
      </c>
      <c r="BI50" s="261">
        <v>0</v>
      </c>
      <c r="BJ50" s="261">
        <v>0</v>
      </c>
      <c r="BK50" s="261">
        <v>0</v>
      </c>
      <c r="BL50" s="261">
        <v>0</v>
      </c>
      <c r="BM50" s="261">
        <v>0</v>
      </c>
      <c r="BN50" s="261">
        <v>0</v>
      </c>
      <c r="BO50" s="261">
        <v>0</v>
      </c>
      <c r="BP50" s="261">
        <v>0</v>
      </c>
      <c r="BQ50" s="261">
        <v>0</v>
      </c>
      <c r="BR50" s="261">
        <v>0</v>
      </c>
      <c r="BS50" s="261">
        <v>0</v>
      </c>
      <c r="BT50" s="261">
        <v>0</v>
      </c>
      <c r="BU50" s="261">
        <v>0</v>
      </c>
      <c r="BV50" s="261">
        <v>0</v>
      </c>
      <c r="BW50" s="261">
        <v>0</v>
      </c>
      <c r="BX50" s="261">
        <v>0</v>
      </c>
      <c r="BY50" s="261">
        <v>0</v>
      </c>
      <c r="BZ50" s="261">
        <v>0</v>
      </c>
      <c r="CA50" s="261">
        <v>0</v>
      </c>
      <c r="CB50" s="261">
        <v>0</v>
      </c>
      <c r="CC50" s="261">
        <v>0</v>
      </c>
      <c r="CD50" s="261">
        <v>0</v>
      </c>
      <c r="CE50" s="261">
        <v>0</v>
      </c>
      <c r="CF50" s="261">
        <v>0</v>
      </c>
      <c r="CG50" s="261">
        <v>0</v>
      </c>
      <c r="CH50" s="261">
        <v>0</v>
      </c>
      <c r="CI50" s="261">
        <v>0</v>
      </c>
      <c r="CJ50" s="261">
        <v>0</v>
      </c>
      <c r="CK50" s="261">
        <v>0</v>
      </c>
      <c r="CL50" s="261">
        <v>0</v>
      </c>
      <c r="CM50" s="261">
        <v>0</v>
      </c>
      <c r="CN50" s="261">
        <v>0</v>
      </c>
      <c r="CO50" s="261">
        <v>0</v>
      </c>
      <c r="CP50" s="261">
        <v>0</v>
      </c>
      <c r="CQ50" s="261">
        <v>0</v>
      </c>
      <c r="CR50" s="261">
        <v>0</v>
      </c>
      <c r="CS50" s="261">
        <v>0</v>
      </c>
      <c r="CT50" s="261">
        <v>0</v>
      </c>
      <c r="CU50" s="261">
        <v>0</v>
      </c>
      <c r="CV50" s="261">
        <v>0</v>
      </c>
      <c r="CW50" s="261">
        <v>0</v>
      </c>
      <c r="CX50" s="261">
        <v>0</v>
      </c>
      <c r="CY50" s="261">
        <v>0</v>
      </c>
      <c r="CZ50" s="261">
        <v>0</v>
      </c>
      <c r="DA50" s="261">
        <v>0</v>
      </c>
      <c r="DB50" s="261">
        <v>0</v>
      </c>
      <c r="DC50" s="261">
        <v>0</v>
      </c>
      <c r="DD50" s="261">
        <v>0</v>
      </c>
      <c r="DE50" s="261">
        <v>0</v>
      </c>
      <c r="DF50" s="261">
        <v>0</v>
      </c>
      <c r="DG50" s="261">
        <v>0</v>
      </c>
      <c r="DH50" s="261">
        <v>0</v>
      </c>
      <c r="DI50" s="261">
        <v>0</v>
      </c>
      <c r="DJ50" s="261">
        <v>0</v>
      </c>
      <c r="DK50" s="261">
        <v>0</v>
      </c>
      <c r="DL50" s="261">
        <v>0</v>
      </c>
      <c r="DM50" s="261">
        <v>0</v>
      </c>
      <c r="DN50" s="261">
        <v>0</v>
      </c>
      <c r="DO50" s="261">
        <v>0</v>
      </c>
      <c r="DP50" s="261">
        <v>0</v>
      </c>
      <c r="DQ50" s="261">
        <v>0</v>
      </c>
      <c r="DR50" s="261">
        <v>0</v>
      </c>
      <c r="DS50" s="261">
        <v>0</v>
      </c>
      <c r="DT50" s="261">
        <v>0</v>
      </c>
      <c r="DU50" s="261">
        <v>0</v>
      </c>
      <c r="DV50" s="261">
        <v>0</v>
      </c>
      <c r="DW50" s="261">
        <v>0</v>
      </c>
      <c r="DX50" s="261">
        <v>0</v>
      </c>
      <c r="DY50" s="261">
        <v>0</v>
      </c>
      <c r="DZ50">
        <v>0</v>
      </c>
      <c r="EA50">
        <v>0</v>
      </c>
    </row>
    <row r="51" spans="10:131" x14ac:dyDescent="0.25">
      <c r="J51" t="str">
        <v>Cutter Disposal Costs</v>
      </c>
      <c r="K51">
        <v>500</v>
      </c>
      <c r="L51" s="261">
        <v>0</v>
      </c>
      <c r="M51" s="261">
        <v>0</v>
      </c>
      <c r="N51" s="261">
        <v>0</v>
      </c>
      <c r="O51" s="261">
        <v>0</v>
      </c>
      <c r="P51" s="261">
        <v>0</v>
      </c>
      <c r="Q51" s="261">
        <v>0</v>
      </c>
      <c r="R51" s="261">
        <v>0</v>
      </c>
      <c r="S51" s="261">
        <v>0</v>
      </c>
      <c r="T51" s="261">
        <v>0</v>
      </c>
      <c r="U51" s="261">
        <v>500</v>
      </c>
      <c r="V51" s="261">
        <v>0</v>
      </c>
      <c r="W51" s="261">
        <v>0</v>
      </c>
      <c r="X51" s="261">
        <v>0</v>
      </c>
      <c r="Y51" s="261">
        <v>0</v>
      </c>
      <c r="Z51" s="261">
        <v>0</v>
      </c>
      <c r="AA51" s="261">
        <v>0</v>
      </c>
      <c r="AB51" s="261">
        <v>0</v>
      </c>
      <c r="AC51" s="261">
        <v>0</v>
      </c>
      <c r="AD51" s="261">
        <v>0</v>
      </c>
      <c r="AE51" s="261">
        <v>0</v>
      </c>
      <c r="AF51" s="261">
        <v>0</v>
      </c>
      <c r="AG51" s="261">
        <v>0</v>
      </c>
      <c r="AH51" s="261">
        <v>0</v>
      </c>
      <c r="AI51" s="261">
        <v>0</v>
      </c>
      <c r="AJ51" s="261">
        <v>0</v>
      </c>
      <c r="AK51" s="261">
        <v>0</v>
      </c>
      <c r="AL51" s="261">
        <v>0</v>
      </c>
      <c r="AM51" s="261">
        <v>0</v>
      </c>
      <c r="AN51" s="261">
        <v>0</v>
      </c>
      <c r="AO51" s="261">
        <v>0</v>
      </c>
      <c r="AP51" s="261">
        <v>0</v>
      </c>
      <c r="AQ51" s="261">
        <v>0</v>
      </c>
      <c r="AR51" s="261">
        <v>0</v>
      </c>
      <c r="AS51" s="261">
        <v>0</v>
      </c>
      <c r="AT51" s="261">
        <v>0</v>
      </c>
      <c r="AU51" s="261">
        <v>0</v>
      </c>
      <c r="AV51" s="261">
        <v>0</v>
      </c>
      <c r="AW51" s="261">
        <v>0</v>
      </c>
      <c r="AX51" s="261">
        <v>0</v>
      </c>
      <c r="AY51" s="261">
        <v>0</v>
      </c>
      <c r="AZ51" s="261">
        <v>0</v>
      </c>
      <c r="BA51" s="261">
        <v>0</v>
      </c>
      <c r="BB51" s="261">
        <v>0</v>
      </c>
      <c r="BC51" s="261">
        <v>0</v>
      </c>
      <c r="BD51" s="261">
        <v>0</v>
      </c>
      <c r="BE51" s="261">
        <v>0</v>
      </c>
      <c r="BF51" s="261">
        <v>0</v>
      </c>
      <c r="BG51" s="261">
        <v>0</v>
      </c>
      <c r="BH51" s="261">
        <v>0</v>
      </c>
      <c r="BI51" s="261">
        <v>0</v>
      </c>
      <c r="BJ51" s="261">
        <v>0</v>
      </c>
      <c r="BK51" s="261">
        <v>0</v>
      </c>
      <c r="BL51" s="261">
        <v>0</v>
      </c>
      <c r="BM51" s="261">
        <v>0</v>
      </c>
      <c r="BN51" s="261">
        <v>0</v>
      </c>
      <c r="BO51" s="261">
        <v>0</v>
      </c>
      <c r="BP51" s="261">
        <v>0</v>
      </c>
      <c r="BQ51" s="261">
        <v>0</v>
      </c>
      <c r="BR51" s="261">
        <v>0</v>
      </c>
      <c r="BS51" s="261">
        <v>0</v>
      </c>
      <c r="BT51" s="261">
        <v>0</v>
      </c>
      <c r="BU51" s="261">
        <v>0</v>
      </c>
      <c r="BV51" s="261">
        <v>0</v>
      </c>
      <c r="BW51" s="261">
        <v>0</v>
      </c>
      <c r="BX51" s="261">
        <v>0</v>
      </c>
      <c r="BY51" s="261">
        <v>0</v>
      </c>
      <c r="BZ51" s="261">
        <v>0</v>
      </c>
      <c r="CA51" s="261">
        <v>0</v>
      </c>
      <c r="CB51" s="261">
        <v>0</v>
      </c>
      <c r="CC51" s="261">
        <v>0</v>
      </c>
      <c r="CD51" s="261">
        <v>0</v>
      </c>
      <c r="CE51" s="261">
        <v>0</v>
      </c>
      <c r="CF51" s="261">
        <v>0</v>
      </c>
      <c r="CG51" s="261">
        <v>0</v>
      </c>
      <c r="CH51" s="261">
        <v>0</v>
      </c>
      <c r="CI51" s="261">
        <v>0</v>
      </c>
      <c r="CJ51" s="261">
        <v>0</v>
      </c>
      <c r="CK51" s="261">
        <v>0</v>
      </c>
      <c r="CL51" s="261">
        <v>0</v>
      </c>
      <c r="CM51" s="261">
        <v>0</v>
      </c>
      <c r="CN51" s="261">
        <v>0</v>
      </c>
      <c r="CO51" s="261">
        <v>0</v>
      </c>
      <c r="CP51" s="261">
        <v>0</v>
      </c>
      <c r="CQ51" s="261">
        <v>0</v>
      </c>
      <c r="CR51" s="261">
        <v>0</v>
      </c>
      <c r="CS51" s="261">
        <v>0</v>
      </c>
      <c r="CT51" s="261">
        <v>0</v>
      </c>
      <c r="CU51" s="261">
        <v>0</v>
      </c>
      <c r="CV51" s="261">
        <v>0</v>
      </c>
      <c r="CW51" s="261">
        <v>0</v>
      </c>
      <c r="CX51" s="261">
        <v>0</v>
      </c>
      <c r="CY51" s="261">
        <v>0</v>
      </c>
      <c r="CZ51" s="261">
        <v>0</v>
      </c>
      <c r="DA51" s="261">
        <v>0</v>
      </c>
      <c r="DB51" s="261">
        <v>0</v>
      </c>
      <c r="DC51" s="261">
        <v>0</v>
      </c>
      <c r="DD51" s="261">
        <v>0</v>
      </c>
      <c r="DE51" s="261">
        <v>0</v>
      </c>
      <c r="DF51" s="261">
        <v>0</v>
      </c>
      <c r="DG51" s="261">
        <v>0</v>
      </c>
      <c r="DH51" s="261">
        <v>0</v>
      </c>
      <c r="DI51" s="261">
        <v>0</v>
      </c>
      <c r="DJ51" s="261">
        <v>0</v>
      </c>
      <c r="DK51" s="261">
        <v>0</v>
      </c>
      <c r="DL51" s="261">
        <v>0</v>
      </c>
      <c r="DM51" s="261">
        <v>0</v>
      </c>
      <c r="DN51" s="261">
        <v>0</v>
      </c>
      <c r="DO51" s="261">
        <v>0</v>
      </c>
      <c r="DP51" s="261">
        <v>0</v>
      </c>
      <c r="DQ51" s="261">
        <v>0</v>
      </c>
      <c r="DR51" s="261">
        <v>0</v>
      </c>
      <c r="DS51" s="261">
        <v>0</v>
      </c>
      <c r="DT51" s="261">
        <v>0</v>
      </c>
      <c r="DU51" s="261">
        <v>0</v>
      </c>
      <c r="DV51" s="261">
        <v>0</v>
      </c>
      <c r="DW51" s="261">
        <v>0</v>
      </c>
      <c r="DX51" s="261">
        <v>0</v>
      </c>
      <c r="DY51" s="261">
        <v>0</v>
      </c>
      <c r="DZ51">
        <v>0</v>
      </c>
      <c r="EA51">
        <v>0</v>
      </c>
    </row>
    <row r="52" spans="10:131" x14ac:dyDescent="0.25">
      <c r="J52" t="str">
        <v/>
      </c>
      <c r="K52">
        <v>0</v>
      </c>
      <c r="L52" s="261" t="str">
        <v/>
      </c>
      <c r="M52" s="261" t="str">
        <v/>
      </c>
      <c r="N52" s="261" t="str">
        <v/>
      </c>
      <c r="O52" s="261" t="str">
        <v/>
      </c>
      <c r="P52" s="261" t="str">
        <v/>
      </c>
      <c r="Q52" s="261" t="str">
        <v/>
      </c>
      <c r="R52" s="261" t="str">
        <v/>
      </c>
      <c r="S52" s="261" t="str">
        <v/>
      </c>
      <c r="T52" s="261" t="str">
        <v/>
      </c>
      <c r="U52" s="261" t="str">
        <v/>
      </c>
      <c r="V52" s="261" t="str">
        <v/>
      </c>
      <c r="W52" s="261" t="str">
        <v/>
      </c>
      <c r="X52" s="261" t="str">
        <v/>
      </c>
      <c r="Y52" s="261" t="str">
        <v/>
      </c>
      <c r="Z52" s="261" t="str">
        <v/>
      </c>
      <c r="AA52" s="261" t="str">
        <v/>
      </c>
      <c r="AB52" s="261" t="str">
        <v/>
      </c>
      <c r="AC52" s="261" t="str">
        <v/>
      </c>
      <c r="AD52" s="261" t="str">
        <v/>
      </c>
      <c r="AE52" s="261" t="str">
        <v/>
      </c>
      <c r="AF52" s="261" t="str">
        <v/>
      </c>
      <c r="AG52" s="261" t="str">
        <v/>
      </c>
      <c r="AH52" s="261" t="str">
        <v/>
      </c>
      <c r="AI52" s="261" t="str">
        <v/>
      </c>
      <c r="AJ52" s="261" t="str">
        <v/>
      </c>
      <c r="AK52" s="261" t="str">
        <v/>
      </c>
      <c r="AL52" s="261" t="str">
        <v/>
      </c>
      <c r="AM52" s="261" t="str">
        <v/>
      </c>
      <c r="AN52" s="261" t="str">
        <v/>
      </c>
      <c r="AO52" s="261" t="str">
        <v/>
      </c>
      <c r="AP52" s="261" t="str">
        <v/>
      </c>
      <c r="AQ52" s="261" t="str">
        <v/>
      </c>
      <c r="AR52" s="261" t="str">
        <v/>
      </c>
      <c r="AS52" s="261" t="str">
        <v/>
      </c>
      <c r="AT52" s="261" t="str">
        <v/>
      </c>
      <c r="AU52" s="261" t="str">
        <v/>
      </c>
      <c r="AV52" s="261" t="str">
        <v/>
      </c>
      <c r="AW52" s="261" t="str">
        <v/>
      </c>
      <c r="AX52" s="261" t="str">
        <v/>
      </c>
      <c r="AY52" s="261" t="str">
        <v/>
      </c>
      <c r="AZ52" s="261" t="str">
        <v/>
      </c>
      <c r="BA52" s="261" t="str">
        <v/>
      </c>
      <c r="BB52" s="261" t="str">
        <v/>
      </c>
      <c r="BC52" s="261" t="str">
        <v/>
      </c>
      <c r="BD52" s="261" t="str">
        <v/>
      </c>
      <c r="BE52" s="261" t="str">
        <v/>
      </c>
      <c r="BF52" s="261" t="str">
        <v/>
      </c>
      <c r="BG52" s="261" t="str">
        <v/>
      </c>
      <c r="BH52" s="261" t="str">
        <v/>
      </c>
      <c r="BI52" s="261" t="str">
        <v/>
      </c>
      <c r="BJ52" s="261" t="str">
        <v/>
      </c>
      <c r="BK52" s="261" t="str">
        <v/>
      </c>
      <c r="BL52" s="261" t="str">
        <v/>
      </c>
      <c r="BM52" s="261" t="str">
        <v/>
      </c>
      <c r="BN52" s="261" t="str">
        <v/>
      </c>
      <c r="BO52" s="261" t="str">
        <v/>
      </c>
      <c r="BP52" s="261" t="str">
        <v/>
      </c>
      <c r="BQ52" s="261" t="str">
        <v/>
      </c>
      <c r="BR52" s="261" t="str">
        <v/>
      </c>
      <c r="BS52" s="261" t="str">
        <v/>
      </c>
      <c r="BT52" s="261" t="str">
        <v/>
      </c>
      <c r="BU52" s="261" t="str">
        <v/>
      </c>
      <c r="BV52" s="261" t="str">
        <v/>
      </c>
      <c r="BW52" s="261" t="str">
        <v/>
      </c>
      <c r="BX52" s="261" t="str">
        <v/>
      </c>
      <c r="BY52" s="261" t="str">
        <v/>
      </c>
      <c r="BZ52" s="261" t="str">
        <v/>
      </c>
      <c r="CA52" s="261" t="str">
        <v/>
      </c>
      <c r="CB52" s="261" t="str">
        <v/>
      </c>
      <c r="CC52" s="261" t="str">
        <v/>
      </c>
      <c r="CD52" s="261" t="str">
        <v/>
      </c>
      <c r="CE52" s="261" t="str">
        <v/>
      </c>
      <c r="CF52" s="261" t="str">
        <v/>
      </c>
      <c r="CG52" s="261" t="str">
        <v/>
      </c>
      <c r="CH52" s="261" t="str">
        <v/>
      </c>
      <c r="CI52" s="261" t="str">
        <v/>
      </c>
      <c r="CJ52" s="261" t="str">
        <v/>
      </c>
      <c r="CK52" s="261" t="str">
        <v/>
      </c>
      <c r="CL52" s="261" t="str">
        <v/>
      </c>
      <c r="CM52" s="261" t="str">
        <v/>
      </c>
      <c r="CN52" s="261" t="str">
        <v/>
      </c>
      <c r="CO52" s="261" t="str">
        <v/>
      </c>
      <c r="CP52" s="261" t="str">
        <v/>
      </c>
      <c r="CQ52" s="261" t="str">
        <v/>
      </c>
      <c r="CR52" s="261" t="str">
        <v/>
      </c>
      <c r="CS52" s="261" t="str">
        <v/>
      </c>
      <c r="CT52" s="261" t="str">
        <v/>
      </c>
      <c r="CU52" s="261" t="str">
        <v/>
      </c>
      <c r="CV52" s="261" t="str">
        <v/>
      </c>
      <c r="CW52" s="261" t="str">
        <v/>
      </c>
      <c r="CX52" s="261" t="str">
        <v/>
      </c>
      <c r="CY52" s="261" t="str">
        <v/>
      </c>
      <c r="CZ52" s="261" t="str">
        <v/>
      </c>
      <c r="DA52" s="261" t="str">
        <v/>
      </c>
      <c r="DB52" s="261" t="str">
        <v/>
      </c>
      <c r="DC52" s="261" t="str">
        <v/>
      </c>
      <c r="DD52" s="261" t="str">
        <v/>
      </c>
      <c r="DE52" s="261" t="str">
        <v/>
      </c>
      <c r="DF52" s="261" t="str">
        <v/>
      </c>
      <c r="DG52" s="261" t="str">
        <v/>
      </c>
      <c r="DH52" s="261" t="str">
        <v/>
      </c>
      <c r="DI52" s="261" t="str">
        <v/>
      </c>
      <c r="DJ52" s="261" t="str">
        <v/>
      </c>
      <c r="DK52" s="261" t="str">
        <v/>
      </c>
      <c r="DL52" s="261" t="str">
        <v/>
      </c>
      <c r="DM52" s="261" t="str">
        <v/>
      </c>
      <c r="DN52" s="261" t="str">
        <v/>
      </c>
      <c r="DO52" s="261" t="str">
        <v/>
      </c>
      <c r="DP52" s="261" t="str">
        <v/>
      </c>
      <c r="DQ52" s="261" t="str">
        <v/>
      </c>
      <c r="DR52" s="261" t="str">
        <v/>
      </c>
      <c r="DS52" s="261" t="str">
        <v/>
      </c>
      <c r="DT52" s="261" t="str">
        <v/>
      </c>
      <c r="DU52" s="261" t="str">
        <v/>
      </c>
      <c r="DV52" s="261" t="str">
        <v/>
      </c>
      <c r="DW52" s="261" t="str">
        <v/>
      </c>
      <c r="DX52" s="261" t="str">
        <v/>
      </c>
      <c r="DY52" s="261" t="str">
        <v/>
      </c>
      <c r="DZ52" t="str">
        <v/>
      </c>
      <c r="EA52" t="str">
        <v/>
      </c>
    </row>
    <row r="53" spans="10:131" x14ac:dyDescent="0.25">
      <c r="J53" t="str">
        <v>Press CAPEX</v>
      </c>
      <c r="K53">
        <v>10000</v>
      </c>
      <c r="L53" s="261">
        <v>10000</v>
      </c>
      <c r="M53" s="261">
        <v>0</v>
      </c>
      <c r="N53" s="261">
        <v>0</v>
      </c>
      <c r="O53" s="261">
        <v>0</v>
      </c>
      <c r="P53" s="261">
        <v>0</v>
      </c>
      <c r="Q53" s="261">
        <v>0</v>
      </c>
      <c r="R53" s="261">
        <v>0</v>
      </c>
      <c r="S53" s="261">
        <v>0</v>
      </c>
      <c r="T53" s="261">
        <v>0</v>
      </c>
      <c r="U53" s="261">
        <v>0</v>
      </c>
      <c r="V53" s="261">
        <v>0</v>
      </c>
      <c r="W53" s="261">
        <v>0</v>
      </c>
      <c r="X53" s="261">
        <v>0</v>
      </c>
      <c r="Y53" s="261">
        <v>0</v>
      </c>
      <c r="Z53" s="261">
        <v>0</v>
      </c>
      <c r="AA53" s="261">
        <v>0</v>
      </c>
      <c r="AB53" s="261">
        <v>0</v>
      </c>
      <c r="AC53" s="261">
        <v>0</v>
      </c>
      <c r="AD53" s="261">
        <v>0</v>
      </c>
      <c r="AE53" s="261">
        <v>0</v>
      </c>
      <c r="AF53" s="261">
        <v>0</v>
      </c>
      <c r="AG53" s="261">
        <v>0</v>
      </c>
      <c r="AH53" s="261">
        <v>0</v>
      </c>
      <c r="AI53" s="261">
        <v>0</v>
      </c>
      <c r="AJ53" s="261">
        <v>0</v>
      </c>
      <c r="AK53" s="261">
        <v>0</v>
      </c>
      <c r="AL53" s="261">
        <v>0</v>
      </c>
      <c r="AM53" s="261">
        <v>0</v>
      </c>
      <c r="AN53" s="261">
        <v>0</v>
      </c>
      <c r="AO53" s="261">
        <v>0</v>
      </c>
      <c r="AP53" s="261">
        <v>0</v>
      </c>
      <c r="AQ53" s="261">
        <v>0</v>
      </c>
      <c r="AR53" s="261">
        <v>0</v>
      </c>
      <c r="AS53" s="261">
        <v>0</v>
      </c>
      <c r="AT53" s="261">
        <v>0</v>
      </c>
      <c r="AU53" s="261">
        <v>0</v>
      </c>
      <c r="AV53" s="261">
        <v>0</v>
      </c>
      <c r="AW53" s="261">
        <v>0</v>
      </c>
      <c r="AX53" s="261">
        <v>0</v>
      </c>
      <c r="AY53" s="261">
        <v>0</v>
      </c>
      <c r="AZ53" s="261">
        <v>0</v>
      </c>
      <c r="BA53" s="261">
        <v>0</v>
      </c>
      <c r="BB53" s="261">
        <v>0</v>
      </c>
      <c r="BC53" s="261">
        <v>0</v>
      </c>
      <c r="BD53" s="261">
        <v>0</v>
      </c>
      <c r="BE53" s="261">
        <v>0</v>
      </c>
      <c r="BF53" s="261">
        <v>0</v>
      </c>
      <c r="BG53" s="261">
        <v>0</v>
      </c>
      <c r="BH53" s="261">
        <v>0</v>
      </c>
      <c r="BI53" s="261">
        <v>0</v>
      </c>
      <c r="BJ53" s="261">
        <v>0</v>
      </c>
      <c r="BK53" s="261">
        <v>0</v>
      </c>
      <c r="BL53" s="261">
        <v>0</v>
      </c>
      <c r="BM53" s="261">
        <v>0</v>
      </c>
      <c r="BN53" s="261">
        <v>0</v>
      </c>
      <c r="BO53" s="261">
        <v>0</v>
      </c>
      <c r="BP53" s="261">
        <v>0</v>
      </c>
      <c r="BQ53" s="261">
        <v>0</v>
      </c>
      <c r="BR53" s="261">
        <v>0</v>
      </c>
      <c r="BS53" s="261">
        <v>0</v>
      </c>
      <c r="BT53" s="261">
        <v>0</v>
      </c>
      <c r="BU53" s="261">
        <v>0</v>
      </c>
      <c r="BV53" s="261">
        <v>0</v>
      </c>
      <c r="BW53" s="261">
        <v>0</v>
      </c>
      <c r="BX53" s="261">
        <v>0</v>
      </c>
      <c r="BY53" s="261">
        <v>0</v>
      </c>
      <c r="BZ53" s="261">
        <v>0</v>
      </c>
      <c r="CA53" s="261">
        <v>0</v>
      </c>
      <c r="CB53" s="261">
        <v>0</v>
      </c>
      <c r="CC53" s="261">
        <v>0</v>
      </c>
      <c r="CD53" s="261">
        <v>0</v>
      </c>
      <c r="CE53" s="261">
        <v>0</v>
      </c>
      <c r="CF53" s="261">
        <v>0</v>
      </c>
      <c r="CG53" s="261">
        <v>0</v>
      </c>
      <c r="CH53" s="261">
        <v>0</v>
      </c>
      <c r="CI53" s="261">
        <v>0</v>
      </c>
      <c r="CJ53" s="261">
        <v>0</v>
      </c>
      <c r="CK53" s="261">
        <v>0</v>
      </c>
      <c r="CL53" s="261">
        <v>0</v>
      </c>
      <c r="CM53" s="261">
        <v>0</v>
      </c>
      <c r="CN53" s="261">
        <v>0</v>
      </c>
      <c r="CO53" s="261">
        <v>0</v>
      </c>
      <c r="CP53" s="261">
        <v>0</v>
      </c>
      <c r="CQ53" s="261">
        <v>0</v>
      </c>
      <c r="CR53" s="261">
        <v>0</v>
      </c>
      <c r="CS53" s="261">
        <v>0</v>
      </c>
      <c r="CT53" s="261">
        <v>0</v>
      </c>
      <c r="CU53" s="261">
        <v>0</v>
      </c>
      <c r="CV53" s="261">
        <v>0</v>
      </c>
      <c r="CW53" s="261">
        <v>0</v>
      </c>
      <c r="CX53" s="261">
        <v>0</v>
      </c>
      <c r="CY53" s="261">
        <v>0</v>
      </c>
      <c r="CZ53" s="261">
        <v>0</v>
      </c>
      <c r="DA53" s="261">
        <v>0</v>
      </c>
      <c r="DB53" s="261">
        <v>0</v>
      </c>
      <c r="DC53" s="261">
        <v>0</v>
      </c>
      <c r="DD53" s="261">
        <v>0</v>
      </c>
      <c r="DE53" s="261">
        <v>0</v>
      </c>
      <c r="DF53" s="261">
        <v>0</v>
      </c>
      <c r="DG53" s="261">
        <v>0</v>
      </c>
      <c r="DH53" s="261">
        <v>0</v>
      </c>
      <c r="DI53" s="261">
        <v>0</v>
      </c>
      <c r="DJ53" s="261">
        <v>0</v>
      </c>
      <c r="DK53" s="261">
        <v>0</v>
      </c>
      <c r="DL53" s="261">
        <v>0</v>
      </c>
      <c r="DM53" s="261">
        <v>0</v>
      </c>
      <c r="DN53" s="261">
        <v>0</v>
      </c>
      <c r="DO53" s="261">
        <v>0</v>
      </c>
      <c r="DP53" s="261">
        <v>0</v>
      </c>
      <c r="DQ53" s="261">
        <v>0</v>
      </c>
      <c r="DR53" s="261">
        <v>0</v>
      </c>
      <c r="DS53" s="261">
        <v>0</v>
      </c>
      <c r="DT53" s="261">
        <v>0</v>
      </c>
      <c r="DU53" s="261">
        <v>0</v>
      </c>
      <c r="DV53" s="261">
        <v>0</v>
      </c>
      <c r="DW53" s="261">
        <v>0</v>
      </c>
      <c r="DX53" s="261">
        <v>0</v>
      </c>
      <c r="DY53" s="261">
        <v>0</v>
      </c>
      <c r="DZ53">
        <v>0</v>
      </c>
      <c r="EA53">
        <v>0</v>
      </c>
    </row>
    <row r="54" spans="10:131" x14ac:dyDescent="0.25">
      <c r="J54" t="str">
        <v>Press Opening Value</v>
      </c>
      <c r="K54">
        <v>0</v>
      </c>
      <c r="L54" s="261">
        <v>10000</v>
      </c>
      <c r="M54" s="261">
        <v>8499.9699999999993</v>
      </c>
      <c r="N54" s="261">
        <v>6800.03</v>
      </c>
      <c r="O54" s="261">
        <v>5439.9699999999993</v>
      </c>
      <c r="P54" s="261">
        <v>4352.03</v>
      </c>
      <c r="Q54" s="261">
        <v>3481.57</v>
      </c>
      <c r="R54" s="261">
        <v>2785.3099999999986</v>
      </c>
      <c r="S54" s="261">
        <v>2228.2299999999973</v>
      </c>
      <c r="T54" s="261">
        <v>1782.6019999999967</v>
      </c>
      <c r="U54" s="261">
        <v>1426.0815999999959</v>
      </c>
      <c r="V54" s="261">
        <v>710.55727999999499</v>
      </c>
      <c r="W54" s="261">
        <v>499.99999999999886</v>
      </c>
      <c r="X54" s="261">
        <v>0</v>
      </c>
      <c r="Y54" s="261">
        <v>0</v>
      </c>
      <c r="Z54" s="261">
        <v>0</v>
      </c>
      <c r="AA54" s="261">
        <v>0</v>
      </c>
      <c r="AB54" s="261">
        <v>0</v>
      </c>
      <c r="AC54" s="261">
        <v>0</v>
      </c>
      <c r="AD54" s="261">
        <v>0</v>
      </c>
      <c r="AE54" s="261">
        <v>0</v>
      </c>
      <c r="AF54" s="261">
        <v>0</v>
      </c>
      <c r="AG54" s="261">
        <v>0</v>
      </c>
      <c r="AH54" s="261">
        <v>0</v>
      </c>
      <c r="AI54" s="261">
        <v>0</v>
      </c>
      <c r="AJ54" s="261">
        <v>0</v>
      </c>
      <c r="AK54" s="261">
        <v>0</v>
      </c>
      <c r="AL54" s="261">
        <v>0</v>
      </c>
      <c r="AM54" s="261">
        <v>0</v>
      </c>
      <c r="AN54" s="261">
        <v>0</v>
      </c>
      <c r="AO54" s="261">
        <v>0</v>
      </c>
      <c r="AP54" s="261">
        <v>0</v>
      </c>
      <c r="AQ54" s="261">
        <v>0</v>
      </c>
      <c r="AR54" s="261">
        <v>0</v>
      </c>
      <c r="AS54" s="261">
        <v>0</v>
      </c>
      <c r="AT54" s="261">
        <v>0</v>
      </c>
      <c r="AU54" s="261">
        <v>0</v>
      </c>
      <c r="AV54" s="261">
        <v>0</v>
      </c>
      <c r="AW54" s="261">
        <v>0</v>
      </c>
      <c r="AX54" s="261">
        <v>0</v>
      </c>
      <c r="AY54" s="261">
        <v>0</v>
      </c>
      <c r="AZ54" s="261">
        <v>0</v>
      </c>
      <c r="BA54" s="261">
        <v>0</v>
      </c>
      <c r="BB54" s="261">
        <v>0</v>
      </c>
      <c r="BC54" s="261">
        <v>0</v>
      </c>
      <c r="BD54" s="261">
        <v>0</v>
      </c>
      <c r="BE54" s="261">
        <v>0</v>
      </c>
      <c r="BF54" s="261">
        <v>0</v>
      </c>
      <c r="BG54" s="261">
        <v>0</v>
      </c>
      <c r="BH54" s="261">
        <v>0</v>
      </c>
      <c r="BI54" s="261">
        <v>0</v>
      </c>
      <c r="BJ54" s="261">
        <v>0</v>
      </c>
      <c r="BK54" s="261">
        <v>0</v>
      </c>
      <c r="BL54" s="261">
        <v>0</v>
      </c>
      <c r="BM54" s="261">
        <v>0</v>
      </c>
      <c r="BN54" s="261">
        <v>0</v>
      </c>
      <c r="BO54" s="261">
        <v>0</v>
      </c>
      <c r="BP54" s="261">
        <v>0</v>
      </c>
      <c r="BQ54" s="261">
        <v>0</v>
      </c>
      <c r="BR54" s="261">
        <v>0</v>
      </c>
      <c r="BS54" s="261">
        <v>0</v>
      </c>
      <c r="BT54" s="261">
        <v>0</v>
      </c>
      <c r="BU54" s="261">
        <v>0</v>
      </c>
      <c r="BV54" s="261">
        <v>0</v>
      </c>
      <c r="BW54" s="261">
        <v>0</v>
      </c>
      <c r="BX54" s="261">
        <v>0</v>
      </c>
      <c r="BY54" s="261">
        <v>0</v>
      </c>
      <c r="BZ54" s="261">
        <v>0</v>
      </c>
      <c r="CA54" s="261">
        <v>0</v>
      </c>
      <c r="CB54" s="261">
        <v>0</v>
      </c>
      <c r="CC54" s="261">
        <v>0</v>
      </c>
      <c r="CD54" s="261">
        <v>0</v>
      </c>
      <c r="CE54" s="261">
        <v>0</v>
      </c>
      <c r="CF54" s="261">
        <v>0</v>
      </c>
      <c r="CG54" s="261">
        <v>0</v>
      </c>
      <c r="CH54" s="261">
        <v>0</v>
      </c>
      <c r="CI54" s="261">
        <v>0</v>
      </c>
      <c r="CJ54" s="261">
        <v>0</v>
      </c>
      <c r="CK54" s="261">
        <v>0</v>
      </c>
      <c r="CL54" s="261">
        <v>0</v>
      </c>
      <c r="CM54" s="261">
        <v>0</v>
      </c>
      <c r="CN54" s="261">
        <v>0</v>
      </c>
      <c r="CO54" s="261">
        <v>0</v>
      </c>
      <c r="CP54" s="261">
        <v>0</v>
      </c>
      <c r="CQ54" s="261">
        <v>0</v>
      </c>
      <c r="CR54" s="261">
        <v>0</v>
      </c>
      <c r="CS54" s="261">
        <v>0</v>
      </c>
      <c r="CT54" s="261">
        <v>0</v>
      </c>
      <c r="CU54" s="261">
        <v>0</v>
      </c>
      <c r="CV54" s="261">
        <v>0</v>
      </c>
      <c r="CW54" s="261">
        <v>0</v>
      </c>
      <c r="CX54" s="261">
        <v>0</v>
      </c>
      <c r="CY54" s="261">
        <v>0</v>
      </c>
      <c r="CZ54" s="261">
        <v>0</v>
      </c>
      <c r="DA54" s="261">
        <v>0</v>
      </c>
      <c r="DB54" s="261">
        <v>0</v>
      </c>
      <c r="DC54" s="261">
        <v>0</v>
      </c>
      <c r="DD54" s="261">
        <v>0</v>
      </c>
      <c r="DE54" s="261">
        <v>0</v>
      </c>
      <c r="DF54" s="261">
        <v>0</v>
      </c>
      <c r="DG54" s="261">
        <v>0</v>
      </c>
      <c r="DH54" s="261">
        <v>0</v>
      </c>
      <c r="DI54" s="261">
        <v>0</v>
      </c>
      <c r="DJ54" s="261">
        <v>0</v>
      </c>
      <c r="DK54" s="261">
        <v>0</v>
      </c>
      <c r="DL54" s="261">
        <v>0</v>
      </c>
      <c r="DM54" s="261">
        <v>0</v>
      </c>
      <c r="DN54" s="261">
        <v>0</v>
      </c>
      <c r="DO54" s="261">
        <v>0</v>
      </c>
      <c r="DP54" s="261">
        <v>0</v>
      </c>
      <c r="DQ54" s="261">
        <v>0</v>
      </c>
      <c r="DR54" s="261">
        <v>0</v>
      </c>
      <c r="DS54" s="261">
        <v>0</v>
      </c>
      <c r="DT54" s="261">
        <v>0</v>
      </c>
      <c r="DU54" s="261">
        <v>0</v>
      </c>
      <c r="DV54" s="261">
        <v>0</v>
      </c>
      <c r="DW54" s="261">
        <v>0</v>
      </c>
      <c r="DX54" s="261">
        <v>0</v>
      </c>
      <c r="DY54" s="261">
        <v>0</v>
      </c>
      <c r="DZ54">
        <v>0</v>
      </c>
      <c r="EA54">
        <v>0</v>
      </c>
    </row>
    <row r="55" spans="10:131" x14ac:dyDescent="0.25">
      <c r="J55" t="str">
        <v>Press Depreciation</v>
      </c>
      <c r="K55">
        <v>9999.9999999999982</v>
      </c>
      <c r="L55" s="261">
        <v>1500.03</v>
      </c>
      <c r="M55" s="261">
        <v>1699.9399999999996</v>
      </c>
      <c r="N55" s="261">
        <v>1360.0600000000002</v>
      </c>
      <c r="O55" s="261">
        <v>1087.9400000000005</v>
      </c>
      <c r="P55" s="261">
        <v>870.45999999999992</v>
      </c>
      <c r="Q55" s="261">
        <v>696.26000000000056</v>
      </c>
      <c r="R55" s="261">
        <v>557.08000000000038</v>
      </c>
      <c r="S55" s="261">
        <v>445.62800000000027</v>
      </c>
      <c r="T55" s="261">
        <v>356.52040000000034</v>
      </c>
      <c r="U55" s="261">
        <v>715.52432000000044</v>
      </c>
      <c r="V55" s="261">
        <v>210.55727999999601</v>
      </c>
      <c r="W55" s="261">
        <v>500</v>
      </c>
      <c r="X55" s="261">
        <v>0</v>
      </c>
      <c r="Y55" s="261">
        <v>0</v>
      </c>
      <c r="Z55" s="261">
        <v>0</v>
      </c>
      <c r="AA55" s="261">
        <v>0</v>
      </c>
      <c r="AB55" s="261">
        <v>0</v>
      </c>
      <c r="AC55" s="261">
        <v>0</v>
      </c>
      <c r="AD55" s="261">
        <v>0</v>
      </c>
      <c r="AE55" s="261">
        <v>0</v>
      </c>
      <c r="AF55" s="261">
        <v>0</v>
      </c>
      <c r="AG55" s="261">
        <v>0</v>
      </c>
      <c r="AH55" s="261">
        <v>0</v>
      </c>
      <c r="AI55" s="261">
        <v>0</v>
      </c>
      <c r="AJ55" s="261">
        <v>0</v>
      </c>
      <c r="AK55" s="261">
        <v>0</v>
      </c>
      <c r="AL55" s="261">
        <v>0</v>
      </c>
      <c r="AM55" s="261">
        <v>0</v>
      </c>
      <c r="AN55" s="261">
        <v>0</v>
      </c>
      <c r="AO55" s="261">
        <v>0</v>
      </c>
      <c r="AP55" s="261">
        <v>0</v>
      </c>
      <c r="AQ55" s="261">
        <v>0</v>
      </c>
      <c r="AR55" s="261">
        <v>0</v>
      </c>
      <c r="AS55" s="261">
        <v>0</v>
      </c>
      <c r="AT55" s="261">
        <v>0</v>
      </c>
      <c r="AU55" s="261">
        <v>0</v>
      </c>
      <c r="AV55" s="261">
        <v>0</v>
      </c>
      <c r="AW55" s="261">
        <v>0</v>
      </c>
      <c r="AX55" s="261">
        <v>0</v>
      </c>
      <c r="AY55" s="261">
        <v>0</v>
      </c>
      <c r="AZ55" s="261">
        <v>0</v>
      </c>
      <c r="BA55" s="261">
        <v>0</v>
      </c>
      <c r="BB55" s="261">
        <v>0</v>
      </c>
      <c r="BC55" s="261">
        <v>0</v>
      </c>
      <c r="BD55" s="261">
        <v>0</v>
      </c>
      <c r="BE55" s="261">
        <v>0</v>
      </c>
      <c r="BF55" s="261">
        <v>0</v>
      </c>
      <c r="BG55" s="261">
        <v>0</v>
      </c>
      <c r="BH55" s="261">
        <v>0</v>
      </c>
      <c r="BI55" s="261">
        <v>0</v>
      </c>
      <c r="BJ55" s="261">
        <v>0</v>
      </c>
      <c r="BK55" s="261">
        <v>0</v>
      </c>
      <c r="BL55" s="261">
        <v>0</v>
      </c>
      <c r="BM55" s="261">
        <v>0</v>
      </c>
      <c r="BN55" s="261">
        <v>0</v>
      </c>
      <c r="BO55" s="261">
        <v>0</v>
      </c>
      <c r="BP55" s="261">
        <v>0</v>
      </c>
      <c r="BQ55" s="261">
        <v>0</v>
      </c>
      <c r="BR55" s="261">
        <v>0</v>
      </c>
      <c r="BS55" s="261">
        <v>0</v>
      </c>
      <c r="BT55" s="261">
        <v>0</v>
      </c>
      <c r="BU55" s="261">
        <v>0</v>
      </c>
      <c r="BV55" s="261">
        <v>0</v>
      </c>
      <c r="BW55" s="261">
        <v>0</v>
      </c>
      <c r="BX55" s="261">
        <v>0</v>
      </c>
      <c r="BY55" s="261">
        <v>0</v>
      </c>
      <c r="BZ55" s="261">
        <v>0</v>
      </c>
      <c r="CA55" s="261">
        <v>0</v>
      </c>
      <c r="CB55" s="261">
        <v>0</v>
      </c>
      <c r="CC55" s="261">
        <v>0</v>
      </c>
      <c r="CD55" s="261">
        <v>0</v>
      </c>
      <c r="CE55" s="261">
        <v>0</v>
      </c>
      <c r="CF55" s="261">
        <v>0</v>
      </c>
      <c r="CG55" s="261">
        <v>0</v>
      </c>
      <c r="CH55" s="261">
        <v>0</v>
      </c>
      <c r="CI55" s="261">
        <v>0</v>
      </c>
      <c r="CJ55" s="261">
        <v>0</v>
      </c>
      <c r="CK55" s="261">
        <v>0</v>
      </c>
      <c r="CL55" s="261">
        <v>0</v>
      </c>
      <c r="CM55" s="261">
        <v>0</v>
      </c>
      <c r="CN55" s="261">
        <v>0</v>
      </c>
      <c r="CO55" s="261">
        <v>0</v>
      </c>
      <c r="CP55" s="261">
        <v>0</v>
      </c>
      <c r="CQ55" s="261">
        <v>0</v>
      </c>
      <c r="CR55" s="261">
        <v>0</v>
      </c>
      <c r="CS55" s="261">
        <v>0</v>
      </c>
      <c r="CT55" s="261">
        <v>0</v>
      </c>
      <c r="CU55" s="261">
        <v>0</v>
      </c>
      <c r="CV55" s="261">
        <v>0</v>
      </c>
      <c r="CW55" s="261">
        <v>0</v>
      </c>
      <c r="CX55" s="261">
        <v>0</v>
      </c>
      <c r="CY55" s="261">
        <v>0</v>
      </c>
      <c r="CZ55" s="261">
        <v>0</v>
      </c>
      <c r="DA55" s="261">
        <v>0</v>
      </c>
      <c r="DB55" s="261">
        <v>0</v>
      </c>
      <c r="DC55" s="261">
        <v>0</v>
      </c>
      <c r="DD55" s="261">
        <v>0</v>
      </c>
      <c r="DE55" s="261">
        <v>0</v>
      </c>
      <c r="DF55" s="261">
        <v>0</v>
      </c>
      <c r="DG55" s="261">
        <v>0</v>
      </c>
      <c r="DH55" s="261">
        <v>0</v>
      </c>
      <c r="DI55" s="261">
        <v>0</v>
      </c>
      <c r="DJ55" s="261">
        <v>0</v>
      </c>
      <c r="DK55" s="261">
        <v>0</v>
      </c>
      <c r="DL55" s="261">
        <v>0</v>
      </c>
      <c r="DM55" s="261">
        <v>0</v>
      </c>
      <c r="DN55" s="261">
        <v>0</v>
      </c>
      <c r="DO55" s="261">
        <v>0</v>
      </c>
      <c r="DP55" s="261">
        <v>0</v>
      </c>
      <c r="DQ55" s="261">
        <v>0</v>
      </c>
      <c r="DR55" s="261">
        <v>0</v>
      </c>
      <c r="DS55" s="261">
        <v>0</v>
      </c>
      <c r="DT55" s="261">
        <v>0</v>
      </c>
      <c r="DU55" s="261">
        <v>0</v>
      </c>
      <c r="DV55" s="261">
        <v>0</v>
      </c>
      <c r="DW55" s="261">
        <v>0</v>
      </c>
      <c r="DX55" s="261">
        <v>0</v>
      </c>
      <c r="DY55" s="261">
        <v>0</v>
      </c>
      <c r="DZ55">
        <v>0</v>
      </c>
      <c r="EA55">
        <v>0</v>
      </c>
    </row>
    <row r="56" spans="10:131" x14ac:dyDescent="0.25">
      <c r="J56" t="str">
        <v>Press Book Value</v>
      </c>
      <c r="K56">
        <v>0</v>
      </c>
      <c r="L56" s="261">
        <v>8499.9699999999993</v>
      </c>
      <c r="M56" s="261">
        <v>6800.03</v>
      </c>
      <c r="N56" s="261">
        <v>5439.9699999999993</v>
      </c>
      <c r="O56" s="261">
        <v>4352.0299999999988</v>
      </c>
      <c r="P56" s="261">
        <v>3481.5699999999997</v>
      </c>
      <c r="Q56" s="261">
        <v>2785.3099999999995</v>
      </c>
      <c r="R56" s="261">
        <v>2228.2299999999982</v>
      </c>
      <c r="S56" s="261">
        <v>1782.6019999999971</v>
      </c>
      <c r="T56" s="261">
        <v>1426.0815999999963</v>
      </c>
      <c r="U56" s="261">
        <v>710.55727999999544</v>
      </c>
      <c r="V56" s="261">
        <v>499.99999999999898</v>
      </c>
      <c r="W56" s="261">
        <v>-1.1368683772161603E-12</v>
      </c>
      <c r="X56" s="261">
        <v>0</v>
      </c>
      <c r="Y56" s="261">
        <v>0</v>
      </c>
      <c r="Z56" s="261">
        <v>0</v>
      </c>
      <c r="AA56" s="261">
        <v>0</v>
      </c>
      <c r="AB56" s="261">
        <v>0</v>
      </c>
      <c r="AC56" s="261">
        <v>0</v>
      </c>
      <c r="AD56" s="261">
        <v>0</v>
      </c>
      <c r="AE56" s="261">
        <v>0</v>
      </c>
      <c r="AF56" s="261">
        <v>0</v>
      </c>
      <c r="AG56" s="261">
        <v>0</v>
      </c>
      <c r="AH56" s="261">
        <v>0</v>
      </c>
      <c r="AI56" s="261">
        <v>0</v>
      </c>
      <c r="AJ56" s="261">
        <v>0</v>
      </c>
      <c r="AK56" s="261">
        <v>0</v>
      </c>
      <c r="AL56" s="261">
        <v>0</v>
      </c>
      <c r="AM56" s="261">
        <v>0</v>
      </c>
      <c r="AN56" s="261">
        <v>0</v>
      </c>
      <c r="AO56" s="261">
        <v>0</v>
      </c>
      <c r="AP56" s="261">
        <v>0</v>
      </c>
      <c r="AQ56" s="261">
        <v>0</v>
      </c>
      <c r="AR56" s="261">
        <v>0</v>
      </c>
      <c r="AS56" s="261">
        <v>0</v>
      </c>
      <c r="AT56" s="261">
        <v>0</v>
      </c>
      <c r="AU56" s="261">
        <v>0</v>
      </c>
      <c r="AV56" s="261">
        <v>0</v>
      </c>
      <c r="AW56" s="261">
        <v>0</v>
      </c>
      <c r="AX56" s="261">
        <v>0</v>
      </c>
      <c r="AY56" s="261">
        <v>0</v>
      </c>
      <c r="AZ56" s="261">
        <v>0</v>
      </c>
      <c r="BA56" s="261">
        <v>0</v>
      </c>
      <c r="BB56" s="261">
        <v>0</v>
      </c>
      <c r="BC56" s="261">
        <v>0</v>
      </c>
      <c r="BD56" s="261">
        <v>0</v>
      </c>
      <c r="BE56" s="261">
        <v>0</v>
      </c>
      <c r="BF56" s="261">
        <v>0</v>
      </c>
      <c r="BG56" s="261">
        <v>0</v>
      </c>
      <c r="BH56" s="261">
        <v>0</v>
      </c>
      <c r="BI56" s="261">
        <v>0</v>
      </c>
      <c r="BJ56" s="261">
        <v>0</v>
      </c>
      <c r="BK56" s="261">
        <v>0</v>
      </c>
      <c r="BL56" s="261">
        <v>0</v>
      </c>
      <c r="BM56" s="261">
        <v>0</v>
      </c>
      <c r="BN56" s="261">
        <v>0</v>
      </c>
      <c r="BO56" s="261">
        <v>0</v>
      </c>
      <c r="BP56" s="261">
        <v>0</v>
      </c>
      <c r="BQ56" s="261">
        <v>0</v>
      </c>
      <c r="BR56" s="261">
        <v>0</v>
      </c>
      <c r="BS56" s="261">
        <v>0</v>
      </c>
      <c r="BT56" s="261">
        <v>0</v>
      </c>
      <c r="BU56" s="261">
        <v>0</v>
      </c>
      <c r="BV56" s="261">
        <v>0</v>
      </c>
      <c r="BW56" s="261">
        <v>0</v>
      </c>
      <c r="BX56" s="261">
        <v>0</v>
      </c>
      <c r="BY56" s="261">
        <v>0</v>
      </c>
      <c r="BZ56" s="261">
        <v>0</v>
      </c>
      <c r="CA56" s="261">
        <v>0</v>
      </c>
      <c r="CB56" s="261">
        <v>0</v>
      </c>
      <c r="CC56" s="261">
        <v>0</v>
      </c>
      <c r="CD56" s="261">
        <v>0</v>
      </c>
      <c r="CE56" s="261">
        <v>0</v>
      </c>
      <c r="CF56" s="261">
        <v>0</v>
      </c>
      <c r="CG56" s="261">
        <v>0</v>
      </c>
      <c r="CH56" s="261">
        <v>0</v>
      </c>
      <c r="CI56" s="261">
        <v>0</v>
      </c>
      <c r="CJ56" s="261">
        <v>0</v>
      </c>
      <c r="CK56" s="261">
        <v>0</v>
      </c>
      <c r="CL56" s="261">
        <v>0</v>
      </c>
      <c r="CM56" s="261">
        <v>0</v>
      </c>
      <c r="CN56" s="261">
        <v>0</v>
      </c>
      <c r="CO56" s="261">
        <v>0</v>
      </c>
      <c r="CP56" s="261">
        <v>0</v>
      </c>
      <c r="CQ56" s="261">
        <v>0</v>
      </c>
      <c r="CR56" s="261">
        <v>0</v>
      </c>
      <c r="CS56" s="261">
        <v>0</v>
      </c>
      <c r="CT56" s="261">
        <v>0</v>
      </c>
      <c r="CU56" s="261">
        <v>0</v>
      </c>
      <c r="CV56" s="261">
        <v>0</v>
      </c>
      <c r="CW56" s="261">
        <v>0</v>
      </c>
      <c r="CX56" s="261">
        <v>0</v>
      </c>
      <c r="CY56" s="261">
        <v>0</v>
      </c>
      <c r="CZ56" s="261">
        <v>0</v>
      </c>
      <c r="DA56" s="261">
        <v>0</v>
      </c>
      <c r="DB56" s="261">
        <v>0</v>
      </c>
      <c r="DC56" s="261">
        <v>0</v>
      </c>
      <c r="DD56" s="261">
        <v>0</v>
      </c>
      <c r="DE56" s="261">
        <v>0</v>
      </c>
      <c r="DF56" s="261">
        <v>0</v>
      </c>
      <c r="DG56" s="261">
        <v>0</v>
      </c>
      <c r="DH56" s="261">
        <v>0</v>
      </c>
      <c r="DI56" s="261">
        <v>0</v>
      </c>
      <c r="DJ56" s="261">
        <v>0</v>
      </c>
      <c r="DK56" s="261">
        <v>0</v>
      </c>
      <c r="DL56" s="261">
        <v>0</v>
      </c>
      <c r="DM56" s="261">
        <v>0</v>
      </c>
      <c r="DN56" s="261">
        <v>0</v>
      </c>
      <c r="DO56" s="261">
        <v>0</v>
      </c>
      <c r="DP56" s="261">
        <v>0</v>
      </c>
      <c r="DQ56" s="261">
        <v>0</v>
      </c>
      <c r="DR56" s="261">
        <v>0</v>
      </c>
      <c r="DS56" s="261">
        <v>0</v>
      </c>
      <c r="DT56" s="261">
        <v>0</v>
      </c>
      <c r="DU56" s="261">
        <v>0</v>
      </c>
      <c r="DV56" s="261">
        <v>0</v>
      </c>
      <c r="DW56" s="261">
        <v>0</v>
      </c>
      <c r="DX56" s="261">
        <v>0</v>
      </c>
      <c r="DY56" s="261">
        <v>0</v>
      </c>
      <c r="DZ56">
        <v>0</v>
      </c>
      <c r="EA56">
        <v>0</v>
      </c>
    </row>
    <row r="57" spans="10:131" x14ac:dyDescent="0.25">
      <c r="J57" t="str">
        <v>Press Revenue from Sale</v>
      </c>
      <c r="K57">
        <v>500</v>
      </c>
      <c r="L57" s="261">
        <v>0</v>
      </c>
      <c r="M57" s="261">
        <v>0</v>
      </c>
      <c r="N57" s="261">
        <v>0</v>
      </c>
      <c r="O57" s="261">
        <v>0</v>
      </c>
      <c r="P57" s="261">
        <v>0</v>
      </c>
      <c r="Q57" s="261">
        <v>0</v>
      </c>
      <c r="R57" s="261">
        <v>0</v>
      </c>
      <c r="S57" s="261">
        <v>0</v>
      </c>
      <c r="T57" s="261">
        <v>0</v>
      </c>
      <c r="U57" s="261">
        <v>0</v>
      </c>
      <c r="V57" s="261">
        <v>0</v>
      </c>
      <c r="W57" s="261">
        <v>500</v>
      </c>
      <c r="X57" s="261">
        <v>0</v>
      </c>
      <c r="Y57" s="261">
        <v>0</v>
      </c>
      <c r="Z57" s="261">
        <v>0</v>
      </c>
      <c r="AA57" s="261">
        <v>0</v>
      </c>
      <c r="AB57" s="261">
        <v>0</v>
      </c>
      <c r="AC57" s="261">
        <v>0</v>
      </c>
      <c r="AD57" s="261">
        <v>0</v>
      </c>
      <c r="AE57" s="261">
        <v>0</v>
      </c>
      <c r="AF57" s="261">
        <v>0</v>
      </c>
      <c r="AG57" s="261">
        <v>0</v>
      </c>
      <c r="AH57" s="261">
        <v>0</v>
      </c>
      <c r="AI57" s="261">
        <v>0</v>
      </c>
      <c r="AJ57" s="261">
        <v>0</v>
      </c>
      <c r="AK57" s="261">
        <v>0</v>
      </c>
      <c r="AL57" s="261">
        <v>0</v>
      </c>
      <c r="AM57" s="261">
        <v>0</v>
      </c>
      <c r="AN57" s="261">
        <v>0</v>
      </c>
      <c r="AO57" s="261">
        <v>0</v>
      </c>
      <c r="AP57" s="261">
        <v>0</v>
      </c>
      <c r="AQ57" s="261">
        <v>0</v>
      </c>
      <c r="AR57" s="261">
        <v>0</v>
      </c>
      <c r="AS57" s="261">
        <v>0</v>
      </c>
      <c r="AT57" s="261">
        <v>0</v>
      </c>
      <c r="AU57" s="261">
        <v>0</v>
      </c>
      <c r="AV57" s="261">
        <v>0</v>
      </c>
      <c r="AW57" s="261">
        <v>0</v>
      </c>
      <c r="AX57" s="261">
        <v>0</v>
      </c>
      <c r="AY57" s="261">
        <v>0</v>
      </c>
      <c r="AZ57" s="261">
        <v>0</v>
      </c>
      <c r="BA57" s="261">
        <v>0</v>
      </c>
      <c r="BB57" s="261">
        <v>0</v>
      </c>
      <c r="BC57" s="261">
        <v>0</v>
      </c>
      <c r="BD57" s="261">
        <v>0</v>
      </c>
      <c r="BE57" s="261">
        <v>0</v>
      </c>
      <c r="BF57" s="261">
        <v>0</v>
      </c>
      <c r="BG57" s="261">
        <v>0</v>
      </c>
      <c r="BH57" s="261">
        <v>0</v>
      </c>
      <c r="BI57" s="261">
        <v>0</v>
      </c>
      <c r="BJ57" s="261">
        <v>0</v>
      </c>
      <c r="BK57" s="261">
        <v>0</v>
      </c>
      <c r="BL57" s="261">
        <v>0</v>
      </c>
      <c r="BM57" s="261">
        <v>0</v>
      </c>
      <c r="BN57" s="261">
        <v>0</v>
      </c>
      <c r="BO57" s="261">
        <v>0</v>
      </c>
      <c r="BP57" s="261">
        <v>0</v>
      </c>
      <c r="BQ57" s="261">
        <v>0</v>
      </c>
      <c r="BR57" s="261">
        <v>0</v>
      </c>
      <c r="BS57" s="261">
        <v>0</v>
      </c>
      <c r="BT57" s="261">
        <v>0</v>
      </c>
      <c r="BU57" s="261">
        <v>0</v>
      </c>
      <c r="BV57" s="261">
        <v>0</v>
      </c>
      <c r="BW57" s="261">
        <v>0</v>
      </c>
      <c r="BX57" s="261">
        <v>0</v>
      </c>
      <c r="BY57" s="261">
        <v>0</v>
      </c>
      <c r="BZ57" s="261">
        <v>0</v>
      </c>
      <c r="CA57" s="261">
        <v>0</v>
      </c>
      <c r="CB57" s="261">
        <v>0</v>
      </c>
      <c r="CC57" s="261">
        <v>0</v>
      </c>
      <c r="CD57" s="261">
        <v>0</v>
      </c>
      <c r="CE57" s="261">
        <v>0</v>
      </c>
      <c r="CF57" s="261">
        <v>0</v>
      </c>
      <c r="CG57" s="261">
        <v>0</v>
      </c>
      <c r="CH57" s="261">
        <v>0</v>
      </c>
      <c r="CI57" s="261">
        <v>0</v>
      </c>
      <c r="CJ57" s="261">
        <v>0</v>
      </c>
      <c r="CK57" s="261">
        <v>0</v>
      </c>
      <c r="CL57" s="261">
        <v>0</v>
      </c>
      <c r="CM57" s="261">
        <v>0</v>
      </c>
      <c r="CN57" s="261">
        <v>0</v>
      </c>
      <c r="CO57" s="261">
        <v>0</v>
      </c>
      <c r="CP57" s="261">
        <v>0</v>
      </c>
      <c r="CQ57" s="261">
        <v>0</v>
      </c>
      <c r="CR57" s="261">
        <v>0</v>
      </c>
      <c r="CS57" s="261">
        <v>0</v>
      </c>
      <c r="CT57" s="261">
        <v>0</v>
      </c>
      <c r="CU57" s="261">
        <v>0</v>
      </c>
      <c r="CV57" s="261">
        <v>0</v>
      </c>
      <c r="CW57" s="261">
        <v>0</v>
      </c>
      <c r="CX57" s="261">
        <v>0</v>
      </c>
      <c r="CY57" s="261">
        <v>0</v>
      </c>
      <c r="CZ57" s="261">
        <v>0</v>
      </c>
      <c r="DA57" s="261">
        <v>0</v>
      </c>
      <c r="DB57" s="261">
        <v>0</v>
      </c>
      <c r="DC57" s="261">
        <v>0</v>
      </c>
      <c r="DD57" s="261">
        <v>0</v>
      </c>
      <c r="DE57" s="261">
        <v>0</v>
      </c>
      <c r="DF57" s="261">
        <v>0</v>
      </c>
      <c r="DG57" s="261">
        <v>0</v>
      </c>
      <c r="DH57" s="261">
        <v>0</v>
      </c>
      <c r="DI57" s="261">
        <v>0</v>
      </c>
      <c r="DJ57" s="261">
        <v>0</v>
      </c>
      <c r="DK57" s="261">
        <v>0</v>
      </c>
      <c r="DL57" s="261">
        <v>0</v>
      </c>
      <c r="DM57" s="261">
        <v>0</v>
      </c>
      <c r="DN57" s="261">
        <v>0</v>
      </c>
      <c r="DO57" s="261">
        <v>0</v>
      </c>
      <c r="DP57" s="261">
        <v>0</v>
      </c>
      <c r="DQ57" s="261">
        <v>0</v>
      </c>
      <c r="DR57" s="261">
        <v>0</v>
      </c>
      <c r="DS57" s="261">
        <v>0</v>
      </c>
      <c r="DT57" s="261">
        <v>0</v>
      </c>
      <c r="DU57" s="261">
        <v>0</v>
      </c>
      <c r="DV57" s="261">
        <v>0</v>
      </c>
      <c r="DW57" s="261">
        <v>0</v>
      </c>
      <c r="DX57" s="261">
        <v>0</v>
      </c>
      <c r="DY57" s="261">
        <v>0</v>
      </c>
      <c r="DZ57">
        <v>0</v>
      </c>
      <c r="EA57">
        <v>0</v>
      </c>
    </row>
    <row r="58" spans="10:131" x14ac:dyDescent="0.25">
      <c r="J58" t="str">
        <v>Press Disposal Costs</v>
      </c>
      <c r="K58">
        <v>100</v>
      </c>
      <c r="L58" s="261">
        <v>0</v>
      </c>
      <c r="M58" s="261">
        <v>0</v>
      </c>
      <c r="N58" s="261">
        <v>0</v>
      </c>
      <c r="O58" s="261">
        <v>0</v>
      </c>
      <c r="P58" s="261">
        <v>0</v>
      </c>
      <c r="Q58" s="261">
        <v>0</v>
      </c>
      <c r="R58" s="261">
        <v>0</v>
      </c>
      <c r="S58" s="261">
        <v>0</v>
      </c>
      <c r="T58" s="261">
        <v>0</v>
      </c>
      <c r="U58" s="261">
        <v>0</v>
      </c>
      <c r="V58" s="261">
        <v>0</v>
      </c>
      <c r="W58" s="261">
        <v>100</v>
      </c>
      <c r="X58" s="261">
        <v>0</v>
      </c>
      <c r="Y58" s="261">
        <v>0</v>
      </c>
      <c r="Z58" s="261">
        <v>0</v>
      </c>
      <c r="AA58" s="261">
        <v>0</v>
      </c>
      <c r="AB58" s="261">
        <v>0</v>
      </c>
      <c r="AC58" s="261">
        <v>0</v>
      </c>
      <c r="AD58" s="261">
        <v>0</v>
      </c>
      <c r="AE58" s="261">
        <v>0</v>
      </c>
      <c r="AF58" s="261">
        <v>0</v>
      </c>
      <c r="AG58" s="261">
        <v>0</v>
      </c>
      <c r="AH58" s="261">
        <v>0</v>
      </c>
      <c r="AI58" s="261">
        <v>0</v>
      </c>
      <c r="AJ58" s="261">
        <v>0</v>
      </c>
      <c r="AK58" s="261">
        <v>0</v>
      </c>
      <c r="AL58" s="261">
        <v>0</v>
      </c>
      <c r="AM58" s="261">
        <v>0</v>
      </c>
      <c r="AN58" s="261">
        <v>0</v>
      </c>
      <c r="AO58" s="261">
        <v>0</v>
      </c>
      <c r="AP58" s="261">
        <v>0</v>
      </c>
      <c r="AQ58" s="261">
        <v>0</v>
      </c>
      <c r="AR58" s="261">
        <v>0</v>
      </c>
      <c r="AS58" s="261">
        <v>0</v>
      </c>
      <c r="AT58" s="261">
        <v>0</v>
      </c>
      <c r="AU58" s="261">
        <v>0</v>
      </c>
      <c r="AV58" s="261">
        <v>0</v>
      </c>
      <c r="AW58" s="261">
        <v>0</v>
      </c>
      <c r="AX58" s="261">
        <v>0</v>
      </c>
      <c r="AY58" s="261">
        <v>0</v>
      </c>
      <c r="AZ58" s="261">
        <v>0</v>
      </c>
      <c r="BA58" s="261">
        <v>0</v>
      </c>
      <c r="BB58" s="261">
        <v>0</v>
      </c>
      <c r="BC58" s="261">
        <v>0</v>
      </c>
      <c r="BD58" s="261">
        <v>0</v>
      </c>
      <c r="BE58" s="261">
        <v>0</v>
      </c>
      <c r="BF58" s="261">
        <v>0</v>
      </c>
      <c r="BG58" s="261">
        <v>0</v>
      </c>
      <c r="BH58" s="261">
        <v>0</v>
      </c>
      <c r="BI58" s="261">
        <v>0</v>
      </c>
      <c r="BJ58" s="261">
        <v>0</v>
      </c>
      <c r="BK58" s="261">
        <v>0</v>
      </c>
      <c r="BL58" s="261">
        <v>0</v>
      </c>
      <c r="BM58" s="261">
        <v>0</v>
      </c>
      <c r="BN58" s="261">
        <v>0</v>
      </c>
      <c r="BO58" s="261">
        <v>0</v>
      </c>
      <c r="BP58" s="261">
        <v>0</v>
      </c>
      <c r="BQ58" s="261">
        <v>0</v>
      </c>
      <c r="BR58" s="261">
        <v>0</v>
      </c>
      <c r="BS58" s="261">
        <v>0</v>
      </c>
      <c r="BT58" s="261">
        <v>0</v>
      </c>
      <c r="BU58" s="261">
        <v>0</v>
      </c>
      <c r="BV58" s="261">
        <v>0</v>
      </c>
      <c r="BW58" s="261">
        <v>0</v>
      </c>
      <c r="BX58" s="261">
        <v>0</v>
      </c>
      <c r="BY58" s="261">
        <v>0</v>
      </c>
      <c r="BZ58" s="261">
        <v>0</v>
      </c>
      <c r="CA58" s="261">
        <v>0</v>
      </c>
      <c r="CB58" s="261">
        <v>0</v>
      </c>
      <c r="CC58" s="261">
        <v>0</v>
      </c>
      <c r="CD58" s="261">
        <v>0</v>
      </c>
      <c r="CE58" s="261">
        <v>0</v>
      </c>
      <c r="CF58" s="261">
        <v>0</v>
      </c>
      <c r="CG58" s="261">
        <v>0</v>
      </c>
      <c r="CH58" s="261">
        <v>0</v>
      </c>
      <c r="CI58" s="261">
        <v>0</v>
      </c>
      <c r="CJ58" s="261">
        <v>0</v>
      </c>
      <c r="CK58" s="261">
        <v>0</v>
      </c>
      <c r="CL58" s="261">
        <v>0</v>
      </c>
      <c r="CM58" s="261">
        <v>0</v>
      </c>
      <c r="CN58" s="261">
        <v>0</v>
      </c>
      <c r="CO58" s="261">
        <v>0</v>
      </c>
      <c r="CP58" s="261">
        <v>0</v>
      </c>
      <c r="CQ58" s="261">
        <v>0</v>
      </c>
      <c r="CR58" s="261">
        <v>0</v>
      </c>
      <c r="CS58" s="261">
        <v>0</v>
      </c>
      <c r="CT58" s="261">
        <v>0</v>
      </c>
      <c r="CU58" s="261">
        <v>0</v>
      </c>
      <c r="CV58" s="261">
        <v>0</v>
      </c>
      <c r="CW58" s="261">
        <v>0</v>
      </c>
      <c r="CX58" s="261">
        <v>0</v>
      </c>
      <c r="CY58" s="261">
        <v>0</v>
      </c>
      <c r="CZ58" s="261">
        <v>0</v>
      </c>
      <c r="DA58" s="261">
        <v>0</v>
      </c>
      <c r="DB58" s="261">
        <v>0</v>
      </c>
      <c r="DC58" s="261">
        <v>0</v>
      </c>
      <c r="DD58" s="261">
        <v>0</v>
      </c>
      <c r="DE58" s="261">
        <v>0</v>
      </c>
      <c r="DF58" s="261">
        <v>0</v>
      </c>
      <c r="DG58" s="261">
        <v>0</v>
      </c>
      <c r="DH58" s="261">
        <v>0</v>
      </c>
      <c r="DI58" s="261">
        <v>0</v>
      </c>
      <c r="DJ58" s="261">
        <v>0</v>
      </c>
      <c r="DK58" s="261">
        <v>0</v>
      </c>
      <c r="DL58" s="261">
        <v>0</v>
      </c>
      <c r="DM58" s="261">
        <v>0</v>
      </c>
      <c r="DN58" s="261">
        <v>0</v>
      </c>
      <c r="DO58" s="261">
        <v>0</v>
      </c>
      <c r="DP58" s="261">
        <v>0</v>
      </c>
      <c r="DQ58" s="261">
        <v>0</v>
      </c>
      <c r="DR58" s="261">
        <v>0</v>
      </c>
      <c r="DS58" s="261">
        <v>0</v>
      </c>
      <c r="DT58" s="261">
        <v>0</v>
      </c>
      <c r="DU58" s="261">
        <v>0</v>
      </c>
      <c r="DV58" s="261">
        <v>0</v>
      </c>
      <c r="DW58" s="261">
        <v>0</v>
      </c>
      <c r="DX58" s="261">
        <v>0</v>
      </c>
      <c r="DY58" s="261">
        <v>0</v>
      </c>
      <c r="DZ58">
        <v>0</v>
      </c>
      <c r="EA58">
        <v>0</v>
      </c>
    </row>
    <row r="59" spans="10:131" x14ac:dyDescent="0.25">
      <c r="J59" t="str">
        <v/>
      </c>
      <c r="K59">
        <v>0</v>
      </c>
      <c r="L59" s="261" t="str">
        <v/>
      </c>
      <c r="M59" s="261" t="str">
        <v/>
      </c>
      <c r="N59" s="261" t="str">
        <v/>
      </c>
      <c r="O59" s="261" t="str">
        <v/>
      </c>
      <c r="P59" s="261" t="str">
        <v/>
      </c>
      <c r="Q59" s="261" t="str">
        <v/>
      </c>
      <c r="R59" s="261" t="str">
        <v/>
      </c>
      <c r="S59" s="261" t="str">
        <v/>
      </c>
      <c r="T59" s="261" t="str">
        <v/>
      </c>
      <c r="U59" s="261" t="str">
        <v/>
      </c>
      <c r="V59" s="261" t="str">
        <v/>
      </c>
      <c r="W59" s="261" t="str">
        <v/>
      </c>
      <c r="X59" s="261" t="str">
        <v/>
      </c>
      <c r="Y59" s="261" t="str">
        <v/>
      </c>
      <c r="Z59" s="261" t="str">
        <v/>
      </c>
      <c r="AA59" s="261" t="str">
        <v/>
      </c>
      <c r="AB59" s="261" t="str">
        <v/>
      </c>
      <c r="AC59" s="261" t="str">
        <v/>
      </c>
      <c r="AD59" s="261" t="str">
        <v/>
      </c>
      <c r="AE59" s="261" t="str">
        <v/>
      </c>
      <c r="AF59" s="261" t="str">
        <v/>
      </c>
      <c r="AG59" s="261" t="str">
        <v/>
      </c>
      <c r="AH59" s="261" t="str">
        <v/>
      </c>
      <c r="AI59" s="261" t="str">
        <v/>
      </c>
      <c r="AJ59" s="261" t="str">
        <v/>
      </c>
      <c r="AK59" s="261" t="str">
        <v/>
      </c>
      <c r="AL59" s="261" t="str">
        <v/>
      </c>
      <c r="AM59" s="261" t="str">
        <v/>
      </c>
      <c r="AN59" s="261" t="str">
        <v/>
      </c>
      <c r="AO59" s="261" t="str">
        <v/>
      </c>
      <c r="AP59" s="261" t="str">
        <v/>
      </c>
      <c r="AQ59" s="261" t="str">
        <v/>
      </c>
      <c r="AR59" s="261" t="str">
        <v/>
      </c>
      <c r="AS59" s="261" t="str">
        <v/>
      </c>
      <c r="AT59" s="261" t="str">
        <v/>
      </c>
      <c r="AU59" s="261" t="str">
        <v/>
      </c>
      <c r="AV59" s="261" t="str">
        <v/>
      </c>
      <c r="AW59" s="261" t="str">
        <v/>
      </c>
      <c r="AX59" s="261" t="str">
        <v/>
      </c>
      <c r="AY59" s="261" t="str">
        <v/>
      </c>
      <c r="AZ59" s="261" t="str">
        <v/>
      </c>
      <c r="BA59" s="261" t="str">
        <v/>
      </c>
      <c r="BB59" s="261" t="str">
        <v/>
      </c>
      <c r="BC59" s="261" t="str">
        <v/>
      </c>
      <c r="BD59" s="261" t="str">
        <v/>
      </c>
      <c r="BE59" s="261" t="str">
        <v/>
      </c>
      <c r="BF59" s="261" t="str">
        <v/>
      </c>
      <c r="BG59" s="261" t="str">
        <v/>
      </c>
      <c r="BH59" s="261" t="str">
        <v/>
      </c>
      <c r="BI59" s="261" t="str">
        <v/>
      </c>
      <c r="BJ59" s="261" t="str">
        <v/>
      </c>
      <c r="BK59" s="261" t="str">
        <v/>
      </c>
      <c r="BL59" s="261" t="str">
        <v/>
      </c>
      <c r="BM59" s="261" t="str">
        <v/>
      </c>
      <c r="BN59" s="261" t="str">
        <v/>
      </c>
      <c r="BO59" s="261" t="str">
        <v/>
      </c>
      <c r="BP59" s="261" t="str">
        <v/>
      </c>
      <c r="BQ59" s="261" t="str">
        <v/>
      </c>
      <c r="BR59" s="261" t="str">
        <v/>
      </c>
      <c r="BS59" s="261" t="str">
        <v/>
      </c>
      <c r="BT59" s="261" t="str">
        <v/>
      </c>
      <c r="BU59" s="261" t="str">
        <v/>
      </c>
      <c r="BV59" s="261" t="str">
        <v/>
      </c>
      <c r="BW59" s="261" t="str">
        <v/>
      </c>
      <c r="BX59" s="261" t="str">
        <v/>
      </c>
      <c r="BY59" s="261" t="str">
        <v/>
      </c>
      <c r="BZ59" s="261" t="str">
        <v/>
      </c>
      <c r="CA59" s="261" t="str">
        <v/>
      </c>
      <c r="CB59" s="261" t="str">
        <v/>
      </c>
      <c r="CC59" s="261" t="str">
        <v/>
      </c>
      <c r="CD59" s="261" t="str">
        <v/>
      </c>
      <c r="CE59" s="261" t="str">
        <v/>
      </c>
      <c r="CF59" s="261" t="str">
        <v/>
      </c>
      <c r="CG59" s="261" t="str">
        <v/>
      </c>
      <c r="CH59" s="261" t="str">
        <v/>
      </c>
      <c r="CI59" s="261" t="str">
        <v/>
      </c>
      <c r="CJ59" s="261" t="str">
        <v/>
      </c>
      <c r="CK59" s="261" t="str">
        <v/>
      </c>
      <c r="CL59" s="261" t="str">
        <v/>
      </c>
      <c r="CM59" s="261" t="str">
        <v/>
      </c>
      <c r="CN59" s="261" t="str">
        <v/>
      </c>
      <c r="CO59" s="261" t="str">
        <v/>
      </c>
      <c r="CP59" s="261" t="str">
        <v/>
      </c>
      <c r="CQ59" s="261" t="str">
        <v/>
      </c>
      <c r="CR59" s="261" t="str">
        <v/>
      </c>
      <c r="CS59" s="261" t="str">
        <v/>
      </c>
      <c r="CT59" s="261" t="str">
        <v/>
      </c>
      <c r="CU59" s="261" t="str">
        <v/>
      </c>
      <c r="CV59" s="261" t="str">
        <v/>
      </c>
      <c r="CW59" s="261" t="str">
        <v/>
      </c>
      <c r="CX59" s="261" t="str">
        <v/>
      </c>
      <c r="CY59" s="261" t="str">
        <v/>
      </c>
      <c r="CZ59" s="261" t="str">
        <v/>
      </c>
      <c r="DA59" s="261" t="str">
        <v/>
      </c>
      <c r="DB59" s="261" t="str">
        <v/>
      </c>
      <c r="DC59" s="261" t="str">
        <v/>
      </c>
      <c r="DD59" s="261" t="str">
        <v/>
      </c>
      <c r="DE59" s="261" t="str">
        <v/>
      </c>
      <c r="DF59" s="261" t="str">
        <v/>
      </c>
      <c r="DG59" s="261" t="str">
        <v/>
      </c>
      <c r="DH59" s="261" t="str">
        <v/>
      </c>
      <c r="DI59" s="261" t="str">
        <v/>
      </c>
      <c r="DJ59" s="261" t="str">
        <v/>
      </c>
      <c r="DK59" s="261" t="str">
        <v/>
      </c>
      <c r="DL59" s="261" t="str">
        <v/>
      </c>
      <c r="DM59" s="261" t="str">
        <v/>
      </c>
      <c r="DN59" s="261" t="str">
        <v/>
      </c>
      <c r="DO59" s="261" t="str">
        <v/>
      </c>
      <c r="DP59" s="261" t="str">
        <v/>
      </c>
      <c r="DQ59" s="261" t="str">
        <v/>
      </c>
      <c r="DR59" s="261" t="str">
        <v/>
      </c>
      <c r="DS59" s="261" t="str">
        <v/>
      </c>
      <c r="DT59" s="261" t="str">
        <v/>
      </c>
      <c r="DU59" s="261" t="str">
        <v/>
      </c>
      <c r="DV59" s="261" t="str">
        <v/>
      </c>
      <c r="DW59" s="261" t="str">
        <v/>
      </c>
      <c r="DX59" s="261" t="str">
        <v/>
      </c>
      <c r="DY59" s="261" t="str">
        <v/>
      </c>
      <c r="DZ59" t="str">
        <v/>
      </c>
      <c r="EA59" t="str">
        <v/>
      </c>
    </row>
    <row r="60" spans="10:131" x14ac:dyDescent="0.25">
      <c r="J60" t="str">
        <v>CNC CAPEX</v>
      </c>
      <c r="K60">
        <v>50000</v>
      </c>
      <c r="L60" s="261">
        <v>50000</v>
      </c>
      <c r="M60" s="261">
        <v>0</v>
      </c>
      <c r="N60" s="261">
        <v>0</v>
      </c>
      <c r="O60" s="261">
        <v>0</v>
      </c>
      <c r="P60" s="261">
        <v>0</v>
      </c>
      <c r="Q60" s="261">
        <v>0</v>
      </c>
      <c r="R60" s="261">
        <v>0</v>
      </c>
      <c r="S60" s="261">
        <v>0</v>
      </c>
      <c r="T60" s="261">
        <v>0</v>
      </c>
      <c r="U60" s="261">
        <v>0</v>
      </c>
      <c r="V60" s="261">
        <v>0</v>
      </c>
      <c r="W60" s="261">
        <v>0</v>
      </c>
      <c r="X60" s="261">
        <v>0</v>
      </c>
      <c r="Y60" s="261">
        <v>0</v>
      </c>
      <c r="Z60" s="261">
        <v>0</v>
      </c>
      <c r="AA60" s="261">
        <v>0</v>
      </c>
      <c r="AB60" s="261">
        <v>0</v>
      </c>
      <c r="AC60" s="261">
        <v>0</v>
      </c>
      <c r="AD60" s="261">
        <v>0</v>
      </c>
      <c r="AE60" s="261">
        <v>0</v>
      </c>
      <c r="AF60" s="261">
        <v>0</v>
      </c>
      <c r="AG60" s="261">
        <v>0</v>
      </c>
      <c r="AH60" s="261">
        <v>0</v>
      </c>
      <c r="AI60" s="261">
        <v>0</v>
      </c>
      <c r="AJ60" s="261">
        <v>0</v>
      </c>
      <c r="AK60" s="261">
        <v>0</v>
      </c>
      <c r="AL60" s="261">
        <v>0</v>
      </c>
      <c r="AM60" s="261">
        <v>0</v>
      </c>
      <c r="AN60" s="261">
        <v>0</v>
      </c>
      <c r="AO60" s="261">
        <v>0</v>
      </c>
      <c r="AP60" s="261">
        <v>0</v>
      </c>
      <c r="AQ60" s="261">
        <v>0</v>
      </c>
      <c r="AR60" s="261">
        <v>0</v>
      </c>
      <c r="AS60" s="261">
        <v>0</v>
      </c>
      <c r="AT60" s="261">
        <v>0</v>
      </c>
      <c r="AU60" s="261">
        <v>0</v>
      </c>
      <c r="AV60" s="261">
        <v>0</v>
      </c>
      <c r="AW60" s="261">
        <v>0</v>
      </c>
      <c r="AX60" s="261">
        <v>0</v>
      </c>
      <c r="AY60" s="261">
        <v>0</v>
      </c>
      <c r="AZ60" s="261">
        <v>0</v>
      </c>
      <c r="BA60" s="261">
        <v>0</v>
      </c>
      <c r="BB60" s="261">
        <v>0</v>
      </c>
      <c r="BC60" s="261">
        <v>0</v>
      </c>
      <c r="BD60" s="261">
        <v>0</v>
      </c>
      <c r="BE60" s="261">
        <v>0</v>
      </c>
      <c r="BF60" s="261">
        <v>0</v>
      </c>
      <c r="BG60" s="261">
        <v>0</v>
      </c>
      <c r="BH60" s="261">
        <v>0</v>
      </c>
      <c r="BI60" s="261">
        <v>0</v>
      </c>
      <c r="BJ60" s="261">
        <v>0</v>
      </c>
      <c r="BK60" s="261">
        <v>0</v>
      </c>
      <c r="BL60" s="261">
        <v>0</v>
      </c>
      <c r="BM60" s="261">
        <v>0</v>
      </c>
      <c r="BN60" s="261">
        <v>0</v>
      </c>
      <c r="BO60" s="261">
        <v>0</v>
      </c>
      <c r="BP60" s="261">
        <v>0</v>
      </c>
      <c r="BQ60" s="261">
        <v>0</v>
      </c>
      <c r="BR60" s="261">
        <v>0</v>
      </c>
      <c r="BS60" s="261">
        <v>0</v>
      </c>
      <c r="BT60" s="261">
        <v>0</v>
      </c>
      <c r="BU60" s="261">
        <v>0</v>
      </c>
      <c r="BV60" s="261">
        <v>0</v>
      </c>
      <c r="BW60" s="261">
        <v>0</v>
      </c>
      <c r="BX60" s="261">
        <v>0</v>
      </c>
      <c r="BY60" s="261">
        <v>0</v>
      </c>
      <c r="BZ60" s="261">
        <v>0</v>
      </c>
      <c r="CA60" s="261">
        <v>0</v>
      </c>
      <c r="CB60" s="261">
        <v>0</v>
      </c>
      <c r="CC60" s="261">
        <v>0</v>
      </c>
      <c r="CD60" s="261">
        <v>0</v>
      </c>
      <c r="CE60" s="261">
        <v>0</v>
      </c>
      <c r="CF60" s="261">
        <v>0</v>
      </c>
      <c r="CG60" s="261">
        <v>0</v>
      </c>
      <c r="CH60" s="261">
        <v>0</v>
      </c>
      <c r="CI60" s="261">
        <v>0</v>
      </c>
      <c r="CJ60" s="261">
        <v>0</v>
      </c>
      <c r="CK60" s="261">
        <v>0</v>
      </c>
      <c r="CL60" s="261">
        <v>0</v>
      </c>
      <c r="CM60" s="261">
        <v>0</v>
      </c>
      <c r="CN60" s="261">
        <v>0</v>
      </c>
      <c r="CO60" s="261">
        <v>0</v>
      </c>
      <c r="CP60" s="261">
        <v>0</v>
      </c>
      <c r="CQ60" s="261">
        <v>0</v>
      </c>
      <c r="CR60" s="261">
        <v>0</v>
      </c>
      <c r="CS60" s="261">
        <v>0</v>
      </c>
      <c r="CT60" s="261">
        <v>0</v>
      </c>
      <c r="CU60" s="261">
        <v>0</v>
      </c>
      <c r="CV60" s="261">
        <v>0</v>
      </c>
      <c r="CW60" s="261">
        <v>0</v>
      </c>
      <c r="CX60" s="261">
        <v>0</v>
      </c>
      <c r="CY60" s="261">
        <v>0</v>
      </c>
      <c r="CZ60" s="261">
        <v>0</v>
      </c>
      <c r="DA60" s="261">
        <v>0</v>
      </c>
      <c r="DB60" s="261">
        <v>0</v>
      </c>
      <c r="DC60" s="261">
        <v>0</v>
      </c>
      <c r="DD60" s="261">
        <v>0</v>
      </c>
      <c r="DE60" s="261">
        <v>0</v>
      </c>
      <c r="DF60" s="261">
        <v>0</v>
      </c>
      <c r="DG60" s="261">
        <v>0</v>
      </c>
      <c r="DH60" s="261">
        <v>0</v>
      </c>
      <c r="DI60" s="261">
        <v>0</v>
      </c>
      <c r="DJ60" s="261">
        <v>0</v>
      </c>
      <c r="DK60" s="261">
        <v>0</v>
      </c>
      <c r="DL60" s="261">
        <v>0</v>
      </c>
      <c r="DM60" s="261">
        <v>0</v>
      </c>
      <c r="DN60" s="261">
        <v>0</v>
      </c>
      <c r="DO60" s="261">
        <v>0</v>
      </c>
      <c r="DP60" s="261">
        <v>0</v>
      </c>
      <c r="DQ60" s="261">
        <v>0</v>
      </c>
      <c r="DR60" s="261">
        <v>0</v>
      </c>
      <c r="DS60" s="261">
        <v>0</v>
      </c>
      <c r="DT60" s="261">
        <v>0</v>
      </c>
      <c r="DU60" s="261">
        <v>0</v>
      </c>
      <c r="DV60" s="261">
        <v>0</v>
      </c>
      <c r="DW60" s="261">
        <v>0</v>
      </c>
      <c r="DX60" s="261">
        <v>0</v>
      </c>
      <c r="DY60" s="261">
        <v>0</v>
      </c>
      <c r="DZ60">
        <v>0</v>
      </c>
      <c r="EA60">
        <v>0</v>
      </c>
    </row>
    <row r="61" spans="10:131" x14ac:dyDescent="0.25">
      <c r="J61" t="str">
        <v>CNC Opening Value</v>
      </c>
      <c r="K61">
        <v>0</v>
      </c>
      <c r="L61" s="261">
        <v>50000</v>
      </c>
      <c r="M61" s="261">
        <v>48125</v>
      </c>
      <c r="N61" s="261">
        <v>44514.999999999978</v>
      </c>
      <c r="O61" s="261">
        <v>41174.999999999956</v>
      </c>
      <c r="P61" s="261">
        <v>38084.999999999956</v>
      </c>
      <c r="Q61" s="261">
        <v>35229.999999999978</v>
      </c>
      <c r="R61" s="261">
        <v>32584.999999999996</v>
      </c>
      <c r="S61" s="261">
        <v>30139.999999999996</v>
      </c>
      <c r="T61" s="261">
        <v>27879.999999999978</v>
      </c>
      <c r="U61" s="261">
        <v>25649.99999999996</v>
      </c>
      <c r="V61" s="261">
        <v>23419.999999999942</v>
      </c>
      <c r="W61" s="261">
        <v>21189.999999999924</v>
      </c>
      <c r="X61" s="261">
        <v>18959.999999999905</v>
      </c>
      <c r="Y61" s="261">
        <v>16729.999999999887</v>
      </c>
      <c r="Z61" s="261">
        <v>14499.999999999885</v>
      </c>
      <c r="AA61" s="261">
        <v>12269.999999999885</v>
      </c>
      <c r="AB61" s="261">
        <v>10039.999999999885</v>
      </c>
      <c r="AC61" s="261">
        <v>7809.9999999998854</v>
      </c>
      <c r="AD61" s="261">
        <v>6694.9999999998845</v>
      </c>
      <c r="AE61" s="261">
        <v>6694.9999999998845</v>
      </c>
      <c r="AF61" s="261">
        <v>6694.9999999998845</v>
      </c>
      <c r="AG61" s="261">
        <v>6694.9999999998845</v>
      </c>
      <c r="AH61" s="261">
        <v>0</v>
      </c>
      <c r="AI61" s="261">
        <v>0</v>
      </c>
      <c r="AJ61" s="261">
        <v>0</v>
      </c>
      <c r="AK61" s="261">
        <v>0</v>
      </c>
      <c r="AL61" s="261">
        <v>0</v>
      </c>
      <c r="AM61" s="261">
        <v>0</v>
      </c>
      <c r="AN61" s="261">
        <v>0</v>
      </c>
      <c r="AO61" s="261">
        <v>0</v>
      </c>
      <c r="AP61" s="261">
        <v>0</v>
      </c>
      <c r="AQ61" s="261">
        <v>0</v>
      </c>
      <c r="AR61" s="261">
        <v>0</v>
      </c>
      <c r="AS61" s="261">
        <v>0</v>
      </c>
      <c r="AT61" s="261">
        <v>0</v>
      </c>
      <c r="AU61" s="261">
        <v>0</v>
      </c>
      <c r="AV61" s="261">
        <v>0</v>
      </c>
      <c r="AW61" s="261">
        <v>0</v>
      </c>
      <c r="AX61" s="261">
        <v>0</v>
      </c>
      <c r="AY61" s="261">
        <v>0</v>
      </c>
      <c r="AZ61" s="261">
        <v>0</v>
      </c>
      <c r="BA61" s="261">
        <v>0</v>
      </c>
      <c r="BB61" s="261">
        <v>0</v>
      </c>
      <c r="BC61" s="261">
        <v>0</v>
      </c>
      <c r="BD61" s="261">
        <v>0</v>
      </c>
      <c r="BE61" s="261">
        <v>0</v>
      </c>
      <c r="BF61" s="261">
        <v>0</v>
      </c>
      <c r="BG61" s="261">
        <v>0</v>
      </c>
      <c r="BH61" s="261">
        <v>0</v>
      </c>
      <c r="BI61" s="261">
        <v>0</v>
      </c>
      <c r="BJ61" s="261">
        <v>0</v>
      </c>
      <c r="BK61" s="261">
        <v>0</v>
      </c>
      <c r="BL61" s="261">
        <v>0</v>
      </c>
      <c r="BM61" s="261">
        <v>0</v>
      </c>
      <c r="BN61" s="261">
        <v>0</v>
      </c>
      <c r="BO61" s="261">
        <v>0</v>
      </c>
      <c r="BP61" s="261">
        <v>0</v>
      </c>
      <c r="BQ61" s="261">
        <v>0</v>
      </c>
      <c r="BR61" s="261">
        <v>0</v>
      </c>
      <c r="BS61" s="261">
        <v>0</v>
      </c>
      <c r="BT61" s="261">
        <v>0</v>
      </c>
      <c r="BU61" s="261">
        <v>0</v>
      </c>
      <c r="BV61" s="261">
        <v>0</v>
      </c>
      <c r="BW61" s="261">
        <v>0</v>
      </c>
      <c r="BX61" s="261">
        <v>0</v>
      </c>
      <c r="BY61" s="261">
        <v>0</v>
      </c>
      <c r="BZ61" s="261">
        <v>0</v>
      </c>
      <c r="CA61" s="261">
        <v>0</v>
      </c>
      <c r="CB61" s="261">
        <v>0</v>
      </c>
      <c r="CC61" s="261">
        <v>0</v>
      </c>
      <c r="CD61" s="261">
        <v>0</v>
      </c>
      <c r="CE61" s="261">
        <v>0</v>
      </c>
      <c r="CF61" s="261">
        <v>0</v>
      </c>
      <c r="CG61" s="261">
        <v>0</v>
      </c>
      <c r="CH61" s="261">
        <v>0</v>
      </c>
      <c r="CI61" s="261">
        <v>0</v>
      </c>
      <c r="CJ61" s="261">
        <v>0</v>
      </c>
      <c r="CK61" s="261">
        <v>0</v>
      </c>
      <c r="CL61" s="261">
        <v>0</v>
      </c>
      <c r="CM61" s="261">
        <v>0</v>
      </c>
      <c r="CN61" s="261">
        <v>0</v>
      </c>
      <c r="CO61" s="261">
        <v>0</v>
      </c>
      <c r="CP61" s="261">
        <v>0</v>
      </c>
      <c r="CQ61" s="261">
        <v>0</v>
      </c>
      <c r="CR61" s="261">
        <v>0</v>
      </c>
      <c r="CS61" s="261">
        <v>0</v>
      </c>
      <c r="CT61" s="261">
        <v>0</v>
      </c>
      <c r="CU61" s="261">
        <v>0</v>
      </c>
      <c r="CV61" s="261">
        <v>0</v>
      </c>
      <c r="CW61" s="261">
        <v>0</v>
      </c>
      <c r="CX61" s="261">
        <v>0</v>
      </c>
      <c r="CY61" s="261">
        <v>0</v>
      </c>
      <c r="CZ61" s="261">
        <v>0</v>
      </c>
      <c r="DA61" s="261">
        <v>0</v>
      </c>
      <c r="DB61" s="261">
        <v>0</v>
      </c>
      <c r="DC61" s="261">
        <v>0</v>
      </c>
      <c r="DD61" s="261">
        <v>0</v>
      </c>
      <c r="DE61" s="261">
        <v>0</v>
      </c>
      <c r="DF61" s="261">
        <v>0</v>
      </c>
      <c r="DG61" s="261">
        <v>0</v>
      </c>
      <c r="DH61" s="261">
        <v>0</v>
      </c>
      <c r="DI61" s="261">
        <v>0</v>
      </c>
      <c r="DJ61" s="261">
        <v>0</v>
      </c>
      <c r="DK61" s="261">
        <v>0</v>
      </c>
      <c r="DL61" s="261">
        <v>0</v>
      </c>
      <c r="DM61" s="261">
        <v>0</v>
      </c>
      <c r="DN61" s="261">
        <v>0</v>
      </c>
      <c r="DO61" s="261">
        <v>0</v>
      </c>
      <c r="DP61" s="261">
        <v>0</v>
      </c>
      <c r="DQ61" s="261">
        <v>0</v>
      </c>
      <c r="DR61" s="261">
        <v>0</v>
      </c>
      <c r="DS61" s="261">
        <v>0</v>
      </c>
      <c r="DT61" s="261">
        <v>0</v>
      </c>
      <c r="DU61" s="261">
        <v>0</v>
      </c>
      <c r="DV61" s="261">
        <v>0</v>
      </c>
      <c r="DW61" s="261">
        <v>0</v>
      </c>
      <c r="DX61" s="261">
        <v>0</v>
      </c>
      <c r="DY61" s="261">
        <v>0</v>
      </c>
      <c r="DZ61">
        <v>0</v>
      </c>
      <c r="EA61">
        <v>0</v>
      </c>
    </row>
    <row r="62" spans="10:131" x14ac:dyDescent="0.25">
      <c r="J62" t="str">
        <v>CNC Depreciation</v>
      </c>
      <c r="K62">
        <v>43305</v>
      </c>
      <c r="L62" s="261">
        <v>1875</v>
      </c>
      <c r="M62" s="261">
        <v>3610</v>
      </c>
      <c r="N62" s="261">
        <v>3340</v>
      </c>
      <c r="O62" s="261">
        <v>3089.9999999999995</v>
      </c>
      <c r="P62" s="261">
        <v>2855</v>
      </c>
      <c r="Q62" s="261">
        <v>2645</v>
      </c>
      <c r="R62" s="261">
        <v>2445</v>
      </c>
      <c r="S62" s="261">
        <v>2260</v>
      </c>
      <c r="T62" s="261">
        <v>2230</v>
      </c>
      <c r="U62" s="261">
        <v>2230</v>
      </c>
      <c r="V62" s="261">
        <v>2230</v>
      </c>
      <c r="W62" s="261">
        <v>2230</v>
      </c>
      <c r="X62" s="261">
        <v>2230</v>
      </c>
      <c r="Y62" s="261">
        <v>2230</v>
      </c>
      <c r="Z62" s="261">
        <v>2230</v>
      </c>
      <c r="AA62" s="261">
        <v>2230</v>
      </c>
      <c r="AB62" s="261">
        <v>2230</v>
      </c>
      <c r="AC62" s="261">
        <v>1115</v>
      </c>
      <c r="AD62" s="261">
        <v>0</v>
      </c>
      <c r="AE62" s="261">
        <v>0</v>
      </c>
      <c r="AF62" s="261">
        <v>0</v>
      </c>
      <c r="AG62" s="261">
        <v>0</v>
      </c>
      <c r="AH62" s="261">
        <v>0</v>
      </c>
      <c r="AI62" s="261">
        <v>0</v>
      </c>
      <c r="AJ62" s="261">
        <v>0</v>
      </c>
      <c r="AK62" s="261">
        <v>0</v>
      </c>
      <c r="AL62" s="261">
        <v>0</v>
      </c>
      <c r="AM62" s="261">
        <v>0</v>
      </c>
      <c r="AN62" s="261">
        <v>0</v>
      </c>
      <c r="AO62" s="261">
        <v>0</v>
      </c>
      <c r="AP62" s="261">
        <v>0</v>
      </c>
      <c r="AQ62" s="261">
        <v>0</v>
      </c>
      <c r="AR62" s="261">
        <v>0</v>
      </c>
      <c r="AS62" s="261">
        <v>0</v>
      </c>
      <c r="AT62" s="261">
        <v>0</v>
      </c>
      <c r="AU62" s="261">
        <v>0</v>
      </c>
      <c r="AV62" s="261">
        <v>0</v>
      </c>
      <c r="AW62" s="261">
        <v>0</v>
      </c>
      <c r="AX62" s="261">
        <v>0</v>
      </c>
      <c r="AY62" s="261">
        <v>0</v>
      </c>
      <c r="AZ62" s="261">
        <v>0</v>
      </c>
      <c r="BA62" s="261">
        <v>0</v>
      </c>
      <c r="BB62" s="261">
        <v>0</v>
      </c>
      <c r="BC62" s="261">
        <v>0</v>
      </c>
      <c r="BD62" s="261">
        <v>0</v>
      </c>
      <c r="BE62" s="261">
        <v>0</v>
      </c>
      <c r="BF62" s="261">
        <v>0</v>
      </c>
      <c r="BG62" s="261">
        <v>0</v>
      </c>
      <c r="BH62" s="261">
        <v>0</v>
      </c>
      <c r="BI62" s="261">
        <v>0</v>
      </c>
      <c r="BJ62" s="261">
        <v>0</v>
      </c>
      <c r="BK62" s="261">
        <v>0</v>
      </c>
      <c r="BL62" s="261">
        <v>0</v>
      </c>
      <c r="BM62" s="261">
        <v>0</v>
      </c>
      <c r="BN62" s="261">
        <v>0</v>
      </c>
      <c r="BO62" s="261">
        <v>0</v>
      </c>
      <c r="BP62" s="261">
        <v>0</v>
      </c>
      <c r="BQ62" s="261">
        <v>0</v>
      </c>
      <c r="BR62" s="261">
        <v>0</v>
      </c>
      <c r="BS62" s="261">
        <v>0</v>
      </c>
      <c r="BT62" s="261">
        <v>0</v>
      </c>
      <c r="BU62" s="261">
        <v>0</v>
      </c>
      <c r="BV62" s="261">
        <v>0</v>
      </c>
      <c r="BW62" s="261">
        <v>0</v>
      </c>
      <c r="BX62" s="261">
        <v>0</v>
      </c>
      <c r="BY62" s="261">
        <v>0</v>
      </c>
      <c r="BZ62" s="261">
        <v>0</v>
      </c>
      <c r="CA62" s="261">
        <v>0</v>
      </c>
      <c r="CB62" s="261">
        <v>0</v>
      </c>
      <c r="CC62" s="261">
        <v>0</v>
      </c>
      <c r="CD62" s="261">
        <v>0</v>
      </c>
      <c r="CE62" s="261">
        <v>0</v>
      </c>
      <c r="CF62" s="261">
        <v>0</v>
      </c>
      <c r="CG62" s="261">
        <v>0</v>
      </c>
      <c r="CH62" s="261">
        <v>0</v>
      </c>
      <c r="CI62" s="261">
        <v>0</v>
      </c>
      <c r="CJ62" s="261">
        <v>0</v>
      </c>
      <c r="CK62" s="261">
        <v>0</v>
      </c>
      <c r="CL62" s="261">
        <v>0</v>
      </c>
      <c r="CM62" s="261">
        <v>0</v>
      </c>
      <c r="CN62" s="261">
        <v>0</v>
      </c>
      <c r="CO62" s="261">
        <v>0</v>
      </c>
      <c r="CP62" s="261">
        <v>0</v>
      </c>
      <c r="CQ62" s="261">
        <v>0</v>
      </c>
      <c r="CR62" s="261">
        <v>0</v>
      </c>
      <c r="CS62" s="261">
        <v>0</v>
      </c>
      <c r="CT62" s="261">
        <v>0</v>
      </c>
      <c r="CU62" s="261">
        <v>0</v>
      </c>
      <c r="CV62" s="261">
        <v>0</v>
      </c>
      <c r="CW62" s="261">
        <v>0</v>
      </c>
      <c r="CX62" s="261">
        <v>0</v>
      </c>
      <c r="CY62" s="261">
        <v>0</v>
      </c>
      <c r="CZ62" s="261">
        <v>0</v>
      </c>
      <c r="DA62" s="261">
        <v>0</v>
      </c>
      <c r="DB62" s="261">
        <v>0</v>
      </c>
      <c r="DC62" s="261">
        <v>0</v>
      </c>
      <c r="DD62" s="261">
        <v>0</v>
      </c>
      <c r="DE62" s="261">
        <v>0</v>
      </c>
      <c r="DF62" s="261">
        <v>0</v>
      </c>
      <c r="DG62" s="261">
        <v>0</v>
      </c>
      <c r="DH62" s="261">
        <v>0</v>
      </c>
      <c r="DI62" s="261">
        <v>0</v>
      </c>
      <c r="DJ62" s="261">
        <v>0</v>
      </c>
      <c r="DK62" s="261">
        <v>0</v>
      </c>
      <c r="DL62" s="261">
        <v>0</v>
      </c>
      <c r="DM62" s="261">
        <v>0</v>
      </c>
      <c r="DN62" s="261">
        <v>0</v>
      </c>
      <c r="DO62" s="261">
        <v>0</v>
      </c>
      <c r="DP62" s="261">
        <v>0</v>
      </c>
      <c r="DQ62" s="261">
        <v>0</v>
      </c>
      <c r="DR62" s="261">
        <v>0</v>
      </c>
      <c r="DS62" s="261">
        <v>0</v>
      </c>
      <c r="DT62" s="261">
        <v>0</v>
      </c>
      <c r="DU62" s="261">
        <v>0</v>
      </c>
      <c r="DV62" s="261">
        <v>0</v>
      </c>
      <c r="DW62" s="261">
        <v>0</v>
      </c>
      <c r="DX62" s="261">
        <v>0</v>
      </c>
      <c r="DY62" s="261">
        <v>0</v>
      </c>
      <c r="DZ62">
        <v>0</v>
      </c>
      <c r="EA62">
        <v>0</v>
      </c>
    </row>
    <row r="63" spans="10:131" x14ac:dyDescent="0.25">
      <c r="J63" t="str">
        <v>CNC Book Value</v>
      </c>
      <c r="K63">
        <v>0</v>
      </c>
      <c r="L63" s="261">
        <v>48125</v>
      </c>
      <c r="M63" s="261">
        <v>44515</v>
      </c>
      <c r="N63" s="261">
        <v>41174.999999999978</v>
      </c>
      <c r="O63" s="261">
        <v>38084.999999999956</v>
      </c>
      <c r="P63" s="261">
        <v>35229.999999999956</v>
      </c>
      <c r="Q63" s="261">
        <v>32584.999999999978</v>
      </c>
      <c r="R63" s="261">
        <v>30139.999999999996</v>
      </c>
      <c r="S63" s="261">
        <v>27879.999999999996</v>
      </c>
      <c r="T63" s="261">
        <v>25649.999999999978</v>
      </c>
      <c r="U63" s="261">
        <v>23419.99999999996</v>
      </c>
      <c r="V63" s="261">
        <v>21189.999999999942</v>
      </c>
      <c r="W63" s="261">
        <v>18959.999999999924</v>
      </c>
      <c r="X63" s="261">
        <v>16729.999999999905</v>
      </c>
      <c r="Y63" s="261">
        <v>14499.999999999887</v>
      </c>
      <c r="Z63" s="261">
        <v>12269.999999999885</v>
      </c>
      <c r="AA63" s="261">
        <v>10039.999999999885</v>
      </c>
      <c r="AB63" s="261">
        <v>7809.9999999998854</v>
      </c>
      <c r="AC63" s="261">
        <v>6694.9999999998854</v>
      </c>
      <c r="AD63" s="261">
        <v>6694.9999999998845</v>
      </c>
      <c r="AE63" s="261">
        <v>6694.9999999998845</v>
      </c>
      <c r="AF63" s="261">
        <v>6694.9999999998845</v>
      </c>
      <c r="AG63" s="261">
        <v>6694.9999999998845</v>
      </c>
      <c r="AH63" s="261">
        <v>0</v>
      </c>
      <c r="AI63" s="261">
        <v>0</v>
      </c>
      <c r="AJ63" s="261">
        <v>0</v>
      </c>
      <c r="AK63" s="261">
        <v>0</v>
      </c>
      <c r="AL63" s="261">
        <v>0</v>
      </c>
      <c r="AM63" s="261">
        <v>0</v>
      </c>
      <c r="AN63" s="261">
        <v>0</v>
      </c>
      <c r="AO63" s="261">
        <v>0</v>
      </c>
      <c r="AP63" s="261">
        <v>0</v>
      </c>
      <c r="AQ63" s="261">
        <v>0</v>
      </c>
      <c r="AR63" s="261">
        <v>0</v>
      </c>
      <c r="AS63" s="261">
        <v>0</v>
      </c>
      <c r="AT63" s="261">
        <v>0</v>
      </c>
      <c r="AU63" s="261">
        <v>0</v>
      </c>
      <c r="AV63" s="261">
        <v>0</v>
      </c>
      <c r="AW63" s="261">
        <v>0</v>
      </c>
      <c r="AX63" s="261">
        <v>0</v>
      </c>
      <c r="AY63" s="261">
        <v>0</v>
      </c>
      <c r="AZ63" s="261">
        <v>0</v>
      </c>
      <c r="BA63" s="261">
        <v>0</v>
      </c>
      <c r="BB63" s="261">
        <v>0</v>
      </c>
      <c r="BC63" s="261">
        <v>0</v>
      </c>
      <c r="BD63" s="261">
        <v>0</v>
      </c>
      <c r="BE63" s="261">
        <v>0</v>
      </c>
      <c r="BF63" s="261">
        <v>0</v>
      </c>
      <c r="BG63" s="261">
        <v>0</v>
      </c>
      <c r="BH63" s="261">
        <v>0</v>
      </c>
      <c r="BI63" s="261">
        <v>0</v>
      </c>
      <c r="BJ63" s="261">
        <v>0</v>
      </c>
      <c r="BK63" s="261">
        <v>0</v>
      </c>
      <c r="BL63" s="261">
        <v>0</v>
      </c>
      <c r="BM63" s="261">
        <v>0</v>
      </c>
      <c r="BN63" s="261">
        <v>0</v>
      </c>
      <c r="BO63" s="261">
        <v>0</v>
      </c>
      <c r="BP63" s="261">
        <v>0</v>
      </c>
      <c r="BQ63" s="261">
        <v>0</v>
      </c>
      <c r="BR63" s="261">
        <v>0</v>
      </c>
      <c r="BS63" s="261">
        <v>0</v>
      </c>
      <c r="BT63" s="261">
        <v>0</v>
      </c>
      <c r="BU63" s="261">
        <v>0</v>
      </c>
      <c r="BV63" s="261">
        <v>0</v>
      </c>
      <c r="BW63" s="261">
        <v>0</v>
      </c>
      <c r="BX63" s="261">
        <v>0</v>
      </c>
      <c r="BY63" s="261">
        <v>0</v>
      </c>
      <c r="BZ63" s="261">
        <v>0</v>
      </c>
      <c r="CA63" s="261">
        <v>0</v>
      </c>
      <c r="CB63" s="261">
        <v>0</v>
      </c>
      <c r="CC63" s="261">
        <v>0</v>
      </c>
      <c r="CD63" s="261">
        <v>0</v>
      </c>
      <c r="CE63" s="261">
        <v>0</v>
      </c>
      <c r="CF63" s="261">
        <v>0</v>
      </c>
      <c r="CG63" s="261">
        <v>0</v>
      </c>
      <c r="CH63" s="261">
        <v>0</v>
      </c>
      <c r="CI63" s="261">
        <v>0</v>
      </c>
      <c r="CJ63" s="261">
        <v>0</v>
      </c>
      <c r="CK63" s="261">
        <v>0</v>
      </c>
      <c r="CL63" s="261">
        <v>0</v>
      </c>
      <c r="CM63" s="261">
        <v>0</v>
      </c>
      <c r="CN63" s="261">
        <v>0</v>
      </c>
      <c r="CO63" s="261">
        <v>0</v>
      </c>
      <c r="CP63" s="261">
        <v>0</v>
      </c>
      <c r="CQ63" s="261">
        <v>0</v>
      </c>
      <c r="CR63" s="261">
        <v>0</v>
      </c>
      <c r="CS63" s="261">
        <v>0</v>
      </c>
      <c r="CT63" s="261">
        <v>0</v>
      </c>
      <c r="CU63" s="261">
        <v>0</v>
      </c>
      <c r="CV63" s="261">
        <v>0</v>
      </c>
      <c r="CW63" s="261">
        <v>0</v>
      </c>
      <c r="CX63" s="261">
        <v>0</v>
      </c>
      <c r="CY63" s="261">
        <v>0</v>
      </c>
      <c r="CZ63" s="261">
        <v>0</v>
      </c>
      <c r="DA63" s="261">
        <v>0</v>
      </c>
      <c r="DB63" s="261">
        <v>0</v>
      </c>
      <c r="DC63" s="261">
        <v>0</v>
      </c>
      <c r="DD63" s="261">
        <v>0</v>
      </c>
      <c r="DE63" s="261">
        <v>0</v>
      </c>
      <c r="DF63" s="261">
        <v>0</v>
      </c>
      <c r="DG63" s="261">
        <v>0</v>
      </c>
      <c r="DH63" s="261">
        <v>0</v>
      </c>
      <c r="DI63" s="261">
        <v>0</v>
      </c>
      <c r="DJ63" s="261">
        <v>0</v>
      </c>
      <c r="DK63" s="261">
        <v>0</v>
      </c>
      <c r="DL63" s="261">
        <v>0</v>
      </c>
      <c r="DM63" s="261">
        <v>0</v>
      </c>
      <c r="DN63" s="261">
        <v>0</v>
      </c>
      <c r="DO63" s="261">
        <v>0</v>
      </c>
      <c r="DP63" s="261">
        <v>0</v>
      </c>
      <c r="DQ63" s="261">
        <v>0</v>
      </c>
      <c r="DR63" s="261">
        <v>0</v>
      </c>
      <c r="DS63" s="261">
        <v>0</v>
      </c>
      <c r="DT63" s="261">
        <v>0</v>
      </c>
      <c r="DU63" s="261">
        <v>0</v>
      </c>
      <c r="DV63" s="261">
        <v>0</v>
      </c>
      <c r="DW63" s="261">
        <v>0</v>
      </c>
      <c r="DX63" s="261">
        <v>0</v>
      </c>
      <c r="DY63" s="261">
        <v>0</v>
      </c>
      <c r="DZ63">
        <v>0</v>
      </c>
      <c r="EA63">
        <v>0</v>
      </c>
    </row>
    <row r="64" spans="10:131" x14ac:dyDescent="0.25">
      <c r="J64" t="str">
        <v>CNC Revenue from Sale</v>
      </c>
      <c r="K64">
        <v>0</v>
      </c>
      <c r="L64" s="261">
        <v>0</v>
      </c>
      <c r="M64" s="261">
        <v>0</v>
      </c>
      <c r="N64" s="261">
        <v>0</v>
      </c>
      <c r="O64" s="261">
        <v>0</v>
      </c>
      <c r="P64" s="261">
        <v>0</v>
      </c>
      <c r="Q64" s="261">
        <v>0</v>
      </c>
      <c r="R64" s="261">
        <v>0</v>
      </c>
      <c r="S64" s="261">
        <v>0</v>
      </c>
      <c r="T64" s="261">
        <v>0</v>
      </c>
      <c r="U64" s="261">
        <v>0</v>
      </c>
      <c r="V64" s="261">
        <v>0</v>
      </c>
      <c r="W64" s="261">
        <v>0</v>
      </c>
      <c r="X64" s="261">
        <v>0</v>
      </c>
      <c r="Y64" s="261">
        <v>0</v>
      </c>
      <c r="Z64" s="261">
        <v>0</v>
      </c>
      <c r="AA64" s="261">
        <v>0</v>
      </c>
      <c r="AB64" s="261">
        <v>0</v>
      </c>
      <c r="AC64" s="261">
        <v>0</v>
      </c>
      <c r="AD64" s="261">
        <v>0</v>
      </c>
      <c r="AE64" s="261">
        <v>0</v>
      </c>
      <c r="AF64" s="261">
        <v>0</v>
      </c>
      <c r="AG64" s="261">
        <v>0</v>
      </c>
      <c r="AH64" s="261">
        <v>0</v>
      </c>
      <c r="AI64" s="261">
        <v>0</v>
      </c>
      <c r="AJ64" s="261">
        <v>0</v>
      </c>
      <c r="AK64" s="261">
        <v>0</v>
      </c>
      <c r="AL64" s="261">
        <v>0</v>
      </c>
      <c r="AM64" s="261">
        <v>0</v>
      </c>
      <c r="AN64" s="261">
        <v>0</v>
      </c>
      <c r="AO64" s="261">
        <v>0</v>
      </c>
      <c r="AP64" s="261">
        <v>0</v>
      </c>
      <c r="AQ64" s="261">
        <v>0</v>
      </c>
      <c r="AR64" s="261">
        <v>0</v>
      </c>
      <c r="AS64" s="261">
        <v>0</v>
      </c>
      <c r="AT64" s="261">
        <v>0</v>
      </c>
      <c r="AU64" s="261">
        <v>0</v>
      </c>
      <c r="AV64" s="261">
        <v>0</v>
      </c>
      <c r="AW64" s="261">
        <v>0</v>
      </c>
      <c r="AX64" s="261">
        <v>0</v>
      </c>
      <c r="AY64" s="261">
        <v>0</v>
      </c>
      <c r="AZ64" s="261">
        <v>0</v>
      </c>
      <c r="BA64" s="261">
        <v>0</v>
      </c>
      <c r="BB64" s="261">
        <v>0</v>
      </c>
      <c r="BC64" s="261">
        <v>0</v>
      </c>
      <c r="BD64" s="261">
        <v>0</v>
      </c>
      <c r="BE64" s="261">
        <v>0</v>
      </c>
      <c r="BF64" s="261">
        <v>0</v>
      </c>
      <c r="BG64" s="261">
        <v>0</v>
      </c>
      <c r="BH64" s="261">
        <v>0</v>
      </c>
      <c r="BI64" s="261">
        <v>0</v>
      </c>
      <c r="BJ64" s="261">
        <v>0</v>
      </c>
      <c r="BK64" s="261">
        <v>0</v>
      </c>
      <c r="BL64" s="261">
        <v>0</v>
      </c>
      <c r="BM64" s="261">
        <v>0</v>
      </c>
      <c r="BN64" s="261">
        <v>0</v>
      </c>
      <c r="BO64" s="261">
        <v>0</v>
      </c>
      <c r="BP64" s="261">
        <v>0</v>
      </c>
      <c r="BQ64" s="261">
        <v>0</v>
      </c>
      <c r="BR64" s="261">
        <v>0</v>
      </c>
      <c r="BS64" s="261">
        <v>0</v>
      </c>
      <c r="BT64" s="261">
        <v>0</v>
      </c>
      <c r="BU64" s="261">
        <v>0</v>
      </c>
      <c r="BV64" s="261">
        <v>0</v>
      </c>
      <c r="BW64" s="261">
        <v>0</v>
      </c>
      <c r="BX64" s="261">
        <v>0</v>
      </c>
      <c r="BY64" s="261">
        <v>0</v>
      </c>
      <c r="BZ64" s="261">
        <v>0</v>
      </c>
      <c r="CA64" s="261">
        <v>0</v>
      </c>
      <c r="CB64" s="261">
        <v>0</v>
      </c>
      <c r="CC64" s="261">
        <v>0</v>
      </c>
      <c r="CD64" s="261">
        <v>0</v>
      </c>
      <c r="CE64" s="261">
        <v>0</v>
      </c>
      <c r="CF64" s="261">
        <v>0</v>
      </c>
      <c r="CG64" s="261">
        <v>0</v>
      </c>
      <c r="CH64" s="261">
        <v>0</v>
      </c>
      <c r="CI64" s="261">
        <v>0</v>
      </c>
      <c r="CJ64" s="261">
        <v>0</v>
      </c>
      <c r="CK64" s="261">
        <v>0</v>
      </c>
      <c r="CL64" s="261">
        <v>0</v>
      </c>
      <c r="CM64" s="261">
        <v>0</v>
      </c>
      <c r="CN64" s="261">
        <v>0</v>
      </c>
      <c r="CO64" s="261">
        <v>0</v>
      </c>
      <c r="CP64" s="261">
        <v>0</v>
      </c>
      <c r="CQ64" s="261">
        <v>0</v>
      </c>
      <c r="CR64" s="261">
        <v>0</v>
      </c>
      <c r="CS64" s="261">
        <v>0</v>
      </c>
      <c r="CT64" s="261">
        <v>0</v>
      </c>
      <c r="CU64" s="261">
        <v>0</v>
      </c>
      <c r="CV64" s="261">
        <v>0</v>
      </c>
      <c r="CW64" s="261">
        <v>0</v>
      </c>
      <c r="CX64" s="261">
        <v>0</v>
      </c>
      <c r="CY64" s="261">
        <v>0</v>
      </c>
      <c r="CZ64" s="261">
        <v>0</v>
      </c>
      <c r="DA64" s="261">
        <v>0</v>
      </c>
      <c r="DB64" s="261">
        <v>0</v>
      </c>
      <c r="DC64" s="261">
        <v>0</v>
      </c>
      <c r="DD64" s="261">
        <v>0</v>
      </c>
      <c r="DE64" s="261">
        <v>0</v>
      </c>
      <c r="DF64" s="261">
        <v>0</v>
      </c>
      <c r="DG64" s="261">
        <v>0</v>
      </c>
      <c r="DH64" s="261">
        <v>0</v>
      </c>
      <c r="DI64" s="261">
        <v>0</v>
      </c>
      <c r="DJ64" s="261">
        <v>0</v>
      </c>
      <c r="DK64" s="261">
        <v>0</v>
      </c>
      <c r="DL64" s="261">
        <v>0</v>
      </c>
      <c r="DM64" s="261">
        <v>0</v>
      </c>
      <c r="DN64" s="261">
        <v>0</v>
      </c>
      <c r="DO64" s="261">
        <v>0</v>
      </c>
      <c r="DP64" s="261">
        <v>0</v>
      </c>
      <c r="DQ64" s="261">
        <v>0</v>
      </c>
      <c r="DR64" s="261">
        <v>0</v>
      </c>
      <c r="DS64" s="261">
        <v>0</v>
      </c>
      <c r="DT64" s="261">
        <v>0</v>
      </c>
      <c r="DU64" s="261">
        <v>0</v>
      </c>
      <c r="DV64" s="261">
        <v>0</v>
      </c>
      <c r="DW64" s="261">
        <v>0</v>
      </c>
      <c r="DX64" s="261">
        <v>0</v>
      </c>
      <c r="DY64" s="261">
        <v>0</v>
      </c>
      <c r="DZ64">
        <v>0</v>
      </c>
      <c r="EA64">
        <v>0</v>
      </c>
    </row>
    <row r="65" spans="10:131" x14ac:dyDescent="0.25">
      <c r="J65" t="str">
        <v>CNC Disposal Costs</v>
      </c>
      <c r="K65">
        <v>250</v>
      </c>
      <c r="L65" s="261">
        <v>0</v>
      </c>
      <c r="M65" s="261">
        <v>0</v>
      </c>
      <c r="N65" s="261">
        <v>0</v>
      </c>
      <c r="O65" s="261">
        <v>0</v>
      </c>
      <c r="P65" s="261">
        <v>0</v>
      </c>
      <c r="Q65" s="261">
        <v>0</v>
      </c>
      <c r="R65" s="261">
        <v>0</v>
      </c>
      <c r="S65" s="261">
        <v>0</v>
      </c>
      <c r="T65" s="261">
        <v>0</v>
      </c>
      <c r="U65" s="261">
        <v>0</v>
      </c>
      <c r="V65" s="261">
        <v>0</v>
      </c>
      <c r="W65" s="261">
        <v>0</v>
      </c>
      <c r="X65" s="261">
        <v>0</v>
      </c>
      <c r="Y65" s="261">
        <v>0</v>
      </c>
      <c r="Z65" s="261">
        <v>0</v>
      </c>
      <c r="AA65" s="261">
        <v>0</v>
      </c>
      <c r="AB65" s="261">
        <v>0</v>
      </c>
      <c r="AC65" s="261">
        <v>0</v>
      </c>
      <c r="AD65" s="261">
        <v>0</v>
      </c>
      <c r="AE65" s="261">
        <v>0</v>
      </c>
      <c r="AF65" s="261">
        <v>0</v>
      </c>
      <c r="AG65" s="261">
        <v>250</v>
      </c>
      <c r="AH65" s="261">
        <v>0</v>
      </c>
      <c r="AI65" s="261">
        <v>0</v>
      </c>
      <c r="AJ65" s="261">
        <v>0</v>
      </c>
      <c r="AK65" s="261">
        <v>0</v>
      </c>
      <c r="AL65" s="261">
        <v>0</v>
      </c>
      <c r="AM65" s="261">
        <v>0</v>
      </c>
      <c r="AN65" s="261">
        <v>0</v>
      </c>
      <c r="AO65" s="261">
        <v>0</v>
      </c>
      <c r="AP65" s="261">
        <v>0</v>
      </c>
      <c r="AQ65" s="261">
        <v>0</v>
      </c>
      <c r="AR65" s="261">
        <v>0</v>
      </c>
      <c r="AS65" s="261">
        <v>0</v>
      </c>
      <c r="AT65" s="261">
        <v>0</v>
      </c>
      <c r="AU65" s="261">
        <v>0</v>
      </c>
      <c r="AV65" s="261">
        <v>0</v>
      </c>
      <c r="AW65" s="261">
        <v>0</v>
      </c>
      <c r="AX65" s="261">
        <v>0</v>
      </c>
      <c r="AY65" s="261">
        <v>0</v>
      </c>
      <c r="AZ65" s="261">
        <v>0</v>
      </c>
      <c r="BA65" s="261">
        <v>0</v>
      </c>
      <c r="BB65" s="261">
        <v>0</v>
      </c>
      <c r="BC65" s="261">
        <v>0</v>
      </c>
      <c r="BD65" s="261">
        <v>0</v>
      </c>
      <c r="BE65" s="261">
        <v>0</v>
      </c>
      <c r="BF65" s="261">
        <v>0</v>
      </c>
      <c r="BG65" s="261">
        <v>0</v>
      </c>
      <c r="BH65" s="261">
        <v>0</v>
      </c>
      <c r="BI65" s="261">
        <v>0</v>
      </c>
      <c r="BJ65" s="261">
        <v>0</v>
      </c>
      <c r="BK65" s="261">
        <v>0</v>
      </c>
      <c r="BL65" s="261">
        <v>0</v>
      </c>
      <c r="BM65" s="261">
        <v>0</v>
      </c>
      <c r="BN65" s="261">
        <v>0</v>
      </c>
      <c r="BO65" s="261">
        <v>0</v>
      </c>
      <c r="BP65" s="261">
        <v>0</v>
      </c>
      <c r="BQ65" s="261">
        <v>0</v>
      </c>
      <c r="BR65" s="261">
        <v>0</v>
      </c>
      <c r="BS65" s="261">
        <v>0</v>
      </c>
      <c r="BT65" s="261">
        <v>0</v>
      </c>
      <c r="BU65" s="261">
        <v>0</v>
      </c>
      <c r="BV65" s="261">
        <v>0</v>
      </c>
      <c r="BW65" s="261">
        <v>0</v>
      </c>
      <c r="BX65" s="261">
        <v>0</v>
      </c>
      <c r="BY65" s="261">
        <v>0</v>
      </c>
      <c r="BZ65" s="261">
        <v>0</v>
      </c>
      <c r="CA65" s="261">
        <v>0</v>
      </c>
      <c r="CB65" s="261">
        <v>0</v>
      </c>
      <c r="CC65" s="261">
        <v>0</v>
      </c>
      <c r="CD65" s="261">
        <v>0</v>
      </c>
      <c r="CE65" s="261">
        <v>0</v>
      </c>
      <c r="CF65" s="261">
        <v>0</v>
      </c>
      <c r="CG65" s="261">
        <v>0</v>
      </c>
      <c r="CH65" s="261">
        <v>0</v>
      </c>
      <c r="CI65" s="261">
        <v>0</v>
      </c>
      <c r="CJ65" s="261">
        <v>0</v>
      </c>
      <c r="CK65" s="261">
        <v>0</v>
      </c>
      <c r="CL65" s="261">
        <v>0</v>
      </c>
      <c r="CM65" s="261">
        <v>0</v>
      </c>
      <c r="CN65" s="261">
        <v>0</v>
      </c>
      <c r="CO65" s="261">
        <v>0</v>
      </c>
      <c r="CP65" s="261">
        <v>0</v>
      </c>
      <c r="CQ65" s="261">
        <v>0</v>
      </c>
      <c r="CR65" s="261">
        <v>0</v>
      </c>
      <c r="CS65" s="261">
        <v>0</v>
      </c>
      <c r="CT65" s="261">
        <v>0</v>
      </c>
      <c r="CU65" s="261">
        <v>0</v>
      </c>
      <c r="CV65" s="261">
        <v>0</v>
      </c>
      <c r="CW65" s="261">
        <v>0</v>
      </c>
      <c r="CX65" s="261">
        <v>0</v>
      </c>
      <c r="CY65" s="261">
        <v>0</v>
      </c>
      <c r="CZ65" s="261">
        <v>0</v>
      </c>
      <c r="DA65" s="261">
        <v>0</v>
      </c>
      <c r="DB65" s="261">
        <v>0</v>
      </c>
      <c r="DC65" s="261">
        <v>0</v>
      </c>
      <c r="DD65" s="261">
        <v>0</v>
      </c>
      <c r="DE65" s="261">
        <v>0</v>
      </c>
      <c r="DF65" s="261">
        <v>0</v>
      </c>
      <c r="DG65" s="261">
        <v>0</v>
      </c>
      <c r="DH65" s="261">
        <v>0</v>
      </c>
      <c r="DI65" s="261">
        <v>0</v>
      </c>
      <c r="DJ65" s="261">
        <v>0</v>
      </c>
      <c r="DK65" s="261">
        <v>0</v>
      </c>
      <c r="DL65" s="261">
        <v>0</v>
      </c>
      <c r="DM65" s="261">
        <v>0</v>
      </c>
      <c r="DN65" s="261">
        <v>0</v>
      </c>
      <c r="DO65" s="261">
        <v>0</v>
      </c>
      <c r="DP65" s="261">
        <v>0</v>
      </c>
      <c r="DQ65" s="261">
        <v>0</v>
      </c>
      <c r="DR65" s="261">
        <v>0</v>
      </c>
      <c r="DS65" s="261">
        <v>0</v>
      </c>
      <c r="DT65" s="261">
        <v>0</v>
      </c>
      <c r="DU65" s="261">
        <v>0</v>
      </c>
      <c r="DV65" s="261">
        <v>0</v>
      </c>
      <c r="DW65" s="261">
        <v>0</v>
      </c>
      <c r="DX65" s="261">
        <v>0</v>
      </c>
      <c r="DY65" s="261">
        <v>0</v>
      </c>
      <c r="DZ65">
        <v>0</v>
      </c>
      <c r="EA65">
        <v>0</v>
      </c>
    </row>
  </sheetData>
  <mergeCells count="7">
    <mergeCell ref="A44:H44"/>
    <mergeCell ref="A1:Q1"/>
    <mergeCell ref="A2:Q2"/>
    <mergeCell ref="A43:H43"/>
    <mergeCell ref="A35:C35"/>
    <mergeCell ref="K3:R22"/>
    <mergeCell ref="K23:R23"/>
  </mergeCells>
  <dataValidations disablePrompts="1" count="1">
    <dataValidation type="list" allowBlank="1" showInputMessage="1" showErrorMessage="1" sqref="H46:H48" xr:uid="{DDD4F6C4-8475-41E1-94C7-3F324406B3DB}">
      <formula1>INDIRECT("tblMethods[Method]")</formula1>
    </dataValidation>
  </dataValidations>
  <hyperlinks>
    <hyperlink ref="A1" location="'TOC'!$A$1" display="'TOC'!$A$1" xr:uid="{1C85F681-A4E0-478C-8D16-1DA091FAED57}"/>
  </hyperlinks>
  <pageMargins left="0.7" right="0.7" top="0.75" bottom="0.75" header="0.3" footer="0.3"/>
  <customProperties>
    <customPr name="Description" r:id="rId1"/>
  </customProperties>
  <drawing r:id="rId2"/>
  <tableParts count="1">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6969-3555-404E-B004-E19803674A70}">
  <sheetPr codeName="Sheet3">
    <tabColor rgb="FF157A5F"/>
  </sheetPr>
  <dimension ref="A1:W45"/>
  <sheetViews>
    <sheetView showGridLines="0" workbookViewId="0">
      <selection activeCell="A1" sqref="A1"/>
    </sheetView>
  </sheetViews>
  <sheetFormatPr defaultRowHeight="15" x14ac:dyDescent="0.25"/>
  <cols>
    <col min="1" max="1" width="13.140625" bestFit="1" customWidth="1"/>
    <col min="2" max="2" width="10.42578125" customWidth="1"/>
    <col min="6" max="6" width="4.85546875" bestFit="1" customWidth="1"/>
    <col min="7" max="7" width="4.7109375" bestFit="1" customWidth="1"/>
    <col min="10" max="10" width="22.140625" bestFit="1" customWidth="1"/>
    <col min="11" max="11" width="15.7109375" customWidth="1"/>
    <col min="12" max="12" width="10.140625" bestFit="1" customWidth="1"/>
    <col min="13" max="13" width="10.28515625" bestFit="1" customWidth="1"/>
    <col min="14" max="14" width="10.7109375" bestFit="1" customWidth="1"/>
    <col min="15" max="15" width="10.28515625" bestFit="1" customWidth="1"/>
    <col min="16" max="16" width="11.140625" bestFit="1" customWidth="1"/>
    <col min="17" max="17" width="10.28515625" bestFit="1" customWidth="1"/>
    <col min="18" max="18" width="10.140625" bestFit="1" customWidth="1"/>
    <col min="19" max="19" width="10.7109375" bestFit="1" customWidth="1"/>
    <col min="20" max="20" width="10.42578125" bestFit="1" customWidth="1"/>
    <col min="21" max="21" width="10.28515625" bestFit="1" customWidth="1"/>
    <col min="22" max="22" width="10.7109375" bestFit="1" customWidth="1"/>
    <col min="23" max="23" width="10.42578125" bestFit="1" customWidth="1"/>
  </cols>
  <sheetData>
    <row r="1" spans="1:20" ht="45.75" x14ac:dyDescent="0.65">
      <c r="A1" s="270" t="str">
        <f>_xlfn.TEXTAFTER(CELL("filename",A1),"]")</f>
        <v>nabla.f.LabelDepreciateλ</v>
      </c>
      <c r="B1" s="270"/>
      <c r="C1" s="270"/>
      <c r="D1" s="270"/>
      <c r="E1" s="270"/>
      <c r="F1" s="270"/>
      <c r="G1" s="270"/>
      <c r="H1" s="270"/>
      <c r="I1" s="270"/>
      <c r="J1" s="270"/>
      <c r="K1" s="270"/>
      <c r="L1" s="270"/>
      <c r="M1" s="270"/>
      <c r="N1" s="270"/>
      <c r="O1" s="270"/>
      <c r="P1" s="270"/>
      <c r="Q1" s="270"/>
    </row>
    <row r="2" spans="1:20" x14ac:dyDescent="0.25">
      <c r="A2" s="273" t="s">
        <v>216</v>
      </c>
      <c r="B2" s="311"/>
      <c r="C2" s="311"/>
      <c r="D2" s="311"/>
      <c r="E2" s="311"/>
      <c r="F2" s="311"/>
      <c r="G2" s="311"/>
      <c r="H2" s="311"/>
      <c r="I2" s="311"/>
      <c r="J2" s="311"/>
      <c r="K2" s="311"/>
      <c r="L2" s="311"/>
      <c r="M2" s="311"/>
      <c r="N2" s="311"/>
      <c r="O2" s="311"/>
      <c r="P2" s="311"/>
      <c r="Q2" s="312"/>
    </row>
    <row r="3" spans="1:20" x14ac:dyDescent="0.25">
      <c r="A3" s="104"/>
      <c r="B3" s="104"/>
      <c r="C3" s="104"/>
      <c r="D3" s="104"/>
      <c r="E3" s="104"/>
      <c r="F3" s="104"/>
      <c r="G3" s="104"/>
      <c r="H3" s="104"/>
      <c r="I3" s="104"/>
      <c r="J3" s="104"/>
      <c r="K3" s="104"/>
      <c r="L3" s="104"/>
      <c r="M3" s="104"/>
      <c r="N3" s="104"/>
      <c r="O3" s="104"/>
      <c r="P3" s="104"/>
      <c r="Q3" s="104"/>
    </row>
    <row r="4" spans="1:20" x14ac:dyDescent="0.25">
      <c r="A4" s="162" t="str" cm="1">
        <f t="array" ref="A4:B12">nabla.f.LabelDepreciateλ()</f>
        <v>FUNCTION:</v>
      </c>
      <c r="B4" t="str">
        <v>LabelDepreciateλ( AssetNames)</v>
      </c>
      <c r="M4" s="316"/>
      <c r="N4" s="316"/>
      <c r="O4" s="316"/>
      <c r="P4" s="316"/>
      <c r="Q4" s="316"/>
      <c r="R4" s="316"/>
      <c r="S4" s="316"/>
      <c r="T4" s="316"/>
    </row>
    <row r="5" spans="1:20" x14ac:dyDescent="0.25">
      <c r="A5" t="str">
        <v>DESCRIPTION:</v>
      </c>
      <c r="B5" t="str">
        <v>Create row labels for the depreciation schedule array produced by Depreciateλ</v>
      </c>
      <c r="M5" s="316"/>
      <c r="N5" s="316"/>
      <c r="O5" s="316"/>
      <c r="P5" s="316"/>
      <c r="Q5" s="316"/>
      <c r="R5" s="316"/>
      <c r="S5" s="316"/>
      <c r="T5" s="316"/>
    </row>
    <row r="6" spans="1:20" x14ac:dyDescent="0.25">
      <c r="A6" t="str">
        <v>WEBPAGE:</v>
      </c>
      <c r="B6" t="str">
        <v>https://github.com/ryanduguid/Nabla</v>
      </c>
      <c r="M6" s="316"/>
      <c r="N6" s="316"/>
      <c r="O6" s="316"/>
      <c r="P6" s="316"/>
      <c r="Q6" s="316"/>
      <c r="R6" s="316"/>
      <c r="S6" s="316"/>
      <c r="T6" s="316"/>
    </row>
    <row r="7" spans="1:20" x14ac:dyDescent="0.25">
      <c r="A7" t="str">
        <v>VERSION:</v>
      </c>
      <c r="B7" t="str">
        <v>18 Aug 2026</v>
      </c>
      <c r="K7" s="233"/>
      <c r="L7" s="233"/>
      <c r="M7" s="316"/>
      <c r="N7" s="316"/>
      <c r="O7" s="316"/>
      <c r="P7" s="316"/>
      <c r="Q7" s="316"/>
      <c r="R7" s="316"/>
      <c r="S7" s="316"/>
      <c r="T7" s="316"/>
    </row>
    <row r="8" spans="1:20" x14ac:dyDescent="0.25">
      <c r="A8" t="str">
        <v>PARAMETERS:</v>
      </c>
      <c r="B8" t="str">
        <v/>
      </c>
      <c r="K8" s="233"/>
      <c r="L8" s="233"/>
      <c r="M8" s="316"/>
      <c r="N8" s="316"/>
      <c r="O8" s="316"/>
      <c r="P8" s="316"/>
      <c r="Q8" s="316"/>
      <c r="R8" s="316"/>
      <c r="S8" s="316"/>
      <c r="T8" s="316"/>
    </row>
    <row r="9" spans="1:20" x14ac:dyDescent="0.25">
      <c r="A9" t="str">
        <v>AssetNames</v>
      </c>
      <c r="B9" t="str">
        <v>(Required) The names or descriptions of each asset in teh depreciation schedule produced by Depreciateλ</v>
      </c>
      <c r="K9" s="233"/>
      <c r="L9" s="233"/>
      <c r="M9" s="316"/>
      <c r="N9" s="316"/>
      <c r="O9" s="316"/>
      <c r="P9" s="316"/>
      <c r="Q9" s="316"/>
      <c r="R9" s="316"/>
      <c r="S9" s="316"/>
      <c r="T9" s="316"/>
    </row>
    <row r="10" spans="1:20" x14ac:dyDescent="0.25">
      <c r="A10" t="str">
        <v>EXAMPLES:</v>
      </c>
      <c r="B10" t="str">
        <v/>
      </c>
      <c r="K10" s="233"/>
      <c r="L10" s="233"/>
      <c r="M10" s="316"/>
      <c r="N10" s="316"/>
      <c r="O10" s="316"/>
      <c r="P10" s="316"/>
      <c r="Q10" s="316"/>
      <c r="R10" s="316"/>
      <c r="S10" s="316"/>
      <c r="T10" s="316"/>
    </row>
    <row r="11" spans="1:20" x14ac:dyDescent="0.25">
      <c r="A11" t="str">
        <v>Result</v>
      </c>
      <c r="B11" t="str">
        <v>Formula (nabla.f is assumed to be the module's name)</v>
      </c>
      <c r="K11" s="233"/>
      <c r="L11" s="233"/>
      <c r="M11" s="316"/>
      <c r="N11" s="316"/>
      <c r="O11" s="316"/>
      <c r="P11" s="316"/>
      <c r="Q11" s="316"/>
      <c r="R11" s="316"/>
      <c r="S11" s="316"/>
      <c r="T11" s="316"/>
    </row>
    <row r="12" spans="1:20" x14ac:dyDescent="0.25">
      <c r="A12" t="str">
        <v/>
      </c>
      <c r="B12" t="str">
        <v>=nabla.f.LabelDepreciateλ(tblAssets[Asset Name])</v>
      </c>
      <c r="K12" s="233"/>
      <c r="L12" s="233"/>
      <c r="M12" s="316"/>
      <c r="N12" s="316"/>
      <c r="O12" s="316"/>
      <c r="P12" s="316"/>
      <c r="Q12" s="316"/>
      <c r="R12" s="316"/>
      <c r="S12" s="316"/>
      <c r="T12" s="316"/>
    </row>
    <row r="13" spans="1:20" x14ac:dyDescent="0.25">
      <c r="K13" s="233"/>
      <c r="L13" s="233"/>
      <c r="M13" s="316"/>
      <c r="N13" s="316"/>
      <c r="O13" s="316"/>
      <c r="P13" s="316"/>
      <c r="Q13" s="316"/>
      <c r="R13" s="316"/>
      <c r="S13" s="316"/>
      <c r="T13" s="316"/>
    </row>
    <row r="15" spans="1:20" ht="20.25" x14ac:dyDescent="0.3">
      <c r="A15" s="302" t="s">
        <v>272</v>
      </c>
      <c r="B15" s="302"/>
      <c r="C15" s="302"/>
      <c r="J15" s="2" t="s">
        <v>289</v>
      </c>
    </row>
    <row r="17" spans="1:23" x14ac:dyDescent="0.25">
      <c r="A17" s="161" t="s">
        <v>273</v>
      </c>
      <c r="B17" s="161" t="s">
        <v>138</v>
      </c>
      <c r="C17" s="161" t="s">
        <v>139</v>
      </c>
      <c r="J17" s="190" t="s">
        <v>131</v>
      </c>
      <c r="K17" s="190" t="s">
        <v>276</v>
      </c>
      <c r="L17" s="1" cm="1">
        <f t="array" ref="L17:W17">nabla.d.Timelineλ($B$18, $B$19, $B$20)</f>
        <v>45292</v>
      </c>
      <c r="M17" s="1">
        <v>46388</v>
      </c>
      <c r="N17" s="1">
        <v>46753</v>
      </c>
      <c r="O17" s="1">
        <v>47119</v>
      </c>
      <c r="P17" s="1">
        <v>47484</v>
      </c>
      <c r="Q17" s="1">
        <v>47849</v>
      </c>
      <c r="R17" s="1">
        <v>48214</v>
      </c>
      <c r="S17" s="1">
        <v>48580</v>
      </c>
      <c r="T17" s="1">
        <v>48945</v>
      </c>
      <c r="U17" s="1">
        <v>49310</v>
      </c>
      <c r="V17" s="1">
        <v>49675</v>
      </c>
      <c r="W17" s="1">
        <v>50041</v>
      </c>
    </row>
    <row r="18" spans="1:23" x14ac:dyDescent="0.25">
      <c r="A18" t="s">
        <v>236</v>
      </c>
      <c r="B18" s="141">
        <v>46023</v>
      </c>
      <c r="C18" t="s">
        <v>145</v>
      </c>
      <c r="J18" t="s">
        <v>343</v>
      </c>
      <c r="L18" cm="1">
        <f t="array" ref="L18:W18">nabla.f.SumContainsλ(_xlfn.ANCHORARRAY($L$26),_xlfn.ANCHORARRAY($J$26),J18)</f>
        <v>10000</v>
      </c>
      <c r="M18">
        <v>0</v>
      </c>
      <c r="N18">
        <v>50000</v>
      </c>
      <c r="O18">
        <v>0</v>
      </c>
      <c r="P18">
        <v>0</v>
      </c>
      <c r="Q18">
        <v>0</v>
      </c>
      <c r="R18">
        <v>0</v>
      </c>
      <c r="S18">
        <v>0</v>
      </c>
      <c r="T18">
        <v>0</v>
      </c>
      <c r="U18">
        <v>0</v>
      </c>
      <c r="V18">
        <v>0</v>
      </c>
      <c r="W18">
        <v>0</v>
      </c>
    </row>
    <row r="19" spans="1:23" x14ac:dyDescent="0.25">
      <c r="A19" t="s">
        <v>141</v>
      </c>
      <c r="B19">
        <v>12</v>
      </c>
      <c r="C19" t="s">
        <v>146</v>
      </c>
      <c r="J19" t="s">
        <v>344</v>
      </c>
      <c r="L19" cm="1">
        <f t="array" ref="L19:W19">nabla.f.SumContainsλ(_xlfn.ANCHORARRAY($L$26),_xlfn.ANCHORARRAY($J$26),J19)</f>
        <v>4500.03</v>
      </c>
      <c r="M19">
        <v>4699.9399999999996</v>
      </c>
      <c r="N19">
        <v>5297.56</v>
      </c>
      <c r="O19">
        <v>6830.42</v>
      </c>
      <c r="P19">
        <v>7345.46</v>
      </c>
      <c r="Q19">
        <v>6911.2800000000007</v>
      </c>
      <c r="R19">
        <v>6529.6</v>
      </c>
      <c r="S19">
        <v>4195.6280000000006</v>
      </c>
      <c r="T19">
        <v>2901.5003999999999</v>
      </c>
      <c r="U19">
        <v>3068.00432</v>
      </c>
      <c r="V19">
        <v>2955.5572799999959</v>
      </c>
      <c r="W19">
        <v>2230</v>
      </c>
    </row>
    <row r="20" spans="1:23" x14ac:dyDescent="0.25">
      <c r="A20" t="s">
        <v>142</v>
      </c>
      <c r="B20" t="s">
        <v>24</v>
      </c>
      <c r="J20" t="s">
        <v>345</v>
      </c>
      <c r="L20" cm="1">
        <f t="array" ref="L20:W20">nabla.f.SumContainsλ(_xlfn.ANCHORARRAY($L$26),_xlfn.ANCHORARRAY($J$26),J20)</f>
        <v>27499.97</v>
      </c>
      <c r="M20">
        <v>22800.03</v>
      </c>
      <c r="N20">
        <v>67502.47</v>
      </c>
      <c r="O20">
        <v>60672.05</v>
      </c>
      <c r="P20">
        <v>53326.589999999989</v>
      </c>
      <c r="Q20">
        <v>46415.309999999969</v>
      </c>
      <c r="R20">
        <v>39885.709999999955</v>
      </c>
      <c r="S20">
        <v>35690.081999999966</v>
      </c>
      <c r="T20">
        <v>32788.581599999983</v>
      </c>
      <c r="U20">
        <v>29720.57727999999</v>
      </c>
      <c r="V20">
        <v>26765.019999999986</v>
      </c>
      <c r="W20">
        <v>24535.019999999968</v>
      </c>
    </row>
    <row r="21" spans="1:23" x14ac:dyDescent="0.25">
      <c r="J21" t="s">
        <v>346</v>
      </c>
      <c r="L21" cm="1">
        <f t="array" ref="L21:W21">nabla.f.SumContainsλ(_xlfn.ANCHORARRAY($L$26),_xlfn.ANCHORARRAY($J$26),J21)</f>
        <v>0</v>
      </c>
      <c r="M21">
        <v>0</v>
      </c>
      <c r="N21">
        <v>0</v>
      </c>
      <c r="O21">
        <v>0</v>
      </c>
      <c r="P21">
        <v>0</v>
      </c>
      <c r="Q21">
        <v>0</v>
      </c>
      <c r="R21">
        <v>0</v>
      </c>
      <c r="S21">
        <v>1000</v>
      </c>
      <c r="T21">
        <v>0</v>
      </c>
      <c r="U21">
        <v>0</v>
      </c>
      <c r="V21">
        <v>500</v>
      </c>
      <c r="W21">
        <v>0</v>
      </c>
    </row>
    <row r="22" spans="1:23" x14ac:dyDescent="0.25">
      <c r="J22" t="s">
        <v>347</v>
      </c>
      <c r="L22" cm="1">
        <f t="array" ref="L22:W22">nabla.f.SumContainsλ(_xlfn.ANCHORARRAY($L$26),_xlfn.ANCHORARRAY($J$26),J22)</f>
        <v>0</v>
      </c>
      <c r="M22">
        <v>0</v>
      </c>
      <c r="N22">
        <v>0</v>
      </c>
      <c r="O22">
        <v>0</v>
      </c>
      <c r="P22">
        <v>0</v>
      </c>
      <c r="Q22">
        <v>0</v>
      </c>
      <c r="R22">
        <v>0</v>
      </c>
      <c r="S22">
        <v>500</v>
      </c>
      <c r="T22">
        <v>0</v>
      </c>
      <c r="U22">
        <v>0</v>
      </c>
      <c r="V22">
        <v>100</v>
      </c>
      <c r="W22">
        <v>0</v>
      </c>
    </row>
    <row r="23" spans="1:23" ht="20.25" x14ac:dyDescent="0.3">
      <c r="A23" s="295" t="s">
        <v>295</v>
      </c>
      <c r="B23" s="296"/>
      <c r="C23" s="296"/>
      <c r="D23" s="296"/>
      <c r="E23" s="296"/>
      <c r="F23" s="296"/>
      <c r="G23" s="296"/>
      <c r="H23" s="313"/>
    </row>
    <row r="24" spans="1:23" x14ac:dyDescent="0.25">
      <c r="A24" s="309"/>
      <c r="B24" s="310"/>
      <c r="C24" s="310"/>
      <c r="D24" s="310"/>
      <c r="E24" s="310"/>
      <c r="F24" s="310"/>
      <c r="G24" s="310"/>
      <c r="H24" s="310"/>
    </row>
    <row r="25" spans="1:23" ht="30" x14ac:dyDescent="0.25">
      <c r="A25" s="193" t="s">
        <v>296</v>
      </c>
      <c r="B25" s="194" t="s">
        <v>249</v>
      </c>
      <c r="C25" s="194" t="s">
        <v>297</v>
      </c>
      <c r="D25" s="194" t="s">
        <v>306</v>
      </c>
      <c r="E25" s="194" t="s">
        <v>298</v>
      </c>
      <c r="F25" s="194" t="s">
        <v>66</v>
      </c>
      <c r="G25" s="194" t="s">
        <v>307</v>
      </c>
      <c r="H25" s="193" t="s">
        <v>299</v>
      </c>
      <c r="J25" s="190" t="s">
        <v>131</v>
      </c>
      <c r="K25" s="190" t="s">
        <v>276</v>
      </c>
      <c r="L25" s="1" cm="1">
        <f t="array" ref="L25:W25">nabla.d.Timelineλ($B$18, $B$19, $B$20)</f>
        <v>45292</v>
      </c>
      <c r="M25" s="1">
        <v>46388</v>
      </c>
      <c r="N25" s="1">
        <v>46753</v>
      </c>
      <c r="O25" s="1">
        <v>47119</v>
      </c>
      <c r="P25" s="1">
        <v>47484</v>
      </c>
      <c r="Q25" s="1">
        <v>47849</v>
      </c>
      <c r="R25" s="1">
        <v>48214</v>
      </c>
      <c r="S25" s="1">
        <v>48580</v>
      </c>
      <c r="T25" s="1">
        <v>48945</v>
      </c>
      <c r="U25" s="1">
        <v>49310</v>
      </c>
      <c r="V25" s="1">
        <v>49675</v>
      </c>
      <c r="W25" s="1">
        <v>50041</v>
      </c>
    </row>
    <row r="26" spans="1:23" x14ac:dyDescent="0.25">
      <c r="A26" t="s">
        <v>303</v>
      </c>
      <c r="B26" s="195">
        <v>25000</v>
      </c>
      <c r="C26" s="120">
        <v>45658</v>
      </c>
      <c r="D26" s="195">
        <v>8</v>
      </c>
      <c r="E26" s="195">
        <v>1000</v>
      </c>
      <c r="F26" s="120"/>
      <c r="G26" s="195">
        <v>500</v>
      </c>
      <c r="H26" s="120" t="s">
        <v>300</v>
      </c>
      <c r="J26" s="162" t="str" cm="1">
        <f t="array" ref="J26:J45">nabla.f.LabelDepreciateλ(tblAssets11[Asset])</f>
        <v>Cutter CAPEX</v>
      </c>
      <c r="K26" cm="1">
        <f t="array" ref="K26:K45">nabla.f.SumDepreciateλ(_xlfn.ANCHORARRAY(L26))</f>
        <v>0</v>
      </c>
      <c r="L26" s="192" cm="1">
        <f t="array" ref="L26:W45">nabla.f.Depreciateλ(tblAssets11[Amount],tblAssets11[Acquired],tblAssets11[Life],_xlfn.ANCHORARRAY(L25),tblAssets11[Salvage],tblAssets11[Date],tblAssets11[Cost],tblAssets11[Method])</f>
        <v>0</v>
      </c>
      <c r="M26">
        <v>0</v>
      </c>
      <c r="N26">
        <v>0</v>
      </c>
      <c r="O26">
        <v>0</v>
      </c>
      <c r="P26">
        <v>0</v>
      </c>
      <c r="Q26">
        <v>0</v>
      </c>
      <c r="R26">
        <v>0</v>
      </c>
      <c r="S26">
        <v>0</v>
      </c>
      <c r="T26">
        <v>0</v>
      </c>
      <c r="U26">
        <v>0</v>
      </c>
      <c r="V26">
        <v>0</v>
      </c>
      <c r="W26">
        <v>0</v>
      </c>
    </row>
    <row r="27" spans="1:23" x14ac:dyDescent="0.25">
      <c r="A27" t="s">
        <v>304</v>
      </c>
      <c r="B27" s="195">
        <v>10000</v>
      </c>
      <c r="C27" s="120">
        <v>46113</v>
      </c>
      <c r="D27" s="195">
        <v>10</v>
      </c>
      <c r="E27" s="195">
        <v>500</v>
      </c>
      <c r="F27" s="120"/>
      <c r="G27" s="195">
        <v>100</v>
      </c>
      <c r="H27" s="120" t="s">
        <v>301</v>
      </c>
      <c r="J27" t="str">
        <v>Cutter Opening Value</v>
      </c>
      <c r="K27">
        <v>0</v>
      </c>
      <c r="L27">
        <v>22000</v>
      </c>
      <c r="M27">
        <v>19000</v>
      </c>
      <c r="N27">
        <v>16000</v>
      </c>
      <c r="O27">
        <v>13000</v>
      </c>
      <c r="P27">
        <v>10000</v>
      </c>
      <c r="Q27">
        <v>7000</v>
      </c>
      <c r="R27">
        <v>4000</v>
      </c>
      <c r="S27">
        <v>1000</v>
      </c>
      <c r="T27">
        <v>0</v>
      </c>
      <c r="U27">
        <v>0</v>
      </c>
      <c r="V27">
        <v>0</v>
      </c>
      <c r="W27">
        <v>0</v>
      </c>
    </row>
    <row r="28" spans="1:23" x14ac:dyDescent="0.25">
      <c r="A28" t="s">
        <v>305</v>
      </c>
      <c r="B28" s="195">
        <v>50000</v>
      </c>
      <c r="C28" s="196">
        <v>46935</v>
      </c>
      <c r="D28" s="197">
        <v>20</v>
      </c>
      <c r="E28" s="195">
        <v>1000</v>
      </c>
      <c r="F28" s="120"/>
      <c r="G28" s="195">
        <v>250</v>
      </c>
      <c r="H28" s="120" t="s">
        <v>302</v>
      </c>
      <c r="J28" t="str">
        <v>Cutter Depreciation</v>
      </c>
      <c r="K28">
        <v>22000</v>
      </c>
      <c r="L28">
        <v>3000</v>
      </c>
      <c r="M28">
        <v>3000</v>
      </c>
      <c r="N28">
        <v>3000</v>
      </c>
      <c r="O28">
        <v>3000</v>
      </c>
      <c r="P28">
        <v>3000</v>
      </c>
      <c r="Q28">
        <v>3000</v>
      </c>
      <c r="R28">
        <v>3000</v>
      </c>
      <c r="S28">
        <v>1000</v>
      </c>
      <c r="T28">
        <v>0</v>
      </c>
      <c r="U28">
        <v>0</v>
      </c>
      <c r="V28">
        <v>0</v>
      </c>
      <c r="W28">
        <v>0</v>
      </c>
    </row>
    <row r="29" spans="1:23" x14ac:dyDescent="0.25">
      <c r="J29" t="str">
        <v>Cutter Book Value</v>
      </c>
      <c r="K29">
        <v>0</v>
      </c>
      <c r="L29">
        <v>19000</v>
      </c>
      <c r="M29">
        <v>16000</v>
      </c>
      <c r="N29">
        <v>13000</v>
      </c>
      <c r="O29">
        <v>10000</v>
      </c>
      <c r="P29">
        <v>7000</v>
      </c>
      <c r="Q29">
        <v>4000</v>
      </c>
      <c r="R29">
        <v>1000</v>
      </c>
      <c r="S29">
        <v>0</v>
      </c>
      <c r="T29">
        <v>0</v>
      </c>
      <c r="U29">
        <v>0</v>
      </c>
      <c r="V29">
        <v>0</v>
      </c>
      <c r="W29">
        <v>0</v>
      </c>
    </row>
    <row r="30" spans="1:23" x14ac:dyDescent="0.25">
      <c r="J30" t="str">
        <v>Cutter Revenue from Sale</v>
      </c>
      <c r="K30">
        <v>1000</v>
      </c>
      <c r="L30">
        <v>0</v>
      </c>
      <c r="M30">
        <v>0</v>
      </c>
      <c r="N30">
        <v>0</v>
      </c>
      <c r="O30">
        <v>0</v>
      </c>
      <c r="P30">
        <v>0</v>
      </c>
      <c r="Q30">
        <v>0</v>
      </c>
      <c r="R30">
        <v>0</v>
      </c>
      <c r="S30">
        <v>1000</v>
      </c>
      <c r="T30">
        <v>0</v>
      </c>
      <c r="U30">
        <v>0</v>
      </c>
      <c r="V30">
        <v>0</v>
      </c>
      <c r="W30">
        <v>0</v>
      </c>
    </row>
    <row r="31" spans="1:23" x14ac:dyDescent="0.25">
      <c r="J31" t="str">
        <v>Cutter Disposal Costs</v>
      </c>
      <c r="K31">
        <v>500</v>
      </c>
      <c r="L31">
        <v>0</v>
      </c>
      <c r="M31">
        <v>0</v>
      </c>
      <c r="N31">
        <v>0</v>
      </c>
      <c r="O31">
        <v>0</v>
      </c>
      <c r="P31">
        <v>0</v>
      </c>
      <c r="Q31">
        <v>0</v>
      </c>
      <c r="R31">
        <v>0</v>
      </c>
      <c r="S31">
        <v>500</v>
      </c>
      <c r="T31">
        <v>0</v>
      </c>
      <c r="U31">
        <v>0</v>
      </c>
      <c r="V31">
        <v>0</v>
      </c>
      <c r="W31">
        <v>0</v>
      </c>
    </row>
    <row r="32" spans="1:23" x14ac:dyDescent="0.25">
      <c r="J32" t="str">
        <v/>
      </c>
      <c r="K32">
        <v>0</v>
      </c>
      <c r="L32" t="str">
        <v/>
      </c>
      <c r="M32" t="str">
        <v/>
      </c>
      <c r="N32" t="str">
        <v/>
      </c>
      <c r="O32" t="str">
        <v/>
      </c>
      <c r="P32" t="str">
        <v/>
      </c>
      <c r="Q32" t="str">
        <v/>
      </c>
      <c r="R32" t="str">
        <v/>
      </c>
      <c r="S32" t="str">
        <v/>
      </c>
      <c r="T32" t="str">
        <v/>
      </c>
      <c r="U32" t="str">
        <v/>
      </c>
      <c r="V32" t="str">
        <v/>
      </c>
      <c r="W32" t="str">
        <v/>
      </c>
    </row>
    <row r="33" spans="10:23" x14ac:dyDescent="0.25">
      <c r="J33" t="str">
        <v>Press CAPEX</v>
      </c>
      <c r="K33">
        <v>10000</v>
      </c>
      <c r="L33">
        <v>10000</v>
      </c>
      <c r="M33">
        <v>0</v>
      </c>
      <c r="N33">
        <v>0</v>
      </c>
      <c r="O33">
        <v>0</v>
      </c>
      <c r="P33">
        <v>0</v>
      </c>
      <c r="Q33">
        <v>0</v>
      </c>
      <c r="R33">
        <v>0</v>
      </c>
      <c r="S33">
        <v>0</v>
      </c>
      <c r="T33">
        <v>0</v>
      </c>
      <c r="U33">
        <v>0</v>
      </c>
      <c r="V33">
        <v>0</v>
      </c>
      <c r="W33">
        <v>0</v>
      </c>
    </row>
    <row r="34" spans="10:23" x14ac:dyDescent="0.25">
      <c r="J34" t="str">
        <v>Press Opening Value</v>
      </c>
      <c r="K34">
        <v>0</v>
      </c>
      <c r="L34">
        <v>10000</v>
      </c>
      <c r="M34">
        <v>8499.9699999999993</v>
      </c>
      <c r="N34">
        <v>6800.03</v>
      </c>
      <c r="O34">
        <v>5439.9699999999993</v>
      </c>
      <c r="P34">
        <v>4352.03</v>
      </c>
      <c r="Q34">
        <v>3481.57</v>
      </c>
      <c r="R34">
        <v>2785.3099999999986</v>
      </c>
      <c r="S34">
        <v>2228.2299999999973</v>
      </c>
      <c r="T34">
        <v>1782.6019999999967</v>
      </c>
      <c r="U34">
        <v>1426.0815999999959</v>
      </c>
      <c r="V34">
        <v>710.55727999999499</v>
      </c>
      <c r="W34">
        <v>0</v>
      </c>
    </row>
    <row r="35" spans="10:23" x14ac:dyDescent="0.25">
      <c r="J35" t="str">
        <v>Press Depreciation</v>
      </c>
      <c r="K35">
        <v>9999.9999999999982</v>
      </c>
      <c r="L35">
        <v>1500.03</v>
      </c>
      <c r="M35">
        <v>1699.9399999999996</v>
      </c>
      <c r="N35">
        <v>1360.0600000000002</v>
      </c>
      <c r="O35">
        <v>1087.9400000000005</v>
      </c>
      <c r="P35">
        <v>870.45999999999992</v>
      </c>
      <c r="Q35">
        <v>696.26000000000056</v>
      </c>
      <c r="R35">
        <v>557.08000000000038</v>
      </c>
      <c r="S35">
        <v>445.62800000000027</v>
      </c>
      <c r="T35">
        <v>356.52040000000034</v>
      </c>
      <c r="U35">
        <v>715.52432000000044</v>
      </c>
      <c r="V35">
        <v>710.55727999999601</v>
      </c>
      <c r="W35">
        <v>0</v>
      </c>
    </row>
    <row r="36" spans="10:23" x14ac:dyDescent="0.25">
      <c r="J36" t="str">
        <v>Press Book Value</v>
      </c>
      <c r="K36">
        <v>0</v>
      </c>
      <c r="L36">
        <v>8499.9699999999993</v>
      </c>
      <c r="M36">
        <v>6800.03</v>
      </c>
      <c r="N36">
        <v>5439.9699999999993</v>
      </c>
      <c r="O36">
        <v>4352.0299999999988</v>
      </c>
      <c r="P36">
        <v>3481.5699999999997</v>
      </c>
      <c r="Q36">
        <v>2785.3099999999995</v>
      </c>
      <c r="R36">
        <v>2228.2299999999982</v>
      </c>
      <c r="S36">
        <v>1782.6019999999971</v>
      </c>
      <c r="T36">
        <v>1426.0815999999963</v>
      </c>
      <c r="U36">
        <v>710.55727999999544</v>
      </c>
      <c r="V36">
        <v>-1.0231815394945443E-12</v>
      </c>
      <c r="W36">
        <v>0</v>
      </c>
    </row>
    <row r="37" spans="10:23" x14ac:dyDescent="0.25">
      <c r="J37" t="str">
        <v>Press Revenue from Sale</v>
      </c>
      <c r="K37">
        <v>500</v>
      </c>
      <c r="L37">
        <v>0</v>
      </c>
      <c r="M37">
        <v>0</v>
      </c>
      <c r="N37">
        <v>0</v>
      </c>
      <c r="O37">
        <v>0</v>
      </c>
      <c r="P37">
        <v>0</v>
      </c>
      <c r="Q37">
        <v>0</v>
      </c>
      <c r="R37">
        <v>0</v>
      </c>
      <c r="S37">
        <v>0</v>
      </c>
      <c r="T37">
        <v>0</v>
      </c>
      <c r="U37">
        <v>0</v>
      </c>
      <c r="V37">
        <v>500</v>
      </c>
      <c r="W37">
        <v>0</v>
      </c>
    </row>
    <row r="38" spans="10:23" x14ac:dyDescent="0.25">
      <c r="J38" t="str">
        <v>Press Disposal Costs</v>
      </c>
      <c r="K38">
        <v>100</v>
      </c>
      <c r="L38">
        <v>0</v>
      </c>
      <c r="M38">
        <v>0</v>
      </c>
      <c r="N38">
        <v>0</v>
      </c>
      <c r="O38">
        <v>0</v>
      </c>
      <c r="P38">
        <v>0</v>
      </c>
      <c r="Q38">
        <v>0</v>
      </c>
      <c r="R38">
        <v>0</v>
      </c>
      <c r="S38">
        <v>0</v>
      </c>
      <c r="T38">
        <v>0</v>
      </c>
      <c r="U38">
        <v>0</v>
      </c>
      <c r="V38">
        <v>100</v>
      </c>
      <c r="W38">
        <v>0</v>
      </c>
    </row>
    <row r="39" spans="10:23" x14ac:dyDescent="0.25">
      <c r="J39" t="str">
        <v/>
      </c>
      <c r="K39">
        <v>0</v>
      </c>
      <c r="L39" t="str">
        <v/>
      </c>
      <c r="M39" t="str">
        <v/>
      </c>
      <c r="N39" t="str">
        <v/>
      </c>
      <c r="O39" t="str">
        <v/>
      </c>
      <c r="P39" t="str">
        <v/>
      </c>
      <c r="Q39" t="str">
        <v/>
      </c>
      <c r="R39" t="str">
        <v/>
      </c>
      <c r="S39" t="str">
        <v/>
      </c>
      <c r="T39" t="str">
        <v/>
      </c>
      <c r="U39" t="str">
        <v/>
      </c>
      <c r="V39" t="str">
        <v/>
      </c>
      <c r="W39" t="str">
        <v/>
      </c>
    </row>
    <row r="40" spans="10:23" x14ac:dyDescent="0.25">
      <c r="J40" t="str">
        <v>CNC CAPEX</v>
      </c>
      <c r="K40">
        <v>50000</v>
      </c>
      <c r="L40">
        <v>0</v>
      </c>
      <c r="M40">
        <v>0</v>
      </c>
      <c r="N40">
        <v>50000</v>
      </c>
      <c r="O40">
        <v>0</v>
      </c>
      <c r="P40">
        <v>0</v>
      </c>
      <c r="Q40">
        <v>0</v>
      </c>
      <c r="R40">
        <v>0</v>
      </c>
      <c r="S40">
        <v>0</v>
      </c>
      <c r="T40">
        <v>0</v>
      </c>
      <c r="U40">
        <v>0</v>
      </c>
      <c r="V40">
        <v>0</v>
      </c>
      <c r="W40">
        <v>0</v>
      </c>
    </row>
    <row r="41" spans="10:23" x14ac:dyDescent="0.25">
      <c r="J41" t="str">
        <v>CNC Opening Value</v>
      </c>
      <c r="K41">
        <v>0</v>
      </c>
      <c r="L41">
        <v>0</v>
      </c>
      <c r="M41">
        <v>0</v>
      </c>
      <c r="N41">
        <v>50000</v>
      </c>
      <c r="O41">
        <v>49062.5</v>
      </c>
      <c r="P41">
        <v>46320.01999999999</v>
      </c>
      <c r="Q41">
        <v>42845.019999999968</v>
      </c>
      <c r="R41">
        <v>39629.999999999956</v>
      </c>
      <c r="S41">
        <v>36657.479999999967</v>
      </c>
      <c r="T41">
        <v>33907.479999999989</v>
      </c>
      <c r="U41">
        <v>31362.499999999996</v>
      </c>
      <c r="V41">
        <v>29010.019999999986</v>
      </c>
      <c r="W41">
        <v>26765.019999999968</v>
      </c>
    </row>
    <row r="42" spans="10:23" x14ac:dyDescent="0.25">
      <c r="J42" t="str">
        <v>CNC Depreciation</v>
      </c>
      <c r="K42">
        <v>25464.98</v>
      </c>
      <c r="L42">
        <v>0</v>
      </c>
      <c r="M42">
        <v>0</v>
      </c>
      <c r="N42">
        <v>937.5</v>
      </c>
      <c r="O42">
        <v>2742.4799999999996</v>
      </c>
      <c r="P42">
        <v>3475</v>
      </c>
      <c r="Q42">
        <v>3215.0200000000004</v>
      </c>
      <c r="R42">
        <v>2972.52</v>
      </c>
      <c r="S42">
        <v>2750</v>
      </c>
      <c r="T42">
        <v>2544.9799999999996</v>
      </c>
      <c r="U42">
        <v>2352.4799999999996</v>
      </c>
      <c r="V42">
        <v>2245</v>
      </c>
      <c r="W42">
        <v>2230</v>
      </c>
    </row>
    <row r="43" spans="10:23" x14ac:dyDescent="0.25">
      <c r="J43" t="str">
        <v>CNC Book Value</v>
      </c>
      <c r="K43">
        <v>0</v>
      </c>
      <c r="L43">
        <v>0</v>
      </c>
      <c r="M43">
        <v>0</v>
      </c>
      <c r="N43">
        <v>49062.5</v>
      </c>
      <c r="O43">
        <v>46320.020000000004</v>
      </c>
      <c r="P43">
        <v>42845.01999999999</v>
      </c>
      <c r="Q43">
        <v>39629.999999999971</v>
      </c>
      <c r="R43">
        <v>36657.47999999996</v>
      </c>
      <c r="S43">
        <v>33907.479999999967</v>
      </c>
      <c r="T43">
        <v>31362.499999999989</v>
      </c>
      <c r="U43">
        <v>29010.019999999997</v>
      </c>
      <c r="V43">
        <v>26765.019999999986</v>
      </c>
      <c r="W43">
        <v>24535.019999999968</v>
      </c>
    </row>
    <row r="44" spans="10:23" x14ac:dyDescent="0.25">
      <c r="J44" t="str">
        <v>CNC Revenue from Sale</v>
      </c>
      <c r="K44">
        <v>0</v>
      </c>
      <c r="L44">
        <v>0</v>
      </c>
      <c r="M44">
        <v>0</v>
      </c>
      <c r="N44">
        <v>0</v>
      </c>
      <c r="O44">
        <v>0</v>
      </c>
      <c r="P44">
        <v>0</v>
      </c>
      <c r="Q44">
        <v>0</v>
      </c>
      <c r="R44">
        <v>0</v>
      </c>
      <c r="S44">
        <v>0</v>
      </c>
      <c r="T44">
        <v>0</v>
      </c>
      <c r="U44">
        <v>0</v>
      </c>
      <c r="V44">
        <v>0</v>
      </c>
      <c r="W44">
        <v>0</v>
      </c>
    </row>
    <row r="45" spans="10:23" x14ac:dyDescent="0.25">
      <c r="J45" t="str">
        <v>CNC Disposal Costs</v>
      </c>
      <c r="K45">
        <v>0</v>
      </c>
      <c r="L45">
        <v>0</v>
      </c>
      <c r="M45">
        <v>0</v>
      </c>
      <c r="N45">
        <v>0</v>
      </c>
      <c r="O45">
        <v>0</v>
      </c>
      <c r="P45">
        <v>0</v>
      </c>
      <c r="Q45">
        <v>0</v>
      </c>
      <c r="R45">
        <v>0</v>
      </c>
      <c r="S45">
        <v>0</v>
      </c>
      <c r="T45">
        <v>0</v>
      </c>
      <c r="U45">
        <v>0</v>
      </c>
      <c r="V45">
        <v>0</v>
      </c>
      <c r="W45">
        <v>0</v>
      </c>
    </row>
  </sheetData>
  <mergeCells count="6">
    <mergeCell ref="A24:H24"/>
    <mergeCell ref="A1:Q1"/>
    <mergeCell ref="A2:Q2"/>
    <mergeCell ref="M4:T13"/>
    <mergeCell ref="A15:C15"/>
    <mergeCell ref="A23:H23"/>
  </mergeCells>
  <dataValidations count="1">
    <dataValidation type="list" allowBlank="1" showInputMessage="1" showErrorMessage="1" sqref="H26:H28" xr:uid="{11DA3A2C-0238-4F2E-B8CF-B4DFFD7A1648}">
      <formula1>INDIRECT("tblMethods[Method]")</formula1>
    </dataValidation>
  </dataValidations>
  <hyperlinks>
    <hyperlink ref="A1" location="'TOC'!$A$1" display="'TOC'!$A$1" xr:uid="{245CC529-629A-4123-83B6-D05B7B0F32A1}"/>
  </hyperlinks>
  <pageMargins left="0.7" right="0.7" top="0.75" bottom="0.75" header="0.3" footer="0.3"/>
  <customProperties>
    <customPr name="Description" r:id="rId1"/>
  </customProperties>
  <drawing r:id="rId2"/>
  <tableParts count="1">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6B94E-6A29-4CB9-A810-E65D43789BC2}">
  <sheetPr codeName="Sheet4">
    <tabColor rgb="FF157A5F"/>
  </sheetPr>
  <dimension ref="A1:W45"/>
  <sheetViews>
    <sheetView showGridLines="0" workbookViewId="0">
      <selection activeCell="A1" sqref="A1"/>
    </sheetView>
  </sheetViews>
  <sheetFormatPr defaultRowHeight="15" x14ac:dyDescent="0.25"/>
  <cols>
    <col min="1" max="1" width="13.140625" bestFit="1" customWidth="1"/>
    <col min="2" max="2" width="10.42578125" customWidth="1"/>
    <col min="6" max="6" width="4.85546875" bestFit="1" customWidth="1"/>
    <col min="7" max="7" width="4.7109375" bestFit="1" customWidth="1"/>
    <col min="10" max="10" width="22.140625" bestFit="1" customWidth="1"/>
    <col min="11" max="11" width="15.7109375" customWidth="1"/>
    <col min="12" max="12" width="10.140625" bestFit="1" customWidth="1"/>
    <col min="13" max="13" width="10.28515625" bestFit="1" customWidth="1"/>
    <col min="14" max="14" width="10.7109375" bestFit="1" customWidth="1"/>
    <col min="15" max="15" width="10.28515625" bestFit="1" customWidth="1"/>
    <col min="16" max="16" width="11.140625" bestFit="1" customWidth="1"/>
    <col min="17" max="17" width="10.28515625" bestFit="1" customWidth="1"/>
    <col min="18" max="18" width="10.140625" bestFit="1" customWidth="1"/>
    <col min="19" max="19" width="10.7109375" bestFit="1" customWidth="1"/>
    <col min="20" max="20" width="10.42578125" bestFit="1" customWidth="1"/>
    <col min="21" max="21" width="10.28515625" bestFit="1" customWidth="1"/>
    <col min="22" max="22" width="10.7109375" bestFit="1" customWidth="1"/>
    <col min="23" max="23" width="10.42578125" bestFit="1" customWidth="1"/>
  </cols>
  <sheetData>
    <row r="1" spans="1:20" ht="45.75" x14ac:dyDescent="0.65">
      <c r="A1" s="270" t="str">
        <f>_xlfn.TEXTAFTER(CELL("filename",A1),"]")</f>
        <v>nabla.f.SumDepreciateλ</v>
      </c>
      <c r="B1" s="270"/>
      <c r="C1" s="270"/>
      <c r="D1" s="270"/>
      <c r="E1" s="270"/>
      <c r="F1" s="270"/>
      <c r="G1" s="270"/>
      <c r="H1" s="270"/>
      <c r="I1" s="270"/>
      <c r="J1" s="270"/>
      <c r="K1" s="270"/>
      <c r="L1" s="270"/>
      <c r="M1" s="270"/>
      <c r="N1" s="270"/>
      <c r="O1" s="270"/>
      <c r="P1" s="270"/>
      <c r="Q1" s="270"/>
    </row>
    <row r="2" spans="1:20" x14ac:dyDescent="0.25">
      <c r="A2" s="273" t="s">
        <v>368</v>
      </c>
      <c r="B2" s="311"/>
      <c r="C2" s="311"/>
      <c r="D2" s="311"/>
      <c r="E2" s="311"/>
      <c r="F2" s="311"/>
      <c r="G2" s="311"/>
      <c r="H2" s="311"/>
      <c r="I2" s="311"/>
      <c r="J2" s="311"/>
      <c r="K2" s="311"/>
      <c r="L2" s="311"/>
      <c r="M2" s="311"/>
      <c r="N2" s="311"/>
      <c r="O2" s="311"/>
      <c r="P2" s="311"/>
      <c r="Q2" s="312"/>
    </row>
    <row r="3" spans="1:20" x14ac:dyDescent="0.25">
      <c r="A3" s="104"/>
      <c r="B3" s="104"/>
      <c r="C3" s="104"/>
      <c r="D3" s="104"/>
      <c r="E3" s="104"/>
      <c r="F3" s="104"/>
      <c r="G3" s="104"/>
      <c r="H3" s="104"/>
      <c r="I3" s="104"/>
      <c r="J3" s="104"/>
      <c r="K3" s="104"/>
      <c r="L3" s="104"/>
      <c r="M3" s="104"/>
      <c r="N3" s="104"/>
      <c r="O3" s="104"/>
      <c r="P3" s="104"/>
      <c r="Q3" s="104"/>
    </row>
    <row r="4" spans="1:20" x14ac:dyDescent="0.25">
      <c r="A4" s="162" t="str" cm="1">
        <f t="array" ref="A4:B13">nabla.f.SumDepreciateλ()</f>
        <v>FUNCTION:</v>
      </c>
      <c r="B4" t="str">
        <v>SumDepreciateλ(DepreciationSchedule)</v>
      </c>
      <c r="M4" s="316"/>
      <c r="N4" s="316"/>
      <c r="O4" s="316"/>
      <c r="P4" s="316"/>
      <c r="Q4" s="316"/>
      <c r="R4" s="316"/>
      <c r="S4" s="316"/>
      <c r="T4" s="316"/>
    </row>
    <row r="5" spans="1:20" x14ac:dyDescent="0.25">
      <c r="A5" t="str">
        <v>DESCRIPTION:</v>
      </c>
      <c r="B5" t="str">
        <v>Create row totals for Depreciateλ</v>
      </c>
      <c r="M5" s="316"/>
      <c r="N5" s="316"/>
      <c r="O5" s="316"/>
      <c r="P5" s="316"/>
      <c r="Q5" s="316"/>
      <c r="R5" s="316"/>
      <c r="S5" s="316"/>
      <c r="T5" s="316"/>
    </row>
    <row r="6" spans="1:20" x14ac:dyDescent="0.25">
      <c r="A6" t="str">
        <v>WEBPAGE:</v>
      </c>
      <c r="B6" t="str">
        <v>https://github.com/ryanduguid/Nabla</v>
      </c>
      <c r="M6" s="316"/>
      <c r="N6" s="316"/>
      <c r="O6" s="316"/>
      <c r="P6" s="316"/>
      <c r="Q6" s="316"/>
      <c r="R6" s="316"/>
      <c r="S6" s="316"/>
      <c r="T6" s="316"/>
    </row>
    <row r="7" spans="1:20" x14ac:dyDescent="0.25">
      <c r="A7" t="str">
        <v>VERSION:</v>
      </c>
      <c r="B7" t="str">
        <v>18 Aug 2026</v>
      </c>
      <c r="K7" s="233"/>
      <c r="L7" s="233"/>
      <c r="M7" s="316"/>
      <c r="N7" s="316"/>
      <c r="O7" s="316"/>
      <c r="P7" s="316"/>
      <c r="Q7" s="316"/>
      <c r="R7" s="316"/>
      <c r="S7" s="316"/>
      <c r="T7" s="316"/>
    </row>
    <row r="8" spans="1:20" x14ac:dyDescent="0.25">
      <c r="A8" t="str">
        <v>PARAMETERS:</v>
      </c>
      <c r="B8" t="str">
        <v/>
      </c>
      <c r="K8" s="233"/>
      <c r="L8" s="233"/>
      <c r="M8" s="316"/>
      <c r="N8" s="316"/>
      <c r="O8" s="316"/>
      <c r="P8" s="316"/>
      <c r="Q8" s="316"/>
      <c r="R8" s="316"/>
      <c r="S8" s="316"/>
      <c r="T8" s="316"/>
    </row>
    <row r="9" spans="1:20" x14ac:dyDescent="0.25">
      <c r="A9" t="str">
        <v>DepreciationSchedule</v>
      </c>
      <c r="B9" t="str">
        <v>(Required) An array produced by Depreciateλ</v>
      </c>
      <c r="K9" s="233"/>
      <c r="L9" s="233"/>
      <c r="M9" s="316"/>
      <c r="N9" s="316"/>
      <c r="O9" s="316"/>
      <c r="P9" s="316"/>
      <c r="Q9" s="316"/>
      <c r="R9" s="316"/>
      <c r="S9" s="316"/>
      <c r="T9" s="316"/>
    </row>
    <row r="10" spans="1:20" x14ac:dyDescent="0.25">
      <c r="A10" t="str">
        <v/>
      </c>
      <c r="B10" t="str">
        <v/>
      </c>
      <c r="K10" s="233"/>
      <c r="L10" s="233"/>
      <c r="M10" s="316"/>
      <c r="N10" s="316"/>
      <c r="O10" s="316"/>
      <c r="P10" s="316"/>
      <c r="Q10" s="316"/>
      <c r="R10" s="316"/>
      <c r="S10" s="316"/>
      <c r="T10" s="316"/>
    </row>
    <row r="11" spans="1:20" x14ac:dyDescent="0.25">
      <c r="A11" t="str">
        <v>EXAMPLES:</v>
      </c>
      <c r="B11" t="str">
        <v/>
      </c>
      <c r="K11" s="233"/>
      <c r="L11" s="233"/>
      <c r="M11" s="316"/>
      <c r="N11" s="316"/>
      <c r="O11" s="316"/>
      <c r="P11" s="316"/>
      <c r="Q11" s="316"/>
      <c r="R11" s="316"/>
      <c r="S11" s="316"/>
      <c r="T11" s="316"/>
    </row>
    <row r="12" spans="1:20" x14ac:dyDescent="0.25">
      <c r="A12" t="str">
        <v>Result</v>
      </c>
      <c r="B12" t="str">
        <v>Formula (nabla.f is assumed to be the module's name)</v>
      </c>
      <c r="K12" s="233"/>
      <c r="L12" s="233"/>
      <c r="M12" s="316"/>
      <c r="N12" s="316"/>
      <c r="O12" s="316"/>
      <c r="P12" s="316"/>
      <c r="Q12" s="316"/>
      <c r="R12" s="316"/>
      <c r="S12" s="316"/>
      <c r="T12" s="316"/>
    </row>
    <row r="13" spans="1:20" x14ac:dyDescent="0.25">
      <c r="A13" t="str">
        <v/>
      </c>
      <c r="B13" t="str">
        <v>=nabla.f.SumDepreciateλ(DepreciationSchedule)</v>
      </c>
      <c r="K13" s="233"/>
      <c r="L13" s="233"/>
      <c r="M13" s="316"/>
      <c r="N13" s="316"/>
      <c r="O13" s="316"/>
      <c r="P13" s="316"/>
      <c r="Q13" s="316"/>
      <c r="R13" s="316"/>
      <c r="S13" s="316"/>
      <c r="T13" s="316"/>
    </row>
    <row r="15" spans="1:20" ht="20.25" x14ac:dyDescent="0.3">
      <c r="A15" s="302" t="s">
        <v>272</v>
      </c>
      <c r="B15" s="302"/>
      <c r="C15" s="302"/>
      <c r="J15" s="2" t="s">
        <v>289</v>
      </c>
    </row>
    <row r="17" spans="1:23" x14ac:dyDescent="0.25">
      <c r="A17" s="161" t="s">
        <v>273</v>
      </c>
      <c r="B17" s="161" t="s">
        <v>138</v>
      </c>
      <c r="C17" s="161" t="s">
        <v>139</v>
      </c>
      <c r="J17" s="190" t="s">
        <v>131</v>
      </c>
      <c r="K17" s="190" t="s">
        <v>276</v>
      </c>
      <c r="L17" s="1" cm="1">
        <f t="array" ref="L17:W17">nabla.d.Timelineλ($B$18, $B$19, $B$20)</f>
        <v>45292</v>
      </c>
      <c r="M17" s="1">
        <v>46388</v>
      </c>
      <c r="N17" s="1">
        <v>46753</v>
      </c>
      <c r="O17" s="1">
        <v>47119</v>
      </c>
      <c r="P17" s="1">
        <v>47484</v>
      </c>
      <c r="Q17" s="1">
        <v>47849</v>
      </c>
      <c r="R17" s="1">
        <v>48214</v>
      </c>
      <c r="S17" s="1">
        <v>48580</v>
      </c>
      <c r="T17" s="1">
        <v>48945</v>
      </c>
      <c r="U17" s="1">
        <v>49310</v>
      </c>
      <c r="V17" s="1">
        <v>49675</v>
      </c>
      <c r="W17" s="1">
        <v>50041</v>
      </c>
    </row>
    <row r="18" spans="1:23" x14ac:dyDescent="0.25">
      <c r="A18" t="s">
        <v>236</v>
      </c>
      <c r="B18" s="141">
        <v>46023</v>
      </c>
      <c r="C18" t="s">
        <v>145</v>
      </c>
      <c r="J18" t="s">
        <v>343</v>
      </c>
      <c r="L18" cm="1">
        <f t="array" ref="L18:W18">nabla.f.SumContainsλ(_xlfn.ANCHORARRAY($L$26),_xlfn.ANCHORARRAY($J$26),J18)</f>
        <v>10000</v>
      </c>
      <c r="M18">
        <v>0</v>
      </c>
      <c r="N18">
        <v>50000</v>
      </c>
      <c r="O18">
        <v>0</v>
      </c>
      <c r="P18">
        <v>0</v>
      </c>
      <c r="Q18">
        <v>0</v>
      </c>
      <c r="R18">
        <v>0</v>
      </c>
      <c r="S18">
        <v>0</v>
      </c>
      <c r="T18">
        <v>0</v>
      </c>
      <c r="U18">
        <v>0</v>
      </c>
      <c r="V18">
        <v>0</v>
      </c>
      <c r="W18">
        <v>0</v>
      </c>
    </row>
    <row r="19" spans="1:23" x14ac:dyDescent="0.25">
      <c r="A19" t="s">
        <v>141</v>
      </c>
      <c r="B19">
        <v>12</v>
      </c>
      <c r="C19" t="s">
        <v>146</v>
      </c>
      <c r="J19" t="s">
        <v>344</v>
      </c>
      <c r="L19" cm="1">
        <f t="array" ref="L19:W19">nabla.f.SumContainsλ(_xlfn.ANCHORARRAY($L$26),_xlfn.ANCHORARRAY($J$26),J19)</f>
        <v>4500.03</v>
      </c>
      <c r="M19">
        <v>4699.9399999999996</v>
      </c>
      <c r="N19">
        <v>5297.56</v>
      </c>
      <c r="O19">
        <v>6830.42</v>
      </c>
      <c r="P19">
        <v>7345.46</v>
      </c>
      <c r="Q19">
        <v>6911.2800000000007</v>
      </c>
      <c r="R19">
        <v>6529.6</v>
      </c>
      <c r="S19">
        <v>4195.6280000000006</v>
      </c>
      <c r="T19">
        <v>2901.5003999999999</v>
      </c>
      <c r="U19">
        <v>3068.00432</v>
      </c>
      <c r="V19">
        <v>2955.5572799999959</v>
      </c>
      <c r="W19">
        <v>2230</v>
      </c>
    </row>
    <row r="20" spans="1:23" x14ac:dyDescent="0.25">
      <c r="A20" t="s">
        <v>142</v>
      </c>
      <c r="B20" t="s">
        <v>24</v>
      </c>
      <c r="J20" t="s">
        <v>345</v>
      </c>
      <c r="L20" cm="1">
        <f t="array" ref="L20:W20">nabla.f.SumContainsλ(_xlfn.ANCHORARRAY($L$26),_xlfn.ANCHORARRAY($J$26),J20)</f>
        <v>27499.97</v>
      </c>
      <c r="M20">
        <v>22800.03</v>
      </c>
      <c r="N20">
        <v>67502.47</v>
      </c>
      <c r="O20">
        <v>60672.05</v>
      </c>
      <c r="P20">
        <v>53326.589999999989</v>
      </c>
      <c r="Q20">
        <v>46415.309999999969</v>
      </c>
      <c r="R20">
        <v>39885.709999999955</v>
      </c>
      <c r="S20">
        <v>35690.081999999966</v>
      </c>
      <c r="T20">
        <v>32788.581599999983</v>
      </c>
      <c r="U20">
        <v>29720.57727999999</v>
      </c>
      <c r="V20">
        <v>26765.019999999986</v>
      </c>
      <c r="W20">
        <v>24535.019999999968</v>
      </c>
    </row>
    <row r="21" spans="1:23" x14ac:dyDescent="0.25">
      <c r="J21" t="s">
        <v>346</v>
      </c>
      <c r="L21" cm="1">
        <f t="array" ref="L21:W21">nabla.f.SumContainsλ(_xlfn.ANCHORARRAY($L$26),_xlfn.ANCHORARRAY($J$26),J21)</f>
        <v>0</v>
      </c>
      <c r="M21">
        <v>0</v>
      </c>
      <c r="N21">
        <v>0</v>
      </c>
      <c r="O21">
        <v>0</v>
      </c>
      <c r="P21">
        <v>0</v>
      </c>
      <c r="Q21">
        <v>0</v>
      </c>
      <c r="R21">
        <v>0</v>
      </c>
      <c r="S21">
        <v>1000</v>
      </c>
      <c r="T21">
        <v>0</v>
      </c>
      <c r="U21">
        <v>0</v>
      </c>
      <c r="V21">
        <v>500</v>
      </c>
      <c r="W21">
        <v>0</v>
      </c>
    </row>
    <row r="22" spans="1:23" x14ac:dyDescent="0.25">
      <c r="J22" t="s">
        <v>347</v>
      </c>
      <c r="L22" cm="1">
        <f t="array" ref="L22:W22">nabla.f.SumContainsλ(_xlfn.ANCHORARRAY($L$26),_xlfn.ANCHORARRAY($J$26),J22)</f>
        <v>0</v>
      </c>
      <c r="M22">
        <v>0</v>
      </c>
      <c r="N22">
        <v>0</v>
      </c>
      <c r="O22">
        <v>0</v>
      </c>
      <c r="P22">
        <v>0</v>
      </c>
      <c r="Q22">
        <v>0</v>
      </c>
      <c r="R22">
        <v>0</v>
      </c>
      <c r="S22">
        <v>500</v>
      </c>
      <c r="T22">
        <v>0</v>
      </c>
      <c r="U22">
        <v>0</v>
      </c>
      <c r="V22">
        <v>100</v>
      </c>
      <c r="W22">
        <v>0</v>
      </c>
    </row>
    <row r="23" spans="1:23" ht="20.25" x14ac:dyDescent="0.3">
      <c r="A23" s="295" t="s">
        <v>295</v>
      </c>
      <c r="B23" s="296"/>
      <c r="C23" s="296"/>
      <c r="D23" s="296"/>
      <c r="E23" s="296"/>
      <c r="F23" s="296"/>
      <c r="G23" s="296"/>
      <c r="H23" s="313"/>
    </row>
    <row r="24" spans="1:23" x14ac:dyDescent="0.25">
      <c r="A24" s="309"/>
      <c r="B24" s="310"/>
      <c r="C24" s="310"/>
      <c r="D24" s="310"/>
      <c r="E24" s="310"/>
      <c r="F24" s="310"/>
      <c r="G24" s="310"/>
      <c r="H24" s="310"/>
    </row>
    <row r="25" spans="1:23" ht="30" x14ac:dyDescent="0.25">
      <c r="A25" s="193" t="s">
        <v>296</v>
      </c>
      <c r="B25" s="194" t="s">
        <v>249</v>
      </c>
      <c r="C25" s="194" t="s">
        <v>297</v>
      </c>
      <c r="D25" s="194" t="s">
        <v>306</v>
      </c>
      <c r="E25" s="194" t="s">
        <v>298</v>
      </c>
      <c r="F25" s="194" t="s">
        <v>66</v>
      </c>
      <c r="G25" s="194" t="s">
        <v>307</v>
      </c>
      <c r="H25" s="193" t="s">
        <v>299</v>
      </c>
      <c r="J25" s="190" t="s">
        <v>131</v>
      </c>
      <c r="K25" s="190" t="s">
        <v>276</v>
      </c>
      <c r="L25" s="1" cm="1">
        <f t="array" ref="L25:W25">nabla.d.Timelineλ($B$18, $B$19, $B$20)</f>
        <v>45292</v>
      </c>
      <c r="M25" s="1">
        <v>46388</v>
      </c>
      <c r="N25" s="1">
        <v>46753</v>
      </c>
      <c r="O25" s="1">
        <v>47119</v>
      </c>
      <c r="P25" s="1">
        <v>47484</v>
      </c>
      <c r="Q25" s="1">
        <v>47849</v>
      </c>
      <c r="R25" s="1">
        <v>48214</v>
      </c>
      <c r="S25" s="1">
        <v>48580</v>
      </c>
      <c r="T25" s="1">
        <v>48945</v>
      </c>
      <c r="U25" s="1">
        <v>49310</v>
      </c>
      <c r="V25" s="1">
        <v>49675</v>
      </c>
      <c r="W25" s="1">
        <v>50041</v>
      </c>
    </row>
    <row r="26" spans="1:23" x14ac:dyDescent="0.25">
      <c r="A26" t="s">
        <v>303</v>
      </c>
      <c r="B26" s="195">
        <v>25000</v>
      </c>
      <c r="C26" s="120">
        <v>45658</v>
      </c>
      <c r="D26" s="195">
        <v>8</v>
      </c>
      <c r="E26" s="195">
        <v>1000</v>
      </c>
      <c r="F26" s="120"/>
      <c r="G26" s="195">
        <v>500</v>
      </c>
      <c r="H26" s="120" t="s">
        <v>300</v>
      </c>
      <c r="J26" s="192" t="str" cm="1">
        <f t="array" ref="J26:J45">nabla.f.LabelDepreciateλ(tblAssets1112[Asset])</f>
        <v>Cutter CAPEX</v>
      </c>
      <c r="K26" s="162" cm="1">
        <f t="array" ref="K26:K45">nabla.f.SumDepreciateλ(_xlfn.ANCHORARRAY(L26))</f>
        <v>0</v>
      </c>
      <c r="L26" s="192" cm="1">
        <f t="array" ref="L26:W45">nabla.f.Depreciateλ(tblAssets1112[Amount],tblAssets1112[Acquired],tblAssets1112[Life],_xlfn.ANCHORARRAY(L25),tblAssets1112[Salvage],tblAssets1112[Date],tblAssets1112[Cost],tblAssets1112[Method])</f>
        <v>0</v>
      </c>
      <c r="M26">
        <v>0</v>
      </c>
      <c r="N26">
        <v>0</v>
      </c>
      <c r="O26">
        <v>0</v>
      </c>
      <c r="P26">
        <v>0</v>
      </c>
      <c r="Q26">
        <v>0</v>
      </c>
      <c r="R26">
        <v>0</v>
      </c>
      <c r="S26">
        <v>0</v>
      </c>
      <c r="T26">
        <v>0</v>
      </c>
      <c r="U26">
        <v>0</v>
      </c>
      <c r="V26">
        <v>0</v>
      </c>
      <c r="W26">
        <v>0</v>
      </c>
    </row>
    <row r="27" spans="1:23" x14ac:dyDescent="0.25">
      <c r="A27" t="s">
        <v>304</v>
      </c>
      <c r="B27" s="195">
        <v>10000</v>
      </c>
      <c r="C27" s="120">
        <v>46113</v>
      </c>
      <c r="D27" s="195">
        <v>10</v>
      </c>
      <c r="E27" s="195">
        <v>500</v>
      </c>
      <c r="F27" s="120"/>
      <c r="G27" s="195">
        <v>100</v>
      </c>
      <c r="H27" s="120" t="s">
        <v>301</v>
      </c>
      <c r="J27" t="str">
        <v>Cutter Opening Value</v>
      </c>
      <c r="K27">
        <v>0</v>
      </c>
      <c r="L27">
        <v>22000</v>
      </c>
      <c r="M27">
        <v>19000</v>
      </c>
      <c r="N27">
        <v>16000</v>
      </c>
      <c r="O27">
        <v>13000</v>
      </c>
      <c r="P27">
        <v>10000</v>
      </c>
      <c r="Q27">
        <v>7000</v>
      </c>
      <c r="R27">
        <v>4000</v>
      </c>
      <c r="S27">
        <v>1000</v>
      </c>
      <c r="T27">
        <v>0</v>
      </c>
      <c r="U27">
        <v>0</v>
      </c>
      <c r="V27">
        <v>0</v>
      </c>
      <c r="W27">
        <v>0</v>
      </c>
    </row>
    <row r="28" spans="1:23" x14ac:dyDescent="0.25">
      <c r="A28" t="s">
        <v>305</v>
      </c>
      <c r="B28" s="195">
        <v>50000</v>
      </c>
      <c r="C28" s="196">
        <v>46935</v>
      </c>
      <c r="D28" s="197">
        <v>20</v>
      </c>
      <c r="E28" s="195">
        <v>1000</v>
      </c>
      <c r="F28" s="120"/>
      <c r="G28" s="195">
        <v>250</v>
      </c>
      <c r="H28" s="120" t="s">
        <v>302</v>
      </c>
      <c r="J28" t="str">
        <v>Cutter Depreciation</v>
      </c>
      <c r="K28">
        <v>22000</v>
      </c>
      <c r="L28">
        <v>3000</v>
      </c>
      <c r="M28">
        <v>3000</v>
      </c>
      <c r="N28">
        <v>3000</v>
      </c>
      <c r="O28">
        <v>3000</v>
      </c>
      <c r="P28">
        <v>3000</v>
      </c>
      <c r="Q28">
        <v>3000</v>
      </c>
      <c r="R28">
        <v>3000</v>
      </c>
      <c r="S28">
        <v>1000</v>
      </c>
      <c r="T28">
        <v>0</v>
      </c>
      <c r="U28">
        <v>0</v>
      </c>
      <c r="V28">
        <v>0</v>
      </c>
      <c r="W28">
        <v>0</v>
      </c>
    </row>
    <row r="29" spans="1:23" x14ac:dyDescent="0.25">
      <c r="J29" t="str">
        <v>Cutter Book Value</v>
      </c>
      <c r="K29">
        <v>0</v>
      </c>
      <c r="L29">
        <v>19000</v>
      </c>
      <c r="M29">
        <v>16000</v>
      </c>
      <c r="N29">
        <v>13000</v>
      </c>
      <c r="O29">
        <v>10000</v>
      </c>
      <c r="P29">
        <v>7000</v>
      </c>
      <c r="Q29">
        <v>4000</v>
      </c>
      <c r="R29">
        <v>1000</v>
      </c>
      <c r="S29">
        <v>0</v>
      </c>
      <c r="T29">
        <v>0</v>
      </c>
      <c r="U29">
        <v>0</v>
      </c>
      <c r="V29">
        <v>0</v>
      </c>
      <c r="W29">
        <v>0</v>
      </c>
    </row>
    <row r="30" spans="1:23" x14ac:dyDescent="0.25">
      <c r="J30" t="str">
        <v>Cutter Revenue from Sale</v>
      </c>
      <c r="K30">
        <v>1000</v>
      </c>
      <c r="L30">
        <v>0</v>
      </c>
      <c r="M30">
        <v>0</v>
      </c>
      <c r="N30">
        <v>0</v>
      </c>
      <c r="O30">
        <v>0</v>
      </c>
      <c r="P30">
        <v>0</v>
      </c>
      <c r="Q30">
        <v>0</v>
      </c>
      <c r="R30">
        <v>0</v>
      </c>
      <c r="S30">
        <v>1000</v>
      </c>
      <c r="T30">
        <v>0</v>
      </c>
      <c r="U30">
        <v>0</v>
      </c>
      <c r="V30">
        <v>0</v>
      </c>
      <c r="W30">
        <v>0</v>
      </c>
    </row>
    <row r="31" spans="1:23" x14ac:dyDescent="0.25">
      <c r="J31" t="str">
        <v>Cutter Disposal Costs</v>
      </c>
      <c r="K31">
        <v>500</v>
      </c>
      <c r="L31">
        <v>0</v>
      </c>
      <c r="M31">
        <v>0</v>
      </c>
      <c r="N31">
        <v>0</v>
      </c>
      <c r="O31">
        <v>0</v>
      </c>
      <c r="P31">
        <v>0</v>
      </c>
      <c r="Q31">
        <v>0</v>
      </c>
      <c r="R31">
        <v>0</v>
      </c>
      <c r="S31">
        <v>500</v>
      </c>
      <c r="T31">
        <v>0</v>
      </c>
      <c r="U31">
        <v>0</v>
      </c>
      <c r="V31">
        <v>0</v>
      </c>
      <c r="W31">
        <v>0</v>
      </c>
    </row>
    <row r="32" spans="1:23" x14ac:dyDescent="0.25">
      <c r="J32" t="str">
        <v/>
      </c>
      <c r="K32">
        <v>0</v>
      </c>
      <c r="L32" t="str">
        <v/>
      </c>
      <c r="M32" t="str">
        <v/>
      </c>
      <c r="N32" t="str">
        <v/>
      </c>
      <c r="O32" t="str">
        <v/>
      </c>
      <c r="P32" t="str">
        <v/>
      </c>
      <c r="Q32" t="str">
        <v/>
      </c>
      <c r="R32" t="str">
        <v/>
      </c>
      <c r="S32" t="str">
        <v/>
      </c>
      <c r="T32" t="str">
        <v/>
      </c>
      <c r="U32" t="str">
        <v/>
      </c>
      <c r="V32" t="str">
        <v/>
      </c>
      <c r="W32" t="str">
        <v/>
      </c>
    </row>
    <row r="33" spans="10:23" x14ac:dyDescent="0.25">
      <c r="J33" t="str">
        <v>Press CAPEX</v>
      </c>
      <c r="K33">
        <v>10000</v>
      </c>
      <c r="L33">
        <v>10000</v>
      </c>
      <c r="M33">
        <v>0</v>
      </c>
      <c r="N33">
        <v>0</v>
      </c>
      <c r="O33">
        <v>0</v>
      </c>
      <c r="P33">
        <v>0</v>
      </c>
      <c r="Q33">
        <v>0</v>
      </c>
      <c r="R33">
        <v>0</v>
      </c>
      <c r="S33">
        <v>0</v>
      </c>
      <c r="T33">
        <v>0</v>
      </c>
      <c r="U33">
        <v>0</v>
      </c>
      <c r="V33">
        <v>0</v>
      </c>
      <c r="W33">
        <v>0</v>
      </c>
    </row>
    <row r="34" spans="10:23" x14ac:dyDescent="0.25">
      <c r="J34" t="str">
        <v>Press Opening Value</v>
      </c>
      <c r="K34">
        <v>0</v>
      </c>
      <c r="L34">
        <v>10000</v>
      </c>
      <c r="M34">
        <v>8499.9699999999993</v>
      </c>
      <c r="N34">
        <v>6800.03</v>
      </c>
      <c r="O34">
        <v>5439.9699999999993</v>
      </c>
      <c r="P34">
        <v>4352.03</v>
      </c>
      <c r="Q34">
        <v>3481.57</v>
      </c>
      <c r="R34">
        <v>2785.3099999999986</v>
      </c>
      <c r="S34">
        <v>2228.2299999999973</v>
      </c>
      <c r="T34">
        <v>1782.6019999999967</v>
      </c>
      <c r="U34">
        <v>1426.0815999999959</v>
      </c>
      <c r="V34">
        <v>710.55727999999499</v>
      </c>
      <c r="W34">
        <v>0</v>
      </c>
    </row>
    <row r="35" spans="10:23" x14ac:dyDescent="0.25">
      <c r="J35" t="str">
        <v>Press Depreciation</v>
      </c>
      <c r="K35">
        <v>9999.9999999999982</v>
      </c>
      <c r="L35">
        <v>1500.03</v>
      </c>
      <c r="M35">
        <v>1699.9399999999996</v>
      </c>
      <c r="N35">
        <v>1360.0600000000002</v>
      </c>
      <c r="O35">
        <v>1087.9400000000005</v>
      </c>
      <c r="P35">
        <v>870.45999999999992</v>
      </c>
      <c r="Q35">
        <v>696.26000000000056</v>
      </c>
      <c r="R35">
        <v>557.08000000000038</v>
      </c>
      <c r="S35">
        <v>445.62800000000027</v>
      </c>
      <c r="T35">
        <v>356.52040000000034</v>
      </c>
      <c r="U35">
        <v>715.52432000000044</v>
      </c>
      <c r="V35">
        <v>710.55727999999601</v>
      </c>
      <c r="W35">
        <v>0</v>
      </c>
    </row>
    <row r="36" spans="10:23" x14ac:dyDescent="0.25">
      <c r="J36" t="str">
        <v>Press Book Value</v>
      </c>
      <c r="K36">
        <v>0</v>
      </c>
      <c r="L36">
        <v>8499.9699999999993</v>
      </c>
      <c r="M36">
        <v>6800.03</v>
      </c>
      <c r="N36">
        <v>5439.9699999999993</v>
      </c>
      <c r="O36">
        <v>4352.0299999999988</v>
      </c>
      <c r="P36">
        <v>3481.5699999999997</v>
      </c>
      <c r="Q36">
        <v>2785.3099999999995</v>
      </c>
      <c r="R36">
        <v>2228.2299999999982</v>
      </c>
      <c r="S36">
        <v>1782.6019999999971</v>
      </c>
      <c r="T36">
        <v>1426.0815999999963</v>
      </c>
      <c r="U36">
        <v>710.55727999999544</v>
      </c>
      <c r="V36">
        <v>-1.0231815394945443E-12</v>
      </c>
      <c r="W36">
        <v>0</v>
      </c>
    </row>
    <row r="37" spans="10:23" x14ac:dyDescent="0.25">
      <c r="J37" t="str">
        <v>Press Revenue from Sale</v>
      </c>
      <c r="K37">
        <v>500</v>
      </c>
      <c r="L37">
        <v>0</v>
      </c>
      <c r="M37">
        <v>0</v>
      </c>
      <c r="N37">
        <v>0</v>
      </c>
      <c r="O37">
        <v>0</v>
      </c>
      <c r="P37">
        <v>0</v>
      </c>
      <c r="Q37">
        <v>0</v>
      </c>
      <c r="R37">
        <v>0</v>
      </c>
      <c r="S37">
        <v>0</v>
      </c>
      <c r="T37">
        <v>0</v>
      </c>
      <c r="U37">
        <v>0</v>
      </c>
      <c r="V37">
        <v>500</v>
      </c>
      <c r="W37">
        <v>0</v>
      </c>
    </row>
    <row r="38" spans="10:23" x14ac:dyDescent="0.25">
      <c r="J38" t="str">
        <v>Press Disposal Costs</v>
      </c>
      <c r="K38">
        <v>100</v>
      </c>
      <c r="L38">
        <v>0</v>
      </c>
      <c r="M38">
        <v>0</v>
      </c>
      <c r="N38">
        <v>0</v>
      </c>
      <c r="O38">
        <v>0</v>
      </c>
      <c r="P38">
        <v>0</v>
      </c>
      <c r="Q38">
        <v>0</v>
      </c>
      <c r="R38">
        <v>0</v>
      </c>
      <c r="S38">
        <v>0</v>
      </c>
      <c r="T38">
        <v>0</v>
      </c>
      <c r="U38">
        <v>0</v>
      </c>
      <c r="V38">
        <v>100</v>
      </c>
      <c r="W38">
        <v>0</v>
      </c>
    </row>
    <row r="39" spans="10:23" x14ac:dyDescent="0.25">
      <c r="J39" t="str">
        <v/>
      </c>
      <c r="K39">
        <v>0</v>
      </c>
      <c r="L39" t="str">
        <v/>
      </c>
      <c r="M39" t="str">
        <v/>
      </c>
      <c r="N39" t="str">
        <v/>
      </c>
      <c r="O39" t="str">
        <v/>
      </c>
      <c r="P39" t="str">
        <v/>
      </c>
      <c r="Q39" t="str">
        <v/>
      </c>
      <c r="R39" t="str">
        <v/>
      </c>
      <c r="S39" t="str">
        <v/>
      </c>
      <c r="T39" t="str">
        <v/>
      </c>
      <c r="U39" t="str">
        <v/>
      </c>
      <c r="V39" t="str">
        <v/>
      </c>
      <c r="W39" t="str">
        <v/>
      </c>
    </row>
    <row r="40" spans="10:23" x14ac:dyDescent="0.25">
      <c r="J40" t="str">
        <v>CNC CAPEX</v>
      </c>
      <c r="K40">
        <v>50000</v>
      </c>
      <c r="L40">
        <v>0</v>
      </c>
      <c r="M40">
        <v>0</v>
      </c>
      <c r="N40">
        <v>50000</v>
      </c>
      <c r="O40">
        <v>0</v>
      </c>
      <c r="P40">
        <v>0</v>
      </c>
      <c r="Q40">
        <v>0</v>
      </c>
      <c r="R40">
        <v>0</v>
      </c>
      <c r="S40">
        <v>0</v>
      </c>
      <c r="T40">
        <v>0</v>
      </c>
      <c r="U40">
        <v>0</v>
      </c>
      <c r="V40">
        <v>0</v>
      </c>
      <c r="W40">
        <v>0</v>
      </c>
    </row>
    <row r="41" spans="10:23" x14ac:dyDescent="0.25">
      <c r="J41" t="str">
        <v>CNC Opening Value</v>
      </c>
      <c r="K41">
        <v>0</v>
      </c>
      <c r="L41">
        <v>0</v>
      </c>
      <c r="M41">
        <v>0</v>
      </c>
      <c r="N41">
        <v>50000</v>
      </c>
      <c r="O41">
        <v>49062.5</v>
      </c>
      <c r="P41">
        <v>46320.01999999999</v>
      </c>
      <c r="Q41">
        <v>42845.019999999968</v>
      </c>
      <c r="R41">
        <v>39629.999999999956</v>
      </c>
      <c r="S41">
        <v>36657.479999999967</v>
      </c>
      <c r="T41">
        <v>33907.479999999989</v>
      </c>
      <c r="U41">
        <v>31362.499999999996</v>
      </c>
      <c r="V41">
        <v>29010.019999999986</v>
      </c>
      <c r="W41">
        <v>26765.019999999968</v>
      </c>
    </row>
    <row r="42" spans="10:23" x14ac:dyDescent="0.25">
      <c r="J42" t="str">
        <v>CNC Depreciation</v>
      </c>
      <c r="K42">
        <v>25464.98</v>
      </c>
      <c r="L42">
        <v>0</v>
      </c>
      <c r="M42">
        <v>0</v>
      </c>
      <c r="N42">
        <v>937.5</v>
      </c>
      <c r="O42">
        <v>2742.4799999999996</v>
      </c>
      <c r="P42">
        <v>3475</v>
      </c>
      <c r="Q42">
        <v>3215.0200000000004</v>
      </c>
      <c r="R42">
        <v>2972.52</v>
      </c>
      <c r="S42">
        <v>2750</v>
      </c>
      <c r="T42">
        <v>2544.9799999999996</v>
      </c>
      <c r="U42">
        <v>2352.4799999999996</v>
      </c>
      <c r="V42">
        <v>2245</v>
      </c>
      <c r="W42">
        <v>2230</v>
      </c>
    </row>
    <row r="43" spans="10:23" x14ac:dyDescent="0.25">
      <c r="J43" t="str">
        <v>CNC Book Value</v>
      </c>
      <c r="K43">
        <v>0</v>
      </c>
      <c r="L43">
        <v>0</v>
      </c>
      <c r="M43">
        <v>0</v>
      </c>
      <c r="N43">
        <v>49062.5</v>
      </c>
      <c r="O43">
        <v>46320.020000000004</v>
      </c>
      <c r="P43">
        <v>42845.01999999999</v>
      </c>
      <c r="Q43">
        <v>39629.999999999971</v>
      </c>
      <c r="R43">
        <v>36657.47999999996</v>
      </c>
      <c r="S43">
        <v>33907.479999999967</v>
      </c>
      <c r="T43">
        <v>31362.499999999989</v>
      </c>
      <c r="U43">
        <v>29010.019999999997</v>
      </c>
      <c r="V43">
        <v>26765.019999999986</v>
      </c>
      <c r="W43">
        <v>24535.019999999968</v>
      </c>
    </row>
    <row r="44" spans="10:23" x14ac:dyDescent="0.25">
      <c r="J44" t="str">
        <v>CNC Revenue from Sale</v>
      </c>
      <c r="K44">
        <v>0</v>
      </c>
      <c r="L44">
        <v>0</v>
      </c>
      <c r="M44">
        <v>0</v>
      </c>
      <c r="N44">
        <v>0</v>
      </c>
      <c r="O44">
        <v>0</v>
      </c>
      <c r="P44">
        <v>0</v>
      </c>
      <c r="Q44">
        <v>0</v>
      </c>
      <c r="R44">
        <v>0</v>
      </c>
      <c r="S44">
        <v>0</v>
      </c>
      <c r="T44">
        <v>0</v>
      </c>
      <c r="U44">
        <v>0</v>
      </c>
      <c r="V44">
        <v>0</v>
      </c>
      <c r="W44">
        <v>0</v>
      </c>
    </row>
    <row r="45" spans="10:23" x14ac:dyDescent="0.25">
      <c r="J45" t="str">
        <v>CNC Disposal Costs</v>
      </c>
      <c r="K45">
        <v>0</v>
      </c>
      <c r="L45">
        <v>0</v>
      </c>
      <c r="M45">
        <v>0</v>
      </c>
      <c r="N45">
        <v>0</v>
      </c>
      <c r="O45">
        <v>0</v>
      </c>
      <c r="P45">
        <v>0</v>
      </c>
      <c r="Q45">
        <v>0</v>
      </c>
      <c r="R45">
        <v>0</v>
      </c>
      <c r="S45">
        <v>0</v>
      </c>
      <c r="T45">
        <v>0</v>
      </c>
      <c r="U45">
        <v>0</v>
      </c>
      <c r="V45">
        <v>0</v>
      </c>
      <c r="W45">
        <v>0</v>
      </c>
    </row>
  </sheetData>
  <mergeCells count="6">
    <mergeCell ref="A24:H24"/>
    <mergeCell ref="A1:Q1"/>
    <mergeCell ref="A2:Q2"/>
    <mergeCell ref="M4:T13"/>
    <mergeCell ref="A15:C15"/>
    <mergeCell ref="A23:H23"/>
  </mergeCells>
  <dataValidations count="1">
    <dataValidation type="list" allowBlank="1" showInputMessage="1" showErrorMessage="1" sqref="H26:H28" xr:uid="{BBDBD067-B497-4D05-9110-261439925A9F}">
      <formula1>INDIRECT("tblMethods[Method]")</formula1>
    </dataValidation>
  </dataValidations>
  <hyperlinks>
    <hyperlink ref="A1" location="'TOC'!$A$1" display="'TOC'!$A$1" xr:uid="{DE3890ED-E3E7-420A-8855-FB211DEC53A8}"/>
  </hyperlinks>
  <pageMargins left="0.7" right="0.7" top="0.75" bottom="0.75" header="0.3" footer="0.3"/>
  <customProperties>
    <customPr name="Description" r:id="rId1"/>
  </customProperties>
  <drawing r:id="rId2"/>
  <tableParts count="1">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B974-EEDB-4140-97A9-CE7B41386885}">
  <sheetPr codeName="Sheet5">
    <tabColor rgb="FF157A5F"/>
  </sheetPr>
  <dimension ref="A1:W48"/>
  <sheetViews>
    <sheetView showGridLines="0" workbookViewId="0">
      <selection activeCell="A1" sqref="A1"/>
    </sheetView>
  </sheetViews>
  <sheetFormatPr defaultRowHeight="15" x14ac:dyDescent="0.25"/>
  <cols>
    <col min="1" max="1" width="13.140625" bestFit="1" customWidth="1"/>
    <col min="2" max="2" width="10.42578125" customWidth="1"/>
    <col min="6" max="6" width="4.85546875" bestFit="1" customWidth="1"/>
    <col min="7" max="7" width="4.7109375" bestFit="1" customWidth="1"/>
    <col min="10" max="10" width="22.140625" bestFit="1" customWidth="1"/>
    <col min="11" max="11" width="15.7109375" customWidth="1"/>
    <col min="12" max="12" width="10.140625" bestFit="1" customWidth="1"/>
    <col min="13" max="13" width="10.28515625" bestFit="1" customWidth="1"/>
    <col min="14" max="14" width="10.7109375" bestFit="1" customWidth="1"/>
    <col min="15" max="15" width="10.28515625" bestFit="1" customWidth="1"/>
    <col min="16" max="16" width="11.140625" bestFit="1" customWidth="1"/>
    <col min="17" max="17" width="10.28515625" bestFit="1" customWidth="1"/>
    <col min="18" max="18" width="10.140625" bestFit="1" customWidth="1"/>
    <col min="19" max="19" width="10.7109375" bestFit="1" customWidth="1"/>
    <col min="20" max="20" width="10.42578125" bestFit="1" customWidth="1"/>
    <col min="21" max="21" width="10.28515625" bestFit="1" customWidth="1"/>
    <col min="22" max="22" width="10.7109375" bestFit="1" customWidth="1"/>
    <col min="23" max="23" width="10.42578125" bestFit="1" customWidth="1"/>
  </cols>
  <sheetData>
    <row r="1" spans="1:20" ht="45.75" x14ac:dyDescent="0.65">
      <c r="A1" s="270" t="str">
        <f>_xlfn.TEXTAFTER(CELL("filename",A1),"]")</f>
        <v>nabla.f.SumContains</v>
      </c>
      <c r="B1" s="270"/>
      <c r="C1" s="270"/>
      <c r="D1" s="270"/>
      <c r="E1" s="270"/>
      <c r="F1" s="270"/>
      <c r="G1" s="270"/>
      <c r="H1" s="270"/>
      <c r="I1" s="270"/>
      <c r="J1" s="270"/>
      <c r="K1" s="270"/>
      <c r="L1" s="270"/>
      <c r="M1" s="270"/>
      <c r="N1" s="270"/>
      <c r="O1" s="270"/>
      <c r="P1" s="270"/>
      <c r="Q1" s="270"/>
    </row>
    <row r="2" spans="1:20" x14ac:dyDescent="0.25">
      <c r="A2" s="273" t="s">
        <v>369</v>
      </c>
      <c r="B2" s="311"/>
      <c r="C2" s="311"/>
      <c r="D2" s="311"/>
      <c r="E2" s="311"/>
      <c r="F2" s="311"/>
      <c r="G2" s="311"/>
      <c r="H2" s="311"/>
      <c r="I2" s="311"/>
      <c r="J2" s="311"/>
      <c r="K2" s="311"/>
      <c r="L2" s="311"/>
      <c r="M2" s="311"/>
      <c r="N2" s="311"/>
      <c r="O2" s="311"/>
      <c r="P2" s="311"/>
      <c r="Q2" s="312"/>
    </row>
    <row r="3" spans="1:20" x14ac:dyDescent="0.25">
      <c r="A3" s="104"/>
      <c r="B3" s="104"/>
      <c r="C3" s="104"/>
      <c r="D3" s="104"/>
      <c r="E3" s="104"/>
      <c r="F3" s="104"/>
      <c r="G3" s="104"/>
      <c r="H3" s="104"/>
      <c r="I3" s="104"/>
      <c r="J3" s="104"/>
      <c r="K3" s="104"/>
      <c r="L3" s="104"/>
      <c r="M3" s="104"/>
      <c r="N3" s="104"/>
      <c r="O3" s="104"/>
      <c r="P3" s="104"/>
      <c r="Q3" s="104"/>
    </row>
    <row r="4" spans="1:20" x14ac:dyDescent="0.25">
      <c r="A4" s="162" t="str" cm="1">
        <f t="array" ref="A4:B16">nabla.f.SumContainsλ()</f>
        <v>FUNCTION:</v>
      </c>
      <c r="B4" t="str">
        <v>SumContainsλ(ValuesToFilter, ValueLabels, FilterByText, [IgnoreCase?])</v>
      </c>
      <c r="M4" s="316"/>
      <c r="N4" s="316"/>
      <c r="O4" s="316"/>
      <c r="P4" s="316"/>
      <c r="Q4" s="316"/>
      <c r="R4" s="316"/>
      <c r="S4" s="316"/>
      <c r="T4" s="316"/>
    </row>
    <row r="5" spans="1:20" x14ac:dyDescent="0.25">
      <c r="A5" t="str">
        <v>DESCRIPTION:</v>
      </c>
      <c r="B5" t="str">
        <v>Creates a row of column totals for each row in an array where</v>
      </c>
      <c r="M5" s="316"/>
      <c r="N5" s="316"/>
      <c r="O5" s="316"/>
      <c r="P5" s="316"/>
      <c r="Q5" s="316"/>
      <c r="R5" s="316"/>
      <c r="S5" s="316"/>
      <c r="T5" s="316"/>
    </row>
    <row r="6" spans="1:20" x14ac:dyDescent="0.25">
      <c r="A6" t="str">
        <v/>
      </c>
      <c r="B6" t="str">
        <v>its labels contain a unique letter, word, or phrase.</v>
      </c>
      <c r="M6" s="316"/>
      <c r="N6" s="316"/>
      <c r="O6" s="316"/>
      <c r="P6" s="316"/>
      <c r="Q6" s="316"/>
      <c r="R6" s="316"/>
      <c r="S6" s="316"/>
      <c r="T6" s="316"/>
    </row>
    <row r="7" spans="1:20" x14ac:dyDescent="0.25">
      <c r="A7" t="str">
        <v>WEBPAGE:</v>
      </c>
      <c r="B7" t="str">
        <v>https://github.com/ryanduguid/Nabla</v>
      </c>
      <c r="K7" s="233"/>
      <c r="L7" s="233"/>
      <c r="M7" s="316"/>
      <c r="N7" s="316"/>
      <c r="O7" s="316"/>
      <c r="P7" s="316"/>
      <c r="Q7" s="316"/>
      <c r="R7" s="316"/>
      <c r="S7" s="316"/>
      <c r="T7" s="316"/>
    </row>
    <row r="8" spans="1:20" x14ac:dyDescent="0.25">
      <c r="A8" t="str">
        <v>VERSION:</v>
      </c>
      <c r="B8" t="str">
        <v>18 Aug 2026</v>
      </c>
      <c r="K8" s="233"/>
      <c r="L8" s="233"/>
      <c r="M8" s="316"/>
      <c r="N8" s="316"/>
      <c r="O8" s="316"/>
      <c r="P8" s="316"/>
      <c r="Q8" s="316"/>
      <c r="R8" s="316"/>
      <c r="S8" s="316"/>
      <c r="T8" s="316"/>
    </row>
    <row r="9" spans="1:20" x14ac:dyDescent="0.25">
      <c r="A9" t="str">
        <v>PARAMETERS:</v>
      </c>
      <c r="B9" t="str">
        <v/>
      </c>
      <c r="K9" s="233"/>
      <c r="L9" s="233"/>
      <c r="M9" s="316"/>
      <c r="N9" s="316"/>
      <c r="O9" s="316"/>
      <c r="P9" s="316"/>
      <c r="Q9" s="316"/>
      <c r="R9" s="316"/>
      <c r="S9" s="316"/>
      <c r="T9" s="316"/>
    </row>
    <row r="10" spans="1:20" x14ac:dyDescent="0.25">
      <c r="A10" t="str">
        <v>ValuesToFilter</v>
      </c>
      <c r="B10" t="str">
        <v>(Required) An array of values to be filtered</v>
      </c>
      <c r="K10" s="233"/>
      <c r="L10" s="233"/>
      <c r="M10" s="316"/>
      <c r="N10" s="316"/>
      <c r="O10" s="316"/>
      <c r="P10" s="316"/>
      <c r="Q10" s="316"/>
      <c r="R10" s="316"/>
      <c r="S10" s="316"/>
      <c r="T10" s="316"/>
    </row>
    <row r="11" spans="1:20" x14ac:dyDescent="0.25">
      <c r="A11" t="str">
        <v>ValueLabels</v>
      </c>
      <c r="B11" t="str">
        <v>(Required) An array containing the values' labels</v>
      </c>
      <c r="K11" s="233"/>
      <c r="L11" s="233"/>
      <c r="M11" s="316"/>
      <c r="N11" s="316"/>
      <c r="O11" s="316"/>
      <c r="P11" s="316"/>
      <c r="Q11" s="316"/>
      <c r="R11" s="316"/>
      <c r="S11" s="316"/>
      <c r="T11" s="316"/>
    </row>
    <row r="12" spans="1:20" x14ac:dyDescent="0.25">
      <c r="A12" t="str">
        <v>FilterByText</v>
      </c>
      <c r="B12" t="str">
        <v>(Required) A unique letter, word or phrase to find contained in ValueLabels</v>
      </c>
      <c r="K12" s="233"/>
      <c r="L12" s="233"/>
      <c r="M12" s="316"/>
      <c r="N12" s="316"/>
      <c r="O12" s="316"/>
      <c r="P12" s="316"/>
      <c r="Q12" s="316"/>
      <c r="R12" s="316"/>
      <c r="S12" s="316"/>
      <c r="T12" s="316"/>
    </row>
    <row r="13" spans="1:20" x14ac:dyDescent="0.25">
      <c r="A13" t="str">
        <v>IgnoreCase?</v>
      </c>
      <c r="B13" t="str">
        <v>(Optional) A flag to determine if Text's case is important. Default is TRUE</v>
      </c>
      <c r="K13" s="233"/>
      <c r="L13" s="233"/>
      <c r="M13" s="316"/>
      <c r="N13" s="316"/>
      <c r="O13" s="316"/>
      <c r="P13" s="316"/>
      <c r="Q13" s="316"/>
      <c r="R13" s="316"/>
      <c r="S13" s="316"/>
      <c r="T13" s="316"/>
    </row>
    <row r="14" spans="1:20" x14ac:dyDescent="0.25">
      <c r="A14" t="str">
        <v>EXAMPLES:</v>
      </c>
      <c r="B14" t="str">
        <v/>
      </c>
      <c r="K14" s="233"/>
      <c r="L14" s="233"/>
      <c r="M14" s="234"/>
      <c r="N14" s="234"/>
      <c r="O14" s="234"/>
      <c r="P14" s="234"/>
      <c r="Q14" s="234"/>
      <c r="R14" s="234"/>
      <c r="S14" s="234"/>
      <c r="T14" s="234"/>
    </row>
    <row r="15" spans="1:20" x14ac:dyDescent="0.25">
      <c r="A15" t="str">
        <v>Result</v>
      </c>
      <c r="B15" t="str">
        <v>Formula (nabla.f is assumed to be the module's name)</v>
      </c>
      <c r="K15" s="233"/>
      <c r="L15" s="233"/>
      <c r="M15" s="234"/>
      <c r="N15" s="234"/>
      <c r="O15" s="234"/>
      <c r="P15" s="234"/>
      <c r="Q15" s="234"/>
      <c r="R15" s="234"/>
      <c r="S15" s="234"/>
      <c r="T15" s="234"/>
    </row>
    <row r="16" spans="1:20" x14ac:dyDescent="0.25">
      <c r="A16" t="str">
        <v/>
      </c>
      <c r="B16" t="str">
        <v>=nabla.f.SumContainsλ( Array, Labels, "CAPEX" )</v>
      </c>
      <c r="K16" s="233"/>
      <c r="L16" s="233"/>
      <c r="M16" s="234"/>
      <c r="N16" s="234"/>
      <c r="O16" s="234"/>
      <c r="P16" s="234"/>
      <c r="Q16" s="234"/>
      <c r="R16" s="234"/>
      <c r="S16" s="234"/>
      <c r="T16" s="234"/>
    </row>
    <row r="18" spans="1:23" ht="20.25" x14ac:dyDescent="0.3">
      <c r="A18" s="302" t="s">
        <v>272</v>
      </c>
      <c r="B18" s="302"/>
      <c r="C18" s="302"/>
      <c r="J18" s="2" t="s">
        <v>289</v>
      </c>
    </row>
    <row r="20" spans="1:23" x14ac:dyDescent="0.25">
      <c r="A20" s="161" t="s">
        <v>273</v>
      </c>
      <c r="B20" s="161" t="s">
        <v>138</v>
      </c>
      <c r="C20" s="161" t="s">
        <v>139</v>
      </c>
      <c r="J20" s="190" t="s">
        <v>131</v>
      </c>
      <c r="K20" s="190" t="s">
        <v>276</v>
      </c>
      <c r="L20" s="1" cm="1">
        <f t="array" ref="L20:W20">nabla.d.Timelineλ($B$21, $B$22, $B$23)</f>
        <v>45292</v>
      </c>
      <c r="M20" s="1">
        <v>46388</v>
      </c>
      <c r="N20" s="1">
        <v>46753</v>
      </c>
      <c r="O20" s="1">
        <v>47119</v>
      </c>
      <c r="P20" s="1">
        <v>47484</v>
      </c>
      <c r="Q20" s="1">
        <v>47849</v>
      </c>
      <c r="R20" s="1">
        <v>48214</v>
      </c>
      <c r="S20" s="1">
        <v>48580</v>
      </c>
      <c r="T20" s="1">
        <v>48945</v>
      </c>
      <c r="U20" s="1">
        <v>49310</v>
      </c>
      <c r="V20" s="1">
        <v>49675</v>
      </c>
      <c r="W20" s="1">
        <v>50041</v>
      </c>
    </row>
    <row r="21" spans="1:23" x14ac:dyDescent="0.25">
      <c r="A21" t="s">
        <v>236</v>
      </c>
      <c r="B21" s="141">
        <v>46023</v>
      </c>
      <c r="C21" t="s">
        <v>145</v>
      </c>
      <c r="J21" t="s">
        <v>343</v>
      </c>
      <c r="L21" s="162" cm="1">
        <f t="array" ref="L21:W21">nabla.f.SumContainsλ(_xlfn.ANCHORARRAY($L$29),_xlfn.ANCHORARRAY($J$29),J21)</f>
        <v>10000</v>
      </c>
      <c r="M21">
        <v>0</v>
      </c>
      <c r="N21">
        <v>50000</v>
      </c>
      <c r="O21">
        <v>0</v>
      </c>
      <c r="P21">
        <v>0</v>
      </c>
      <c r="Q21">
        <v>0</v>
      </c>
      <c r="R21">
        <v>0</v>
      </c>
      <c r="S21">
        <v>0</v>
      </c>
      <c r="T21">
        <v>0</v>
      </c>
      <c r="U21">
        <v>0</v>
      </c>
      <c r="V21">
        <v>0</v>
      </c>
      <c r="W21">
        <v>0</v>
      </c>
    </row>
    <row r="22" spans="1:23" x14ac:dyDescent="0.25">
      <c r="A22" t="s">
        <v>141</v>
      </c>
      <c r="B22">
        <v>12</v>
      </c>
      <c r="C22" t="s">
        <v>146</v>
      </c>
      <c r="J22" t="s">
        <v>344</v>
      </c>
      <c r="L22" s="162" cm="1">
        <f t="array" ref="L22:W22">nabla.f.SumContainsλ(_xlfn.ANCHORARRAY($L$29),_xlfn.ANCHORARRAY($J$29),J22)</f>
        <v>4500.03</v>
      </c>
      <c r="M22">
        <v>4699.9399999999996</v>
      </c>
      <c r="N22">
        <v>5297.56</v>
      </c>
      <c r="O22">
        <v>6830.42</v>
      </c>
      <c r="P22">
        <v>7345.46</v>
      </c>
      <c r="Q22">
        <v>6911.2800000000007</v>
      </c>
      <c r="R22">
        <v>6529.6</v>
      </c>
      <c r="S22">
        <v>4195.6280000000006</v>
      </c>
      <c r="T22">
        <v>2901.5003999999999</v>
      </c>
      <c r="U22">
        <v>3068.00432</v>
      </c>
      <c r="V22">
        <v>2955.5572799999959</v>
      </c>
      <c r="W22">
        <v>2230</v>
      </c>
    </row>
    <row r="23" spans="1:23" x14ac:dyDescent="0.25">
      <c r="A23" t="s">
        <v>142</v>
      </c>
      <c r="B23" t="s">
        <v>24</v>
      </c>
      <c r="J23" t="s">
        <v>345</v>
      </c>
      <c r="L23" s="162" cm="1">
        <f t="array" ref="L23:W23">nabla.f.SumContainsλ(_xlfn.ANCHORARRAY($L$29),_xlfn.ANCHORARRAY($J$29),J23)</f>
        <v>27499.97</v>
      </c>
      <c r="M23">
        <v>22800.03</v>
      </c>
      <c r="N23">
        <v>67502.47</v>
      </c>
      <c r="O23">
        <v>60672.05</v>
      </c>
      <c r="P23">
        <v>53326.589999999989</v>
      </c>
      <c r="Q23">
        <v>46415.309999999969</v>
      </c>
      <c r="R23">
        <v>39885.709999999955</v>
      </c>
      <c r="S23">
        <v>35690.081999999966</v>
      </c>
      <c r="T23">
        <v>32788.581599999983</v>
      </c>
      <c r="U23">
        <v>29720.57727999999</v>
      </c>
      <c r="V23">
        <v>26765.019999999986</v>
      </c>
      <c r="W23">
        <v>24535.019999999968</v>
      </c>
    </row>
    <row r="24" spans="1:23" x14ac:dyDescent="0.25">
      <c r="J24" t="s">
        <v>346</v>
      </c>
      <c r="L24" s="162" cm="1">
        <f t="array" ref="L24:W24">nabla.f.SumContainsλ(_xlfn.ANCHORARRAY($L$29),_xlfn.ANCHORARRAY($J$29),J24)</f>
        <v>0</v>
      </c>
      <c r="M24">
        <v>0</v>
      </c>
      <c r="N24">
        <v>0</v>
      </c>
      <c r="O24">
        <v>0</v>
      </c>
      <c r="P24">
        <v>0</v>
      </c>
      <c r="Q24">
        <v>0</v>
      </c>
      <c r="R24">
        <v>0</v>
      </c>
      <c r="S24">
        <v>1000</v>
      </c>
      <c r="T24">
        <v>0</v>
      </c>
      <c r="U24">
        <v>0</v>
      </c>
      <c r="V24">
        <v>500</v>
      </c>
      <c r="W24">
        <v>0</v>
      </c>
    </row>
    <row r="25" spans="1:23" x14ac:dyDescent="0.25">
      <c r="J25" t="s">
        <v>347</v>
      </c>
      <c r="L25" s="162" cm="1">
        <f t="array" ref="L25:W25">nabla.f.SumContainsλ(_xlfn.ANCHORARRAY($L$29),_xlfn.ANCHORARRAY($J$29),J25)</f>
        <v>0</v>
      </c>
      <c r="M25">
        <v>0</v>
      </c>
      <c r="N25">
        <v>0</v>
      </c>
      <c r="O25">
        <v>0</v>
      </c>
      <c r="P25">
        <v>0</v>
      </c>
      <c r="Q25">
        <v>0</v>
      </c>
      <c r="R25">
        <v>0</v>
      </c>
      <c r="S25">
        <v>500</v>
      </c>
      <c r="T25">
        <v>0</v>
      </c>
      <c r="U25">
        <v>0</v>
      </c>
      <c r="V25">
        <v>100</v>
      </c>
      <c r="W25">
        <v>0</v>
      </c>
    </row>
    <row r="26" spans="1:23" ht="20.25" x14ac:dyDescent="0.3">
      <c r="A26" s="295" t="s">
        <v>295</v>
      </c>
      <c r="B26" s="296"/>
      <c r="C26" s="296"/>
      <c r="D26" s="296"/>
      <c r="E26" s="296"/>
      <c r="F26" s="296"/>
      <c r="G26" s="296"/>
      <c r="H26" s="313"/>
    </row>
    <row r="27" spans="1:23" x14ac:dyDescent="0.25">
      <c r="A27" s="309"/>
      <c r="B27" s="310"/>
      <c r="C27" s="310"/>
      <c r="D27" s="310"/>
      <c r="E27" s="310"/>
      <c r="F27" s="310"/>
      <c r="G27" s="310"/>
      <c r="H27" s="310"/>
    </row>
    <row r="28" spans="1:23" ht="30" x14ac:dyDescent="0.25">
      <c r="A28" s="193" t="s">
        <v>296</v>
      </c>
      <c r="B28" s="194" t="s">
        <v>249</v>
      </c>
      <c r="C28" s="194" t="s">
        <v>297</v>
      </c>
      <c r="D28" s="194" t="s">
        <v>306</v>
      </c>
      <c r="E28" s="194" t="s">
        <v>298</v>
      </c>
      <c r="F28" s="194" t="s">
        <v>66</v>
      </c>
      <c r="G28" s="194" t="s">
        <v>307</v>
      </c>
      <c r="H28" s="193" t="s">
        <v>299</v>
      </c>
      <c r="J28" s="190" t="s">
        <v>131</v>
      </c>
      <c r="K28" s="190" t="s">
        <v>276</v>
      </c>
      <c r="L28" s="1" cm="1">
        <f t="array" ref="L28:W28">nabla.d.Timelineλ($B$21, $B$22, $B$23)</f>
        <v>45292</v>
      </c>
      <c r="M28" s="1">
        <v>46388</v>
      </c>
      <c r="N28" s="1">
        <v>46753</v>
      </c>
      <c r="O28" s="1">
        <v>47119</v>
      </c>
      <c r="P28" s="1">
        <v>47484</v>
      </c>
      <c r="Q28" s="1">
        <v>47849</v>
      </c>
      <c r="R28" s="1">
        <v>48214</v>
      </c>
      <c r="S28" s="1">
        <v>48580</v>
      </c>
      <c r="T28" s="1">
        <v>48945</v>
      </c>
      <c r="U28" s="1">
        <v>49310</v>
      </c>
      <c r="V28" s="1">
        <v>49675</v>
      </c>
      <c r="W28" s="1">
        <v>50041</v>
      </c>
    </row>
    <row r="29" spans="1:23" x14ac:dyDescent="0.25">
      <c r="A29" t="s">
        <v>303</v>
      </c>
      <c r="B29" s="195">
        <v>25000</v>
      </c>
      <c r="C29" s="120">
        <v>45658</v>
      </c>
      <c r="D29" s="195">
        <v>8</v>
      </c>
      <c r="E29" s="195">
        <v>1000</v>
      </c>
      <c r="F29" s="120"/>
      <c r="G29" s="195">
        <v>500</v>
      </c>
      <c r="H29" s="120" t="s">
        <v>300</v>
      </c>
      <c r="J29" s="192" t="str" cm="1">
        <f t="array" ref="J29:J48">nabla.f.LabelDepreciateλ(tblAssets111214[Asset])</f>
        <v>Cutter CAPEX</v>
      </c>
      <c r="K29" s="192" cm="1">
        <f t="array" ref="K29:K48">nabla.f.SumDepreciateλ(_xlfn.ANCHORARRAY(L29))</f>
        <v>0</v>
      </c>
      <c r="L29" s="192" cm="1">
        <f t="array" ref="L29:W48">nabla.f.Depreciateλ(tblAssets111214[Amount],tblAssets111214[Acquired],tblAssets111214[Life],_xlfn.ANCHORARRAY(L28),tblAssets111214[Salvage],tblAssets111214[Date],tblAssets111214[Cost],tblAssets111214[Method])</f>
        <v>0</v>
      </c>
      <c r="M29">
        <v>0</v>
      </c>
      <c r="N29">
        <v>0</v>
      </c>
      <c r="O29">
        <v>0</v>
      </c>
      <c r="P29">
        <v>0</v>
      </c>
      <c r="Q29">
        <v>0</v>
      </c>
      <c r="R29">
        <v>0</v>
      </c>
      <c r="S29">
        <v>0</v>
      </c>
      <c r="T29">
        <v>0</v>
      </c>
      <c r="U29">
        <v>0</v>
      </c>
      <c r="V29">
        <v>0</v>
      </c>
      <c r="W29">
        <v>0</v>
      </c>
    </row>
    <row r="30" spans="1:23" x14ac:dyDescent="0.25">
      <c r="A30" t="s">
        <v>304</v>
      </c>
      <c r="B30" s="195">
        <v>10000</v>
      </c>
      <c r="C30" s="120">
        <v>46113</v>
      </c>
      <c r="D30" s="195">
        <v>10</v>
      </c>
      <c r="E30" s="195">
        <v>500</v>
      </c>
      <c r="F30" s="120"/>
      <c r="G30" s="195">
        <v>100</v>
      </c>
      <c r="H30" s="120" t="s">
        <v>301</v>
      </c>
      <c r="J30" t="str">
        <v>Cutter Opening Value</v>
      </c>
      <c r="K30">
        <v>0</v>
      </c>
      <c r="L30">
        <v>22000</v>
      </c>
      <c r="M30">
        <v>19000</v>
      </c>
      <c r="N30">
        <v>16000</v>
      </c>
      <c r="O30">
        <v>13000</v>
      </c>
      <c r="P30">
        <v>10000</v>
      </c>
      <c r="Q30">
        <v>7000</v>
      </c>
      <c r="R30">
        <v>4000</v>
      </c>
      <c r="S30">
        <v>1000</v>
      </c>
      <c r="T30">
        <v>0</v>
      </c>
      <c r="U30">
        <v>0</v>
      </c>
      <c r="V30">
        <v>0</v>
      </c>
      <c r="W30">
        <v>0</v>
      </c>
    </row>
    <row r="31" spans="1:23" x14ac:dyDescent="0.25">
      <c r="A31" t="s">
        <v>305</v>
      </c>
      <c r="B31" s="195">
        <v>50000</v>
      </c>
      <c r="C31" s="196">
        <v>46935</v>
      </c>
      <c r="D31" s="197">
        <v>20</v>
      </c>
      <c r="E31" s="195">
        <v>1000</v>
      </c>
      <c r="F31" s="120"/>
      <c r="G31" s="195">
        <v>250</v>
      </c>
      <c r="H31" s="120" t="s">
        <v>302</v>
      </c>
      <c r="J31" t="str">
        <v>Cutter Depreciation</v>
      </c>
      <c r="K31">
        <v>22000</v>
      </c>
      <c r="L31">
        <v>3000</v>
      </c>
      <c r="M31">
        <v>3000</v>
      </c>
      <c r="N31">
        <v>3000</v>
      </c>
      <c r="O31">
        <v>3000</v>
      </c>
      <c r="P31">
        <v>3000</v>
      </c>
      <c r="Q31">
        <v>3000</v>
      </c>
      <c r="R31">
        <v>3000</v>
      </c>
      <c r="S31">
        <v>1000</v>
      </c>
      <c r="T31">
        <v>0</v>
      </c>
      <c r="U31">
        <v>0</v>
      </c>
      <c r="V31">
        <v>0</v>
      </c>
      <c r="W31">
        <v>0</v>
      </c>
    </row>
    <row r="32" spans="1:23" x14ac:dyDescent="0.25">
      <c r="J32" t="str">
        <v>Cutter Book Value</v>
      </c>
      <c r="K32">
        <v>0</v>
      </c>
      <c r="L32">
        <v>19000</v>
      </c>
      <c r="M32">
        <v>16000</v>
      </c>
      <c r="N32">
        <v>13000</v>
      </c>
      <c r="O32">
        <v>10000</v>
      </c>
      <c r="P32">
        <v>7000</v>
      </c>
      <c r="Q32">
        <v>4000</v>
      </c>
      <c r="R32">
        <v>1000</v>
      </c>
      <c r="S32">
        <v>0</v>
      </c>
      <c r="T32">
        <v>0</v>
      </c>
      <c r="U32">
        <v>0</v>
      </c>
      <c r="V32">
        <v>0</v>
      </c>
      <c r="W32">
        <v>0</v>
      </c>
    </row>
    <row r="33" spans="10:23" x14ac:dyDescent="0.25">
      <c r="J33" t="str">
        <v>Cutter Revenue from Sale</v>
      </c>
      <c r="K33">
        <v>1000</v>
      </c>
      <c r="L33">
        <v>0</v>
      </c>
      <c r="M33">
        <v>0</v>
      </c>
      <c r="N33">
        <v>0</v>
      </c>
      <c r="O33">
        <v>0</v>
      </c>
      <c r="P33">
        <v>0</v>
      </c>
      <c r="Q33">
        <v>0</v>
      </c>
      <c r="R33">
        <v>0</v>
      </c>
      <c r="S33">
        <v>1000</v>
      </c>
      <c r="T33">
        <v>0</v>
      </c>
      <c r="U33">
        <v>0</v>
      </c>
      <c r="V33">
        <v>0</v>
      </c>
      <c r="W33">
        <v>0</v>
      </c>
    </row>
    <row r="34" spans="10:23" x14ac:dyDescent="0.25">
      <c r="J34" t="str">
        <v>Cutter Disposal Costs</v>
      </c>
      <c r="K34">
        <v>500</v>
      </c>
      <c r="L34">
        <v>0</v>
      </c>
      <c r="M34">
        <v>0</v>
      </c>
      <c r="N34">
        <v>0</v>
      </c>
      <c r="O34">
        <v>0</v>
      </c>
      <c r="P34">
        <v>0</v>
      </c>
      <c r="Q34">
        <v>0</v>
      </c>
      <c r="R34">
        <v>0</v>
      </c>
      <c r="S34">
        <v>500</v>
      </c>
      <c r="T34">
        <v>0</v>
      </c>
      <c r="U34">
        <v>0</v>
      </c>
      <c r="V34">
        <v>0</v>
      </c>
      <c r="W34">
        <v>0</v>
      </c>
    </row>
    <row r="35" spans="10:23" x14ac:dyDescent="0.25">
      <c r="J35" t="str">
        <v/>
      </c>
      <c r="K35">
        <v>0</v>
      </c>
      <c r="L35" t="str">
        <v/>
      </c>
      <c r="M35" t="str">
        <v/>
      </c>
      <c r="N35" t="str">
        <v/>
      </c>
      <c r="O35" t="str">
        <v/>
      </c>
      <c r="P35" t="str">
        <v/>
      </c>
      <c r="Q35" t="str">
        <v/>
      </c>
      <c r="R35" t="str">
        <v/>
      </c>
      <c r="S35" t="str">
        <v/>
      </c>
      <c r="T35" t="str">
        <v/>
      </c>
      <c r="U35" t="str">
        <v/>
      </c>
      <c r="V35" t="str">
        <v/>
      </c>
      <c r="W35" t="str">
        <v/>
      </c>
    </row>
    <row r="36" spans="10:23" x14ac:dyDescent="0.25">
      <c r="J36" t="str">
        <v>Press CAPEX</v>
      </c>
      <c r="K36">
        <v>10000</v>
      </c>
      <c r="L36">
        <v>10000</v>
      </c>
      <c r="M36">
        <v>0</v>
      </c>
      <c r="N36">
        <v>0</v>
      </c>
      <c r="O36">
        <v>0</v>
      </c>
      <c r="P36">
        <v>0</v>
      </c>
      <c r="Q36">
        <v>0</v>
      </c>
      <c r="R36">
        <v>0</v>
      </c>
      <c r="S36">
        <v>0</v>
      </c>
      <c r="T36">
        <v>0</v>
      </c>
      <c r="U36">
        <v>0</v>
      </c>
      <c r="V36">
        <v>0</v>
      </c>
      <c r="W36">
        <v>0</v>
      </c>
    </row>
    <row r="37" spans="10:23" x14ac:dyDescent="0.25">
      <c r="J37" t="str">
        <v>Press Opening Value</v>
      </c>
      <c r="K37">
        <v>0</v>
      </c>
      <c r="L37">
        <v>10000</v>
      </c>
      <c r="M37">
        <v>8499.9699999999993</v>
      </c>
      <c r="N37">
        <v>6800.03</v>
      </c>
      <c r="O37">
        <v>5439.9699999999993</v>
      </c>
      <c r="P37">
        <v>4352.03</v>
      </c>
      <c r="Q37">
        <v>3481.57</v>
      </c>
      <c r="R37">
        <v>2785.3099999999986</v>
      </c>
      <c r="S37">
        <v>2228.2299999999973</v>
      </c>
      <c r="T37">
        <v>1782.6019999999967</v>
      </c>
      <c r="U37">
        <v>1426.0815999999959</v>
      </c>
      <c r="V37">
        <v>710.55727999999499</v>
      </c>
      <c r="W37">
        <v>0</v>
      </c>
    </row>
    <row r="38" spans="10:23" x14ac:dyDescent="0.25">
      <c r="J38" t="str">
        <v>Press Depreciation</v>
      </c>
      <c r="K38">
        <v>9999.9999999999982</v>
      </c>
      <c r="L38">
        <v>1500.03</v>
      </c>
      <c r="M38">
        <v>1699.9399999999996</v>
      </c>
      <c r="N38">
        <v>1360.0600000000002</v>
      </c>
      <c r="O38">
        <v>1087.9400000000005</v>
      </c>
      <c r="P38">
        <v>870.45999999999992</v>
      </c>
      <c r="Q38">
        <v>696.26000000000056</v>
      </c>
      <c r="R38">
        <v>557.08000000000038</v>
      </c>
      <c r="S38">
        <v>445.62800000000027</v>
      </c>
      <c r="T38">
        <v>356.52040000000034</v>
      </c>
      <c r="U38">
        <v>715.52432000000044</v>
      </c>
      <c r="V38">
        <v>710.55727999999601</v>
      </c>
      <c r="W38">
        <v>0</v>
      </c>
    </row>
    <row r="39" spans="10:23" x14ac:dyDescent="0.25">
      <c r="J39" t="str">
        <v>Press Book Value</v>
      </c>
      <c r="K39">
        <v>0</v>
      </c>
      <c r="L39">
        <v>8499.9699999999993</v>
      </c>
      <c r="M39">
        <v>6800.03</v>
      </c>
      <c r="N39">
        <v>5439.9699999999993</v>
      </c>
      <c r="O39">
        <v>4352.0299999999988</v>
      </c>
      <c r="P39">
        <v>3481.5699999999997</v>
      </c>
      <c r="Q39">
        <v>2785.3099999999995</v>
      </c>
      <c r="R39">
        <v>2228.2299999999982</v>
      </c>
      <c r="S39">
        <v>1782.6019999999971</v>
      </c>
      <c r="T39">
        <v>1426.0815999999963</v>
      </c>
      <c r="U39">
        <v>710.55727999999544</v>
      </c>
      <c r="V39">
        <v>-1.0231815394945443E-12</v>
      </c>
      <c r="W39">
        <v>0</v>
      </c>
    </row>
    <row r="40" spans="10:23" x14ac:dyDescent="0.25">
      <c r="J40" t="str">
        <v>Press Revenue from Sale</v>
      </c>
      <c r="K40">
        <v>500</v>
      </c>
      <c r="L40">
        <v>0</v>
      </c>
      <c r="M40">
        <v>0</v>
      </c>
      <c r="N40">
        <v>0</v>
      </c>
      <c r="O40">
        <v>0</v>
      </c>
      <c r="P40">
        <v>0</v>
      </c>
      <c r="Q40">
        <v>0</v>
      </c>
      <c r="R40">
        <v>0</v>
      </c>
      <c r="S40">
        <v>0</v>
      </c>
      <c r="T40">
        <v>0</v>
      </c>
      <c r="U40">
        <v>0</v>
      </c>
      <c r="V40">
        <v>500</v>
      </c>
      <c r="W40">
        <v>0</v>
      </c>
    </row>
    <row r="41" spans="10:23" x14ac:dyDescent="0.25">
      <c r="J41" t="str">
        <v>Press Disposal Costs</v>
      </c>
      <c r="K41">
        <v>100</v>
      </c>
      <c r="L41">
        <v>0</v>
      </c>
      <c r="M41">
        <v>0</v>
      </c>
      <c r="N41">
        <v>0</v>
      </c>
      <c r="O41">
        <v>0</v>
      </c>
      <c r="P41">
        <v>0</v>
      </c>
      <c r="Q41">
        <v>0</v>
      </c>
      <c r="R41">
        <v>0</v>
      </c>
      <c r="S41">
        <v>0</v>
      </c>
      <c r="T41">
        <v>0</v>
      </c>
      <c r="U41">
        <v>0</v>
      </c>
      <c r="V41">
        <v>100</v>
      </c>
      <c r="W41">
        <v>0</v>
      </c>
    </row>
    <row r="42" spans="10:23" x14ac:dyDescent="0.25">
      <c r="J42" t="str">
        <v/>
      </c>
      <c r="K42">
        <v>0</v>
      </c>
      <c r="L42" t="str">
        <v/>
      </c>
      <c r="M42" t="str">
        <v/>
      </c>
      <c r="N42" t="str">
        <v/>
      </c>
      <c r="O42" t="str">
        <v/>
      </c>
      <c r="P42" t="str">
        <v/>
      </c>
      <c r="Q42" t="str">
        <v/>
      </c>
      <c r="R42" t="str">
        <v/>
      </c>
      <c r="S42" t="str">
        <v/>
      </c>
      <c r="T42" t="str">
        <v/>
      </c>
      <c r="U42" t="str">
        <v/>
      </c>
      <c r="V42" t="str">
        <v/>
      </c>
      <c r="W42" t="str">
        <v/>
      </c>
    </row>
    <row r="43" spans="10:23" x14ac:dyDescent="0.25">
      <c r="J43" t="str">
        <v>CNC CAPEX</v>
      </c>
      <c r="K43">
        <v>50000</v>
      </c>
      <c r="L43">
        <v>0</v>
      </c>
      <c r="M43">
        <v>0</v>
      </c>
      <c r="N43">
        <v>50000</v>
      </c>
      <c r="O43">
        <v>0</v>
      </c>
      <c r="P43">
        <v>0</v>
      </c>
      <c r="Q43">
        <v>0</v>
      </c>
      <c r="R43">
        <v>0</v>
      </c>
      <c r="S43">
        <v>0</v>
      </c>
      <c r="T43">
        <v>0</v>
      </c>
      <c r="U43">
        <v>0</v>
      </c>
      <c r="V43">
        <v>0</v>
      </c>
      <c r="W43">
        <v>0</v>
      </c>
    </row>
    <row r="44" spans="10:23" x14ac:dyDescent="0.25">
      <c r="J44" t="str">
        <v>CNC Opening Value</v>
      </c>
      <c r="K44">
        <v>0</v>
      </c>
      <c r="L44">
        <v>0</v>
      </c>
      <c r="M44">
        <v>0</v>
      </c>
      <c r="N44">
        <v>50000</v>
      </c>
      <c r="O44">
        <v>49062.5</v>
      </c>
      <c r="P44">
        <v>46320.01999999999</v>
      </c>
      <c r="Q44">
        <v>42845.019999999968</v>
      </c>
      <c r="R44">
        <v>39629.999999999956</v>
      </c>
      <c r="S44">
        <v>36657.479999999967</v>
      </c>
      <c r="T44">
        <v>33907.479999999989</v>
      </c>
      <c r="U44">
        <v>31362.499999999996</v>
      </c>
      <c r="V44">
        <v>29010.019999999986</v>
      </c>
      <c r="W44">
        <v>26765.019999999968</v>
      </c>
    </row>
    <row r="45" spans="10:23" x14ac:dyDescent="0.25">
      <c r="J45" t="str">
        <v>CNC Depreciation</v>
      </c>
      <c r="K45">
        <v>25464.98</v>
      </c>
      <c r="L45">
        <v>0</v>
      </c>
      <c r="M45">
        <v>0</v>
      </c>
      <c r="N45">
        <v>937.5</v>
      </c>
      <c r="O45">
        <v>2742.4799999999996</v>
      </c>
      <c r="P45">
        <v>3475</v>
      </c>
      <c r="Q45">
        <v>3215.0200000000004</v>
      </c>
      <c r="R45">
        <v>2972.52</v>
      </c>
      <c r="S45">
        <v>2750</v>
      </c>
      <c r="T45">
        <v>2544.9799999999996</v>
      </c>
      <c r="U45">
        <v>2352.4799999999996</v>
      </c>
      <c r="V45">
        <v>2245</v>
      </c>
      <c r="W45">
        <v>2230</v>
      </c>
    </row>
    <row r="46" spans="10:23" x14ac:dyDescent="0.25">
      <c r="J46" t="str">
        <v>CNC Book Value</v>
      </c>
      <c r="K46">
        <v>0</v>
      </c>
      <c r="L46">
        <v>0</v>
      </c>
      <c r="M46">
        <v>0</v>
      </c>
      <c r="N46">
        <v>49062.5</v>
      </c>
      <c r="O46">
        <v>46320.020000000004</v>
      </c>
      <c r="P46">
        <v>42845.01999999999</v>
      </c>
      <c r="Q46">
        <v>39629.999999999971</v>
      </c>
      <c r="R46">
        <v>36657.47999999996</v>
      </c>
      <c r="S46">
        <v>33907.479999999967</v>
      </c>
      <c r="T46">
        <v>31362.499999999989</v>
      </c>
      <c r="U46">
        <v>29010.019999999997</v>
      </c>
      <c r="V46">
        <v>26765.019999999986</v>
      </c>
      <c r="W46">
        <v>24535.019999999968</v>
      </c>
    </row>
    <row r="47" spans="10:23" x14ac:dyDescent="0.25">
      <c r="J47" t="str">
        <v>CNC Revenue from Sale</v>
      </c>
      <c r="K47">
        <v>0</v>
      </c>
      <c r="L47">
        <v>0</v>
      </c>
      <c r="M47">
        <v>0</v>
      </c>
      <c r="N47">
        <v>0</v>
      </c>
      <c r="O47">
        <v>0</v>
      </c>
      <c r="P47">
        <v>0</v>
      </c>
      <c r="Q47">
        <v>0</v>
      </c>
      <c r="R47">
        <v>0</v>
      </c>
      <c r="S47">
        <v>0</v>
      </c>
      <c r="T47">
        <v>0</v>
      </c>
      <c r="U47">
        <v>0</v>
      </c>
      <c r="V47">
        <v>0</v>
      </c>
      <c r="W47">
        <v>0</v>
      </c>
    </row>
    <row r="48" spans="10:23" x14ac:dyDescent="0.25">
      <c r="J48" t="str">
        <v>CNC Disposal Costs</v>
      </c>
      <c r="K48">
        <v>0</v>
      </c>
      <c r="L48">
        <v>0</v>
      </c>
      <c r="M48">
        <v>0</v>
      </c>
      <c r="N48">
        <v>0</v>
      </c>
      <c r="O48">
        <v>0</v>
      </c>
      <c r="P48">
        <v>0</v>
      </c>
      <c r="Q48">
        <v>0</v>
      </c>
      <c r="R48">
        <v>0</v>
      </c>
      <c r="S48">
        <v>0</v>
      </c>
      <c r="T48">
        <v>0</v>
      </c>
      <c r="U48">
        <v>0</v>
      </c>
      <c r="V48">
        <v>0</v>
      </c>
      <c r="W48">
        <v>0</v>
      </c>
    </row>
  </sheetData>
  <mergeCells count="6">
    <mergeCell ref="A27:H27"/>
    <mergeCell ref="A1:Q1"/>
    <mergeCell ref="A2:Q2"/>
    <mergeCell ref="M4:T13"/>
    <mergeCell ref="A18:C18"/>
    <mergeCell ref="A26:H26"/>
  </mergeCells>
  <dataValidations count="1">
    <dataValidation type="list" allowBlank="1" showInputMessage="1" showErrorMessage="1" sqref="H29:H31" xr:uid="{D5A42FC3-AEDA-4CE2-A154-219CC32BC3A8}">
      <formula1>INDIRECT("tblMethods[Method]")</formula1>
    </dataValidation>
  </dataValidations>
  <hyperlinks>
    <hyperlink ref="A1" location="'TOC'!$A$1" display="'TOC'!$A$1" xr:uid="{1B64CA4C-342A-436E-A33A-B21B7CC34AD7}"/>
  </hyperlinks>
  <pageMargins left="0.7" right="0.7" top="0.75" bottom="0.75" header="0.3" footer="0.3"/>
  <customProperties>
    <customPr name="Description" r:id="rId1"/>
  </customProperties>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B3B3E-037A-4791-BB65-9394CF90C975}">
  <sheetPr codeName="Sheet42">
    <tabColor rgb="FF157A5F"/>
  </sheetPr>
  <dimension ref="A1:U39"/>
  <sheetViews>
    <sheetView showGridLines="0" workbookViewId="0">
      <selection activeCell="A1" sqref="A1"/>
    </sheetView>
  </sheetViews>
  <sheetFormatPr defaultRowHeight="15" x14ac:dyDescent="0.25"/>
  <cols>
    <col min="1" max="1" width="12.7109375" bestFit="1" customWidth="1"/>
    <col min="2" max="2" width="11.28515625" customWidth="1"/>
    <col min="3" max="3" width="10" bestFit="1" customWidth="1"/>
    <col min="7" max="7" width="10" bestFit="1" customWidth="1"/>
    <col min="8" max="8" width="11.28515625" bestFit="1" customWidth="1"/>
    <col min="9" max="9" width="11.7109375" bestFit="1" customWidth="1"/>
    <col min="10" max="21" width="11.42578125" bestFit="1" customWidth="1"/>
  </cols>
  <sheetData>
    <row r="1" spans="1:17" ht="45.75" x14ac:dyDescent="0.65">
      <c r="A1" s="270" t="str">
        <f>_xlfn.TEXTAFTER(CELL("filename",A1),"]")</f>
        <v>nabla.f.IntOnIntλ</v>
      </c>
      <c r="B1" s="270"/>
      <c r="C1" s="270"/>
      <c r="D1" s="270"/>
      <c r="E1" s="270"/>
      <c r="F1" s="270"/>
      <c r="G1" s="270"/>
      <c r="H1" s="270"/>
      <c r="I1" s="270"/>
      <c r="J1" s="270"/>
      <c r="K1" s="270"/>
      <c r="L1" s="270"/>
      <c r="M1" s="270"/>
      <c r="N1" s="270"/>
      <c r="O1" s="270"/>
      <c r="P1" s="270"/>
    </row>
    <row r="2" spans="1:17" x14ac:dyDescent="0.25">
      <c r="A2" s="273" t="s">
        <v>209</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c r="L3" s="104"/>
      <c r="M3" s="104"/>
      <c r="N3" s="104"/>
      <c r="O3" s="104"/>
      <c r="P3" s="104"/>
    </row>
    <row r="4" spans="1:17" x14ac:dyDescent="0.25">
      <c r="A4" s="162" t="str" cm="1">
        <f t="array" ref="A4:B14">nabla.f.IntOnIntλ()</f>
        <v>FUNCTION:</v>
      </c>
      <c r="B4" t="str">
        <v>IntOnIntλ( Principal, Rate)</v>
      </c>
    </row>
    <row r="5" spans="1:17" x14ac:dyDescent="0.25">
      <c r="A5" t="str">
        <v>DESCRIPTION:</v>
      </c>
      <c r="B5" t="str">
        <v>Calculate Interest on Interest (Interest only). Use to determine amount</v>
      </c>
    </row>
    <row r="6" spans="1:17" x14ac:dyDescent="0.25">
      <c r="A6" t="str">
        <v/>
      </c>
      <c r="B6" t="str">
        <v>needed to cover borrowed interest</v>
      </c>
    </row>
    <row r="7" spans="1:17" x14ac:dyDescent="0.25">
      <c r="A7" t="str">
        <v>WEBSITE:</v>
      </c>
      <c r="B7" t="str">
        <v>https://github.com/ryanduguid/Nabla</v>
      </c>
    </row>
    <row r="8" spans="1:17" x14ac:dyDescent="0.25">
      <c r="A8" t="str">
        <v>VERSION:</v>
      </c>
      <c r="B8" t="str">
        <v>18 Aug 2026</v>
      </c>
    </row>
    <row r="9" spans="1:17" x14ac:dyDescent="0.25">
      <c r="A9" t="str">
        <v>PARAMETERS:</v>
      </c>
      <c r="B9" t="str">
        <v/>
      </c>
    </row>
    <row r="10" spans="1:17" x14ac:dyDescent="0.25">
      <c r="A10" t="str">
        <v>Principal</v>
      </c>
      <c r="B10" t="str">
        <v>(Required) Principal amount</v>
      </c>
    </row>
    <row r="11" spans="1:17" x14ac:dyDescent="0.25">
      <c r="A11" t="str">
        <v>Rate</v>
      </c>
      <c r="B11" t="str">
        <v>(Required) Interest percentage rate. For years, APR. For months, APR/12</v>
      </c>
    </row>
    <row r="12" spans="1:17" x14ac:dyDescent="0.25">
      <c r="A12" t="str">
        <v>EXAMPLES:</v>
      </c>
      <c r="B12" t="str">
        <v/>
      </c>
    </row>
    <row r="13" spans="1:17" x14ac:dyDescent="0.25">
      <c r="A13" t="str">
        <v>Result</v>
      </c>
      <c r="B13" t="str">
        <v>Formula (nabla.f is assumed to be the module's name)</v>
      </c>
    </row>
    <row r="14" spans="1:17" x14ac:dyDescent="0.25">
      <c r="A14" t="str">
        <v>52.63</v>
      </c>
      <c r="B14" t="str">
        <v>=nabla.f.IntOnIntλ( 1000, 5%)</v>
      </c>
    </row>
    <row r="17" spans="1:21" ht="20.25" x14ac:dyDescent="0.3">
      <c r="A17" s="302" t="s">
        <v>272</v>
      </c>
      <c r="B17" s="302"/>
      <c r="C17" s="302"/>
    </row>
    <row r="18" spans="1:21" x14ac:dyDescent="0.25">
      <c r="I18" s="191" t="s">
        <v>279</v>
      </c>
      <c r="J18" s="165" cm="1">
        <f t="array" ref="J18:U18">nabla.d.Timelineλ($B$20, $B$21, $B$22, FALSE)</f>
        <v>45291</v>
      </c>
      <c r="K18" s="165">
        <v>46387</v>
      </c>
      <c r="L18" s="165">
        <v>46752</v>
      </c>
      <c r="M18" s="165">
        <v>47118</v>
      </c>
      <c r="N18" s="165">
        <v>47483</v>
      </c>
      <c r="O18" s="165">
        <v>47848</v>
      </c>
      <c r="P18" s="165">
        <v>48213</v>
      </c>
      <c r="Q18" s="165">
        <v>48579</v>
      </c>
      <c r="R18" s="165">
        <v>48944</v>
      </c>
      <c r="S18" s="165">
        <v>49309</v>
      </c>
      <c r="T18" s="165">
        <v>49674</v>
      </c>
      <c r="U18" s="165">
        <v>50040</v>
      </c>
    </row>
    <row r="19" spans="1:21" x14ac:dyDescent="0.25">
      <c r="A19" s="161" t="s">
        <v>273</v>
      </c>
      <c r="B19" s="161" t="s">
        <v>138</v>
      </c>
      <c r="C19" s="161" t="s">
        <v>139</v>
      </c>
      <c r="F19" s="199" t="s">
        <v>258</v>
      </c>
      <c r="G19" s="200" t="s">
        <v>138</v>
      </c>
      <c r="H19" s="199" t="s">
        <v>139</v>
      </c>
      <c r="I19" s="190" t="s">
        <v>276</v>
      </c>
      <c r="J19" s="1" cm="1">
        <f t="array" ref="J19:U19">nabla.d.Timelineλ($B$20, $B$21, $B$22)</f>
        <v>44927</v>
      </c>
      <c r="K19" s="1">
        <v>46023</v>
      </c>
      <c r="L19" s="1">
        <v>46388</v>
      </c>
      <c r="M19" s="1">
        <v>46753</v>
      </c>
      <c r="N19" s="1">
        <v>47119</v>
      </c>
      <c r="O19" s="1">
        <v>47484</v>
      </c>
      <c r="P19" s="1">
        <v>47849</v>
      </c>
      <c r="Q19" s="1">
        <v>48214</v>
      </c>
      <c r="R19" s="1">
        <v>48580</v>
      </c>
      <c r="S19" s="1">
        <v>48945</v>
      </c>
      <c r="T19" s="1">
        <v>49310</v>
      </c>
      <c r="U19" s="1">
        <v>49675</v>
      </c>
    </row>
    <row r="20" spans="1:21" x14ac:dyDescent="0.25">
      <c r="A20" t="s">
        <v>236</v>
      </c>
      <c r="B20" s="141">
        <v>45658</v>
      </c>
      <c r="C20" t="s">
        <v>145</v>
      </c>
      <c r="F20" s="2" t="s">
        <v>310</v>
      </c>
    </row>
    <row r="21" spans="1:21" x14ac:dyDescent="0.25">
      <c r="A21" t="s">
        <v>141</v>
      </c>
      <c r="B21">
        <v>12</v>
      </c>
      <c r="C21" t="s">
        <v>146</v>
      </c>
      <c r="F21" s="121" t="s">
        <v>236</v>
      </c>
      <c r="G21" s="141">
        <f>_xlfn.XLOOKUP(F20, tblPhases[Description], tblPhases[Start])</f>
        <v>44927</v>
      </c>
      <c r="H21" t="s">
        <v>66</v>
      </c>
    </row>
    <row r="22" spans="1:21" x14ac:dyDescent="0.25">
      <c r="A22" t="s">
        <v>142</v>
      </c>
      <c r="B22" t="s">
        <v>24</v>
      </c>
      <c r="F22" s="121" t="s">
        <v>286</v>
      </c>
      <c r="G22" s="198">
        <f>_xlfn.XLOOKUP(F20, tblPhases[Description], tblPhases[APR])</f>
        <v>7.0000000000000007E-2</v>
      </c>
      <c r="H22" t="s">
        <v>257</v>
      </c>
    </row>
    <row r="23" spans="1:21" x14ac:dyDescent="0.25">
      <c r="F23" s="121" t="s">
        <v>285</v>
      </c>
      <c r="G23">
        <f>_xlfn.XLOOKUP(F20,tblPhases[Description],tblPhases[Principal])</f>
        <v>50000</v>
      </c>
      <c r="H23" t="s">
        <v>161</v>
      </c>
      <c r="J23" cm="1">
        <f t="array" ref="J23:U23">nabla.d.IsBetweenλ(G21,_xlfn.ANCHORARRAY( $J$19),_xlfn.ANCHORARRAY( $J$18), TRUE) * G23</f>
        <v>50000</v>
      </c>
      <c r="K23">
        <v>0</v>
      </c>
      <c r="L23">
        <v>0</v>
      </c>
      <c r="M23">
        <v>0</v>
      </c>
      <c r="N23">
        <v>0</v>
      </c>
      <c r="O23">
        <v>0</v>
      </c>
      <c r="P23">
        <v>0</v>
      </c>
      <c r="Q23">
        <v>0</v>
      </c>
      <c r="R23">
        <v>0</v>
      </c>
      <c r="S23">
        <v>0</v>
      </c>
      <c r="T23">
        <v>0</v>
      </c>
      <c r="U23">
        <v>0</v>
      </c>
    </row>
    <row r="24" spans="1:21" x14ac:dyDescent="0.25">
      <c r="A24" s="317"/>
      <c r="B24" s="317"/>
      <c r="C24" s="317"/>
      <c r="D24" s="317"/>
      <c r="F24" s="121" t="s">
        <v>313</v>
      </c>
      <c r="J24" s="162" cm="1">
        <f t="array" ref="J24:U24">nabla.f.IntOnIntλ(_xlfn.ANCHORARRAY(J23),G22)</f>
        <v>3763.4408602150579</v>
      </c>
      <c r="K24">
        <v>0</v>
      </c>
      <c r="L24">
        <v>0</v>
      </c>
      <c r="M24">
        <v>0</v>
      </c>
      <c r="N24">
        <v>0</v>
      </c>
      <c r="O24">
        <v>0</v>
      </c>
      <c r="P24">
        <v>0</v>
      </c>
      <c r="Q24">
        <v>0</v>
      </c>
      <c r="R24">
        <v>0</v>
      </c>
      <c r="S24">
        <v>0</v>
      </c>
      <c r="T24">
        <v>0</v>
      </c>
      <c r="U24">
        <v>0</v>
      </c>
    </row>
    <row r="25" spans="1:21" ht="20.25" x14ac:dyDescent="0.3">
      <c r="A25" s="299" t="s">
        <v>315</v>
      </c>
      <c r="B25" s="303"/>
      <c r="C25" s="303"/>
      <c r="D25" s="303"/>
      <c r="F25" s="2" t="s">
        <v>314</v>
      </c>
      <c r="J25" s="167" cm="1">
        <f t="array" ref="J25:U25">_xlfn.ANCHORARRAY(J23)+_xlfn.ANCHORARRAY(J24)</f>
        <v>53763.440860215058</v>
      </c>
      <c r="K25" s="167">
        <v>0</v>
      </c>
      <c r="L25" s="167">
        <v>0</v>
      </c>
      <c r="M25" s="167">
        <v>0</v>
      </c>
      <c r="N25" s="167">
        <v>0</v>
      </c>
      <c r="O25" s="167">
        <v>0</v>
      </c>
      <c r="P25" s="167">
        <v>0</v>
      </c>
      <c r="Q25" s="167">
        <v>0</v>
      </c>
      <c r="R25" s="167">
        <v>0</v>
      </c>
      <c r="S25" s="167">
        <v>0</v>
      </c>
      <c r="T25" s="167">
        <v>0</v>
      </c>
      <c r="U25" s="167">
        <v>0</v>
      </c>
    </row>
    <row r="26" spans="1:21" x14ac:dyDescent="0.25">
      <c r="A26" s="301"/>
      <c r="B26" s="300"/>
      <c r="C26" s="300"/>
      <c r="D26" s="300"/>
    </row>
    <row r="27" spans="1:21" x14ac:dyDescent="0.25">
      <c r="A27" s="172" t="s">
        <v>131</v>
      </c>
      <c r="B27" s="173" t="s">
        <v>285</v>
      </c>
      <c r="C27" s="173" t="s">
        <v>236</v>
      </c>
      <c r="D27" s="173" t="s">
        <v>286</v>
      </c>
      <c r="F27" s="2" t="s">
        <v>311</v>
      </c>
    </row>
    <row r="28" spans="1:21" x14ac:dyDescent="0.25">
      <c r="A28" s="177" t="s">
        <v>310</v>
      </c>
      <c r="B28" s="178">
        <v>50000</v>
      </c>
      <c r="C28" s="181">
        <v>45658</v>
      </c>
      <c r="D28" s="179">
        <v>7.0000000000000007E-2</v>
      </c>
      <c r="F28" s="121" t="s">
        <v>236</v>
      </c>
      <c r="G28" s="141">
        <f>_xlfn.XLOOKUP(F27,tblPhases[Description],tblPhases[Start])</f>
        <v>45292</v>
      </c>
      <c r="H28" t="s">
        <v>66</v>
      </c>
    </row>
    <row r="29" spans="1:21" x14ac:dyDescent="0.25">
      <c r="A29" s="177" t="s">
        <v>311</v>
      </c>
      <c r="B29" s="178">
        <v>500000</v>
      </c>
      <c r="C29" s="181">
        <v>46023</v>
      </c>
      <c r="D29" s="179">
        <v>6.5000000000000002E-2</v>
      </c>
      <c r="F29" s="121" t="s">
        <v>286</v>
      </c>
      <c r="G29" s="198">
        <f>_xlfn.XLOOKUP(F27,tblPhases[Description],tblPhases[APR])</f>
        <v>6.5000000000000002E-2</v>
      </c>
      <c r="H29" t="s">
        <v>257</v>
      </c>
    </row>
    <row r="30" spans="1:21" x14ac:dyDescent="0.25">
      <c r="A30" s="177" t="s">
        <v>312</v>
      </c>
      <c r="B30" s="178">
        <v>450000</v>
      </c>
      <c r="C30" s="181">
        <v>46388</v>
      </c>
      <c r="D30" s="179">
        <v>0.08</v>
      </c>
      <c r="F30" s="121" t="s">
        <v>285</v>
      </c>
      <c r="G30">
        <f>_xlfn.XLOOKUP(F27,tblPhases[Description],tblPhases[Principal])</f>
        <v>500000</v>
      </c>
      <c r="H30" t="s">
        <v>161</v>
      </c>
      <c r="J30" cm="1">
        <f t="array" ref="J30:U30">nabla.d.IsBetweenλ(G28,_xlfn.ANCHORARRAY( $J$19),_xlfn.ANCHORARRAY( $J$18), TRUE) * G30</f>
        <v>0</v>
      </c>
      <c r="K30">
        <v>500000</v>
      </c>
      <c r="L30">
        <v>0</v>
      </c>
      <c r="M30">
        <v>0</v>
      </c>
      <c r="N30">
        <v>0</v>
      </c>
      <c r="O30">
        <v>0</v>
      </c>
      <c r="P30">
        <v>0</v>
      </c>
      <c r="Q30">
        <v>0</v>
      </c>
      <c r="R30">
        <v>0</v>
      </c>
      <c r="S30">
        <v>0</v>
      </c>
      <c r="T30">
        <v>0</v>
      </c>
      <c r="U30">
        <v>0</v>
      </c>
    </row>
    <row r="31" spans="1:21" x14ac:dyDescent="0.25">
      <c r="F31" s="121" t="s">
        <v>313</v>
      </c>
      <c r="J31" s="162" cm="1">
        <f t="array" ref="J31:U31">nabla.f.IntOnIntλ(_xlfn.ANCHORARRAY(J30),G29)</f>
        <v>0</v>
      </c>
      <c r="K31">
        <v>34759.358288770076</v>
      </c>
      <c r="L31">
        <v>0</v>
      </c>
      <c r="M31">
        <v>0</v>
      </c>
      <c r="N31">
        <v>0</v>
      </c>
      <c r="O31">
        <v>0</v>
      </c>
      <c r="P31">
        <v>0</v>
      </c>
      <c r="Q31">
        <v>0</v>
      </c>
      <c r="R31">
        <v>0</v>
      </c>
      <c r="S31">
        <v>0</v>
      </c>
      <c r="T31">
        <v>0</v>
      </c>
      <c r="U31">
        <v>0</v>
      </c>
    </row>
    <row r="32" spans="1:21" x14ac:dyDescent="0.25">
      <c r="F32" s="2" t="s">
        <v>314</v>
      </c>
      <c r="J32" s="167" cm="1">
        <f t="array" ref="J32:U32">_xlfn.ANCHORARRAY(J30)+_xlfn.ANCHORARRAY(J31)</f>
        <v>0</v>
      </c>
      <c r="K32" s="167">
        <v>534759.35828877008</v>
      </c>
      <c r="L32" s="167">
        <v>0</v>
      </c>
      <c r="M32" s="167">
        <v>0</v>
      </c>
      <c r="N32" s="167">
        <v>0</v>
      </c>
      <c r="O32" s="167">
        <v>0</v>
      </c>
      <c r="P32" s="167">
        <v>0</v>
      </c>
      <c r="Q32" s="167">
        <v>0</v>
      </c>
      <c r="R32" s="167">
        <v>0</v>
      </c>
      <c r="S32" s="167">
        <v>0</v>
      </c>
      <c r="T32" s="167">
        <v>0</v>
      </c>
      <c r="U32" s="167">
        <v>0</v>
      </c>
    </row>
    <row r="34" spans="6:21" x14ac:dyDescent="0.25">
      <c r="F34" s="2" t="s">
        <v>312</v>
      </c>
    </row>
    <row r="35" spans="6:21" x14ac:dyDescent="0.25">
      <c r="F35" s="121" t="s">
        <v>236</v>
      </c>
      <c r="G35" s="141">
        <f>_xlfn.XLOOKUP(F34,tblPhases[Description],tblPhases[Start])</f>
        <v>45658</v>
      </c>
      <c r="H35" t="s">
        <v>66</v>
      </c>
    </row>
    <row r="36" spans="6:21" x14ac:dyDescent="0.25">
      <c r="F36" s="121" t="s">
        <v>286</v>
      </c>
      <c r="G36" s="198">
        <f>_xlfn.XLOOKUP(F34,tblPhases[Description],tblPhases[APR])</f>
        <v>0.08</v>
      </c>
      <c r="H36" t="s">
        <v>257</v>
      </c>
    </row>
    <row r="37" spans="6:21" x14ac:dyDescent="0.25">
      <c r="F37" s="121" t="s">
        <v>285</v>
      </c>
      <c r="G37">
        <f>_xlfn.XLOOKUP(F34,tblPhases[Description],tblPhases[Principal])</f>
        <v>450000</v>
      </c>
      <c r="H37" t="s">
        <v>161</v>
      </c>
      <c r="J37" cm="1">
        <f t="array" ref="J37:U37">nabla.d.IsBetweenλ(G35,_xlfn.ANCHORARRAY( $J$19),_xlfn.ANCHORARRAY( $J$18), TRUE) * G37</f>
        <v>0</v>
      </c>
      <c r="K37">
        <v>0</v>
      </c>
      <c r="L37">
        <v>450000</v>
      </c>
      <c r="M37">
        <v>0</v>
      </c>
      <c r="N37">
        <v>0</v>
      </c>
      <c r="O37">
        <v>0</v>
      </c>
      <c r="P37">
        <v>0</v>
      </c>
      <c r="Q37">
        <v>0</v>
      </c>
      <c r="R37">
        <v>0</v>
      </c>
      <c r="S37">
        <v>0</v>
      </c>
      <c r="T37">
        <v>0</v>
      </c>
      <c r="U37">
        <v>0</v>
      </c>
    </row>
    <row r="38" spans="6:21" x14ac:dyDescent="0.25">
      <c r="F38" s="121" t="s">
        <v>313</v>
      </c>
      <c r="J38" s="162" cm="1">
        <f t="array" ref="J38:U38">nabla.f.IntOnIntλ(_xlfn.ANCHORARRAY(J37),G36)</f>
        <v>0</v>
      </c>
      <c r="K38">
        <v>0</v>
      </c>
      <c r="L38">
        <v>39130.434782608703</v>
      </c>
      <c r="M38">
        <v>0</v>
      </c>
      <c r="N38">
        <v>0</v>
      </c>
      <c r="O38">
        <v>0</v>
      </c>
      <c r="P38">
        <v>0</v>
      </c>
      <c r="Q38">
        <v>0</v>
      </c>
      <c r="R38">
        <v>0</v>
      </c>
      <c r="S38">
        <v>0</v>
      </c>
      <c r="T38">
        <v>0</v>
      </c>
      <c r="U38">
        <v>0</v>
      </c>
    </row>
    <row r="39" spans="6:21" x14ac:dyDescent="0.25">
      <c r="F39" s="2" t="s">
        <v>314</v>
      </c>
      <c r="J39" s="167" cm="1">
        <f t="array" ref="J39:U39">_xlfn.ANCHORARRAY(J37)+_xlfn.ANCHORARRAY(J38)</f>
        <v>0</v>
      </c>
      <c r="K39" s="167">
        <v>0</v>
      </c>
      <c r="L39" s="167">
        <v>489130.4347826087</v>
      </c>
      <c r="M39" s="167">
        <v>0</v>
      </c>
      <c r="N39" s="167">
        <v>0</v>
      </c>
      <c r="O39" s="167">
        <v>0</v>
      </c>
      <c r="P39" s="167">
        <v>0</v>
      </c>
      <c r="Q39" s="167">
        <v>0</v>
      </c>
      <c r="R39" s="167">
        <v>0</v>
      </c>
      <c r="S39" s="167">
        <v>0</v>
      </c>
      <c r="T39" s="167">
        <v>0</v>
      </c>
      <c r="U39" s="167">
        <v>0</v>
      </c>
    </row>
  </sheetData>
  <mergeCells count="6">
    <mergeCell ref="A26:D26"/>
    <mergeCell ref="A1:P1"/>
    <mergeCell ref="A17:C17"/>
    <mergeCell ref="A24:D24"/>
    <mergeCell ref="A2:Q2"/>
    <mergeCell ref="A25:D25"/>
  </mergeCells>
  <hyperlinks>
    <hyperlink ref="A1" location="'TOC'!$A$1" display="'TOC'!$A$1" xr:uid="{8EF6B6D1-B110-459C-AA72-C307CD7EF888}"/>
  </hyperlinks>
  <pageMargins left="0.7" right="0.7" top="0.75" bottom="0.75" header="0.3" footer="0.3"/>
  <customProperties>
    <customPr name="Description" r:id="rId1"/>
  </customProperties>
  <drawing r:id="rId2"/>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395F-B67C-4D9C-AA8C-4AD24905CEED}">
  <sheetPr codeName="Sheet43">
    <tabColor rgb="FF157A5F"/>
  </sheetPr>
  <dimension ref="A1:R28"/>
  <sheetViews>
    <sheetView showGridLines="0" workbookViewId="0">
      <selection activeCell="A1" sqref="A1"/>
    </sheetView>
  </sheetViews>
  <sheetFormatPr defaultRowHeight="15" x14ac:dyDescent="0.25"/>
  <cols>
    <col min="1" max="1" width="12.7109375" bestFit="1" customWidth="1"/>
    <col min="2" max="2" width="10.85546875" customWidth="1"/>
    <col min="5" max="5" width="15.5703125" bestFit="1" customWidth="1"/>
    <col min="6" max="17" width="10.140625" bestFit="1" customWidth="1"/>
  </cols>
  <sheetData>
    <row r="1" spans="1:18" ht="45.75" x14ac:dyDescent="0.65">
      <c r="A1" s="270" t="str">
        <f>_xlfn.TEXTAFTER(CELL("filename",A1),"]")</f>
        <v>nabla.f.IRRλ</v>
      </c>
      <c r="B1" s="270"/>
      <c r="C1" s="270"/>
      <c r="D1" s="270"/>
      <c r="E1" s="270"/>
      <c r="F1" s="270"/>
      <c r="G1" s="270"/>
      <c r="H1" s="270"/>
      <c r="I1" s="270"/>
      <c r="J1" s="270"/>
    </row>
    <row r="2" spans="1:18" x14ac:dyDescent="0.25">
      <c r="A2" s="273" t="s">
        <v>210</v>
      </c>
      <c r="B2" s="274"/>
      <c r="C2" s="274"/>
      <c r="D2" s="274"/>
      <c r="E2" s="274"/>
      <c r="F2" s="274"/>
      <c r="G2" s="274"/>
      <c r="H2" s="274"/>
      <c r="I2" s="274"/>
      <c r="J2" s="274"/>
      <c r="K2" s="274"/>
      <c r="L2" s="274"/>
      <c r="M2" s="274"/>
      <c r="N2" s="274"/>
      <c r="O2" s="274"/>
      <c r="P2" s="274"/>
      <c r="Q2" s="274"/>
      <c r="R2" s="274"/>
    </row>
    <row r="3" spans="1:18" x14ac:dyDescent="0.25">
      <c r="A3" s="104"/>
      <c r="B3" s="104"/>
      <c r="C3" s="104"/>
      <c r="D3" s="104"/>
      <c r="E3" s="104"/>
      <c r="F3" s="104"/>
      <c r="G3" s="104"/>
      <c r="H3" s="104"/>
      <c r="I3" s="104"/>
      <c r="J3" s="104"/>
    </row>
    <row r="4" spans="1:18" x14ac:dyDescent="0.25">
      <c r="A4" s="162" t="str" cm="1">
        <f t="array" ref="A4:B21">nabla.f.IRRλ()</f>
        <v>FUNCTION:</v>
      </c>
      <c r="B4" t="str">
        <v>IRRλ( Values, Dates)</v>
      </c>
    </row>
    <row r="5" spans="1:18" x14ac:dyDescent="0.25">
      <c r="A5" t="str">
        <v>DESCRIPTION:</v>
      </c>
      <c r="B5" t="str">
        <v>Calculates IRR, correcting for when the first investment is not in the first period</v>
      </c>
    </row>
    <row r="6" spans="1:18" x14ac:dyDescent="0.25">
      <c r="A6" t="str">
        <v>WEBSITE:</v>
      </c>
      <c r="B6" t="str">
        <v>https://github.com/ryanduguid/Nabla</v>
      </c>
    </row>
    <row r="7" spans="1:18" x14ac:dyDescent="0.25">
      <c r="A7" t="str">
        <v>VERSION:</v>
      </c>
      <c r="B7" t="str">
        <v>18 Aug 2026</v>
      </c>
    </row>
    <row r="8" spans="1:18" x14ac:dyDescent="0.25">
      <c r="A8" t="str">
        <v>PARAMETERS:</v>
      </c>
      <c r="B8" t="str">
        <v/>
      </c>
    </row>
    <row r="9" spans="1:18" x14ac:dyDescent="0.25">
      <c r="A9" t="str">
        <v>Values</v>
      </c>
      <c r="B9" t="str">
        <v>(Required) A row of investments (negative) and distributions (positive)</v>
      </c>
    </row>
    <row r="10" spans="1:18" x14ac:dyDescent="0.25">
      <c r="A10" t="str">
        <v/>
      </c>
      <c r="B10" t="str">
        <v>The first entry, whether 0 or an amount, must be for the first period in the timeline</v>
      </c>
    </row>
    <row r="11" spans="1:18" x14ac:dyDescent="0.25">
      <c r="A11" t="str">
        <v/>
      </c>
      <c r="B11" t="str">
        <v>and subsequent entries must correspond to periods in the timeline; however,</v>
      </c>
    </row>
    <row r="12" spans="1:18" x14ac:dyDescent="0.25">
      <c r="A12" t="str">
        <v/>
      </c>
      <c r="B12" t="str">
        <v>the timeline may extend beyond the end of values.</v>
      </c>
    </row>
    <row r="13" spans="1:18" x14ac:dyDescent="0.25">
      <c r="A13" t="str">
        <v>Dates</v>
      </c>
      <c r="B13" t="str">
        <v>(Required) A timeline for when each investment is made</v>
      </c>
    </row>
    <row r="14" spans="1:18" x14ac:dyDescent="0.25">
      <c r="A14" t="str">
        <v/>
      </c>
      <c r="B14" t="str">
        <v/>
      </c>
    </row>
    <row r="15" spans="1:18" x14ac:dyDescent="0.25">
      <c r="A15" t="str">
        <v>EXAMPLES:</v>
      </c>
      <c r="B15" t="str">
        <v/>
      </c>
    </row>
    <row r="16" spans="1:18" x14ac:dyDescent="0.25">
      <c r="A16" t="str">
        <v>Result</v>
      </c>
      <c r="B16" t="str">
        <v>Formula (nabla.f is assumed to be the module's name)</v>
      </c>
    </row>
    <row r="17" spans="1:17" x14ac:dyDescent="0.25">
      <c r="A17" t="str">
        <v>Dates</v>
      </c>
      <c r="B17" t="str">
        <v>=EDATE("1/1/2025", SEQUENCE(,24, 0))</v>
      </c>
    </row>
    <row r="18" spans="1:17" x14ac:dyDescent="0.25">
      <c r="A18" t="str">
        <v>Values</v>
      </c>
      <c r="B18" t="str">
        <v>={0,0,-150,0,-100,10,20,30,40,50,60,70}</v>
      </c>
    </row>
    <row r="19" spans="1:17" x14ac:dyDescent="0.25">
      <c r="A19" t="str">
        <v/>
      </c>
      <c r="B19" t="str">
        <v/>
      </c>
    </row>
    <row r="20" spans="1:17" x14ac:dyDescent="0.25">
      <c r="A20" t="str">
        <v>Result</v>
      </c>
      <c r="B20" t="str">
        <v>Formula</v>
      </c>
    </row>
    <row r="21" spans="1:17" x14ac:dyDescent="0.25">
      <c r="A21" t="str">
        <v>24%</v>
      </c>
      <c r="B21" t="str">
        <v>=nabla.f.IRRλ( Values, Dates)</v>
      </c>
    </row>
    <row r="23" spans="1:17" ht="20.25" x14ac:dyDescent="0.3">
      <c r="A23" s="302" t="s">
        <v>272</v>
      </c>
      <c r="B23" s="302"/>
      <c r="C23" s="302"/>
    </row>
    <row r="25" spans="1:17" x14ac:dyDescent="0.25">
      <c r="A25" s="161" t="s">
        <v>273</v>
      </c>
      <c r="B25" s="161" t="s">
        <v>138</v>
      </c>
      <c r="C25" s="161" t="s">
        <v>139</v>
      </c>
      <c r="E25" s="190" t="s">
        <v>316</v>
      </c>
      <c r="F25" s="1" cm="1">
        <f t="array" ref="F25:Q25">nabla.d.Timelineλ($B$26, $B$27, $B$28)</f>
        <v>45292</v>
      </c>
      <c r="G25" s="1">
        <v>46388</v>
      </c>
      <c r="H25" s="1">
        <v>46753</v>
      </c>
      <c r="I25" s="1">
        <v>47119</v>
      </c>
      <c r="J25" s="1">
        <v>47484</v>
      </c>
      <c r="K25" s="1">
        <v>47849</v>
      </c>
      <c r="L25" s="1">
        <v>48214</v>
      </c>
      <c r="M25" s="1">
        <v>48580</v>
      </c>
      <c r="N25" s="1">
        <v>48945</v>
      </c>
      <c r="O25" s="1">
        <v>49310</v>
      </c>
      <c r="P25" s="1">
        <v>49675</v>
      </c>
      <c r="Q25" s="1">
        <v>50041</v>
      </c>
    </row>
    <row r="26" spans="1:17" x14ac:dyDescent="0.25">
      <c r="A26" t="s">
        <v>236</v>
      </c>
      <c r="B26" s="141">
        <v>46023</v>
      </c>
      <c r="C26" t="s">
        <v>145</v>
      </c>
      <c r="E26" s="201" cm="1">
        <f t="array" ref="E26">nabla.f.IRRλ(_xlfn.ANCHORARRAY(F26),_xlfn.ANCHORARRAY( F25))</f>
        <v>0.28036729693412787</v>
      </c>
      <c r="F26" cm="1">
        <f t="array" ref="F26:Q26">_xlfn.LET(_xlpm.Pad,2,
     _xlpm.Returns, _xlfn.MAKEARRAY(1, 11-_xlpm.Pad, _xlfn.LAMBDA(_xlpm.R,_xlpm.C, 1000 + _xlpm.C * 100)),
     _xlfn.HSTACK(_xlfn.SEQUENCE(,_xlpm.Pad,0,0),-5000, _xlpm.Returns))</f>
        <v>0</v>
      </c>
      <c r="G26">
        <f/>
        <v>0</v>
      </c>
      <c r="H26">
        <f/>
        <v>-4956</v>
      </c>
      <c r="I26">
        <f/>
        <v>1293</v>
      </c>
      <c r="J26">
        <f/>
        <v>1878</v>
      </c>
      <c r="K26">
        <f/>
        <v>1432</v>
      </c>
      <c r="L26">
        <f/>
        <v>1935</v>
      </c>
      <c r="M26">
        <f/>
        <v>1181</v>
      </c>
      <c r="N26">
        <f/>
        <v>1422</v>
      </c>
      <c r="O26">
        <f/>
        <v>1630</v>
      </c>
      <c r="P26">
        <f/>
        <v>2000</v>
      </c>
      <c r="Q26">
        <f/>
        <v>1561</v>
      </c>
    </row>
    <row r="27" spans="1:17" x14ac:dyDescent="0.25">
      <c r="A27" t="s">
        <v>141</v>
      </c>
      <c r="B27">
        <v>12</v>
      </c>
      <c r="C27" t="s">
        <v>146</v>
      </c>
    </row>
    <row r="28" spans="1:17" x14ac:dyDescent="0.25">
      <c r="A28" t="s">
        <v>142</v>
      </c>
      <c r="B28" t="s">
        <v>24</v>
      </c>
    </row>
  </sheetData>
  <mergeCells count="3">
    <mergeCell ref="A1:J1"/>
    <mergeCell ref="A23:C23"/>
    <mergeCell ref="A2:R2"/>
  </mergeCells>
  <hyperlinks>
    <hyperlink ref="A1" location="'TOC'!$A$1" display="'TOC'!$A$1" xr:uid="{0DEF40C9-B061-4D8B-9DEE-A6673FD6E617}"/>
  </hyperlinks>
  <pageMargins left="0.7" right="0.7" top="0.75" bottom="0.75" header="0.3" footer="0.3"/>
  <customProperties>
    <customPr name="Description" r:id="rId1"/>
  </customPropertie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81DA-D73C-4566-86E1-CEDD328B505E}">
  <sheetPr>
    <tabColor rgb="FF157A5F"/>
  </sheetPr>
  <dimension ref="A1:S34"/>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8" ht="45.75" x14ac:dyDescent="0.65">
      <c r="A1" s="270" t="str">
        <f>_xlfn.TEXTAFTER(CELL("filename",A1),"]")</f>
        <v>nabla.f.Reversalλ</v>
      </c>
      <c r="B1" s="270"/>
      <c r="C1" s="270"/>
      <c r="D1" s="270"/>
      <c r="E1" s="270"/>
      <c r="F1" s="270"/>
      <c r="G1" s="270"/>
      <c r="H1" s="270"/>
      <c r="I1" s="270"/>
      <c r="J1" s="270"/>
      <c r="K1" s="270"/>
      <c r="L1" s="270"/>
      <c r="M1" s="270"/>
      <c r="N1" s="270"/>
      <c r="O1" s="270"/>
      <c r="P1" s="270"/>
    </row>
    <row r="2" spans="1:18" x14ac:dyDescent="0.25">
      <c r="A2" s="273" t="s">
        <v>434</v>
      </c>
      <c r="B2" s="274"/>
      <c r="C2" s="274"/>
      <c r="D2" s="274"/>
      <c r="E2" s="274"/>
      <c r="F2" s="274"/>
      <c r="G2" s="274"/>
      <c r="H2" s="274"/>
      <c r="I2" s="274"/>
      <c r="J2" s="274"/>
      <c r="K2" s="274"/>
      <c r="L2" s="274"/>
      <c r="M2" s="274"/>
      <c r="N2" s="274"/>
      <c r="O2" s="274"/>
      <c r="P2" s="274"/>
      <c r="Q2" s="274"/>
      <c r="R2" s="274"/>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3">nabla.f.Reversalλ()</f>
        <v>FUNCTION:</v>
      </c>
      <c r="B4" t="str">
        <v>Reversalλ( [OpeningValue], RowToReverse)</v>
      </c>
    </row>
    <row r="5" spans="1:18" x14ac:dyDescent="0.25">
      <c r="A5" t="str">
        <v>DESCRIPTION:</v>
      </c>
      <c r="B5" t="str">
        <v>Create a row that reverses input values in the next period.</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OpeningValue</v>
      </c>
      <c r="B9" t="str">
        <v>(Optional) Defaults to 0</v>
      </c>
    </row>
    <row r="10" spans="1:18" x14ac:dyDescent="0.25">
      <c r="A10" t="str">
        <v>RowToReverse</v>
      </c>
      <c r="B10" t="str">
        <v>(Required) A row of values to reverse the following periods</v>
      </c>
    </row>
    <row r="11" spans="1:18" x14ac:dyDescent="0.25">
      <c r="A11" t="str">
        <v>EXAMPLES:</v>
      </c>
      <c r="B11" t="str">
        <v/>
      </c>
    </row>
    <row r="12" spans="1:18" x14ac:dyDescent="0.25">
      <c r="A12" t="str">
        <v>Result</v>
      </c>
      <c r="B12" t="str">
        <v>Formula (nabla.f is assumed to be the module's name)</v>
      </c>
    </row>
    <row r="13" spans="1:18" x14ac:dyDescent="0.25">
      <c r="A13" t="str">
        <v>-100,-110,-130</v>
      </c>
      <c r="B13" t="str">
        <v>=nabla.f.Reversalλ( , {100,110,130})</v>
      </c>
    </row>
    <row r="17" spans="1:19" ht="20.25" x14ac:dyDescent="0.3">
      <c r="A17" s="302" t="s">
        <v>272</v>
      </c>
      <c r="B17" s="302"/>
      <c r="C17" s="302"/>
    </row>
    <row r="19" spans="1:19" x14ac:dyDescent="0.25">
      <c r="A19" s="161" t="s">
        <v>273</v>
      </c>
      <c r="B19" s="161" t="s">
        <v>138</v>
      </c>
      <c r="C19" s="161" t="s">
        <v>139</v>
      </c>
      <c r="F19" s="161" t="s">
        <v>131</v>
      </c>
      <c r="G19" s="155" t="s">
        <v>276</v>
      </c>
      <c r="H19" s="156" cm="1">
        <f t="array" ref="H19:S19">nabla.d.Timelineλ($B$20, $B$21, $B$22)</f>
        <v>45292</v>
      </c>
      <c r="I19" s="1">
        <v>46054</v>
      </c>
      <c r="J19" s="1">
        <v>46082</v>
      </c>
      <c r="K19" s="1">
        <v>46113</v>
      </c>
      <c r="L19" s="1">
        <v>46143</v>
      </c>
      <c r="M19" s="1">
        <v>46174</v>
      </c>
      <c r="N19" s="1">
        <v>46204</v>
      </c>
      <c r="O19" s="1">
        <v>46235</v>
      </c>
      <c r="P19" s="1">
        <v>46266</v>
      </c>
      <c r="Q19" s="1">
        <v>46296</v>
      </c>
      <c r="R19" s="1">
        <v>46327</v>
      </c>
      <c r="S19" s="1">
        <v>46357</v>
      </c>
    </row>
    <row r="20" spans="1:19" x14ac:dyDescent="0.25">
      <c r="A20" t="s">
        <v>236</v>
      </c>
      <c r="B20" s="231">
        <v>46023</v>
      </c>
      <c r="C20" t="s">
        <v>145</v>
      </c>
      <c r="F20" t="s">
        <v>63</v>
      </c>
      <c r="G20" cm="1">
        <f t="array" ref="G20">nabla.e.SumRowsλ(_xlfn.ANCHORARRAY(H20))</f>
        <v>7142.9241912123325</v>
      </c>
      <c r="H20" s="192" cm="1">
        <f t="array" ref="H20:S20">_xlfn.RANDARRAY(COUNTA(_xlfn.ANCHORARRAY(F20)), COUNTA(_xlfn.ANCHORARRAY(H19)), 100, 1000)</f>
        <v>732.20768619107571</v>
      </c>
      <c r="I20">
        <f/>
        <v>664.81291274991247</v>
      </c>
      <c r="J20">
        <f/>
        <v>678.54499095513825</v>
      </c>
      <c r="K20">
        <f/>
        <v>420.05172808471036</v>
      </c>
      <c r="L20">
        <f/>
        <v>315.03509282477467</v>
      </c>
      <c r="M20">
        <f/>
        <v>845.59984272891234</v>
      </c>
      <c r="N20">
        <f/>
        <v>928.23774282094814</v>
      </c>
      <c r="O20">
        <f/>
        <v>281.67400586116889</v>
      </c>
      <c r="P20">
        <f/>
        <v>260.64487231521093</v>
      </c>
      <c r="Q20">
        <f/>
        <v>660.11154686372652</v>
      </c>
      <c r="R20">
        <f/>
        <v>510.60847716856097</v>
      </c>
      <c r="S20">
        <f/>
        <v>845.39529264819339</v>
      </c>
    </row>
    <row r="21" spans="1:19" x14ac:dyDescent="0.25">
      <c r="A21" t="s">
        <v>141</v>
      </c>
      <c r="B21" s="232">
        <v>12</v>
      </c>
      <c r="C21" t="s">
        <v>146</v>
      </c>
      <c r="F21" s="2" t="s">
        <v>435</v>
      </c>
      <c r="G21" cm="1">
        <f t="array" ref="G21">nabla.e.SumRowsλ(_xlfn.ANCHORARRAY(H21))</f>
        <v>-6297.5288985641391</v>
      </c>
      <c r="H21" s="162" cm="1">
        <f t="array" ref="H21:S21">nabla.f.Reversalλ( ,_xlfn.ANCHORARRAY( H20))</f>
        <v>0</v>
      </c>
      <c r="I21">
        <f/>
        <v>-732.20768619107571</v>
      </c>
      <c r="J21">
        <f/>
        <v>-664.81291274991247</v>
      </c>
      <c r="K21">
        <f/>
        <v>-678.54499095513825</v>
      </c>
      <c r="L21">
        <f/>
        <v>-420.05172808471036</v>
      </c>
      <c r="M21">
        <f/>
        <v>-315.03509282477467</v>
      </c>
      <c r="N21">
        <f/>
        <v>-845.59984272891234</v>
      </c>
      <c r="O21">
        <f/>
        <v>-928.23774282094814</v>
      </c>
      <c r="P21">
        <f/>
        <v>-281.67400586116889</v>
      </c>
      <c r="Q21">
        <f/>
        <v>-260.64487231521093</v>
      </c>
      <c r="R21">
        <f/>
        <v>-660.11154686372652</v>
      </c>
      <c r="S21">
        <f/>
        <v>-510.60847716856097</v>
      </c>
    </row>
    <row r="22" spans="1:19" x14ac:dyDescent="0.25">
      <c r="A22" t="s">
        <v>142</v>
      </c>
      <c r="B22" s="232" t="s">
        <v>144</v>
      </c>
    </row>
    <row r="34" spans="14:14" x14ac:dyDescent="0.25">
      <c r="N34" s="159"/>
    </row>
  </sheetData>
  <mergeCells count="3">
    <mergeCell ref="A1:P1"/>
    <mergeCell ref="A2:R2"/>
    <mergeCell ref="A17:C17"/>
  </mergeCells>
  <hyperlinks>
    <hyperlink ref="A1" location="'TOC'!$A$1" display="'TOC'!$A$1" xr:uid="{3E86717D-F46F-4A77-9743-81160AA2972C}"/>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12FD7-DEA4-4FB6-A838-FC7B20C095CD}">
  <sheetPr codeName="Sheet44">
    <tabColor rgb="FF157A5F"/>
  </sheetPr>
  <dimension ref="A1:R20"/>
  <sheetViews>
    <sheetView showGridLines="0" workbookViewId="0">
      <selection activeCell="A1" sqref="A1"/>
    </sheetView>
  </sheetViews>
  <sheetFormatPr defaultRowHeight="15" x14ac:dyDescent="0.25"/>
  <cols>
    <col min="1" max="1" width="13.85546875" customWidth="1"/>
    <col min="2" max="2" width="11.7109375" customWidth="1"/>
    <col min="5" max="5" width="14.140625" bestFit="1" customWidth="1"/>
    <col min="6" max="6" width="15.5703125" bestFit="1" customWidth="1"/>
    <col min="7" max="7" width="11.140625" bestFit="1" customWidth="1"/>
    <col min="8" max="8" width="11.28515625" bestFit="1" customWidth="1"/>
    <col min="9" max="9" width="11.7109375" bestFit="1" customWidth="1"/>
    <col min="10" max="10" width="11.28515625" bestFit="1" customWidth="1"/>
    <col min="11" max="11" width="12.140625" bestFit="1" customWidth="1"/>
    <col min="12" max="12" width="11.28515625" bestFit="1" customWidth="1"/>
    <col min="13" max="13" width="10.5703125" bestFit="1" customWidth="1"/>
    <col min="14" max="14" width="11.7109375" bestFit="1" customWidth="1"/>
    <col min="15" max="15" width="11.42578125" bestFit="1" customWidth="1"/>
    <col min="16" max="16" width="11.28515625" bestFit="1" customWidth="1"/>
    <col min="17" max="17" width="11.7109375" bestFit="1" customWidth="1"/>
    <col min="18" max="18" width="11.42578125" bestFit="1" customWidth="1"/>
  </cols>
  <sheetData>
    <row r="1" spans="1:16" ht="45.75" x14ac:dyDescent="0.65">
      <c r="A1" s="270" t="str">
        <f>_xlfn.TEXTAFTER(CELL("filename",A1),"]")</f>
        <v>nabla.f.Movementλ</v>
      </c>
      <c r="B1" s="270"/>
      <c r="C1" s="270"/>
      <c r="D1" s="270"/>
      <c r="E1" s="270"/>
      <c r="F1" s="270"/>
      <c r="G1" s="270"/>
      <c r="H1" s="270"/>
      <c r="I1" s="270"/>
      <c r="J1" s="270"/>
      <c r="K1" s="270"/>
      <c r="L1" s="270"/>
      <c r="M1" s="270"/>
      <c r="N1" s="270"/>
      <c r="O1" s="270"/>
      <c r="P1" s="270"/>
    </row>
    <row r="2" spans="1:16" x14ac:dyDescent="0.25">
      <c r="A2" s="273" t="s">
        <v>211</v>
      </c>
      <c r="B2" s="287"/>
      <c r="C2" s="287"/>
      <c r="D2" s="287"/>
      <c r="E2" s="287"/>
      <c r="F2" s="287"/>
      <c r="G2" s="287"/>
      <c r="H2" s="287"/>
      <c r="I2" s="287"/>
      <c r="J2" s="287"/>
      <c r="K2" s="287"/>
      <c r="L2" s="287"/>
      <c r="M2" s="287"/>
      <c r="N2" s="287"/>
      <c r="O2" s="287"/>
      <c r="P2" s="288"/>
    </row>
    <row r="3" spans="1:16" x14ac:dyDescent="0.25">
      <c r="A3" s="104"/>
      <c r="B3" s="104"/>
      <c r="C3" s="104"/>
      <c r="D3" s="104"/>
      <c r="E3" s="104"/>
      <c r="F3" s="104"/>
      <c r="G3" s="104"/>
      <c r="H3" s="104"/>
      <c r="I3" s="104"/>
      <c r="J3" s="104"/>
      <c r="K3" s="104"/>
      <c r="L3" s="104"/>
      <c r="M3" s="104"/>
      <c r="N3" s="104"/>
      <c r="O3" s="104"/>
      <c r="P3" s="104"/>
    </row>
    <row r="4" spans="1:16" x14ac:dyDescent="0.25">
      <c r="A4" s="162" t="str" cm="1">
        <f t="array" ref="A4:B13">nabla.f.Movementλ()</f>
        <v>FUNCTION:</v>
      </c>
      <c r="B4" t="str">
        <v>Movementλ( [BeginningValue], Values)</v>
      </c>
    </row>
    <row r="5" spans="1:16" x14ac:dyDescent="0.25">
      <c r="A5" t="str">
        <v>DESCRIPTION:</v>
      </c>
      <c r="B5" t="str">
        <v>Create a row of differences from column to column</v>
      </c>
    </row>
    <row r="6" spans="1:16" x14ac:dyDescent="0.25">
      <c r="A6" t="str">
        <v>WEBPAGE:</v>
      </c>
      <c r="B6" t="str">
        <v>https://github.com/ryanduguid/Nabla</v>
      </c>
      <c r="G6" s="2"/>
    </row>
    <row r="7" spans="1:16" x14ac:dyDescent="0.25">
      <c r="A7" t="str">
        <v>VERSION:</v>
      </c>
      <c r="B7" t="str">
        <v>18 Aug 2026</v>
      </c>
    </row>
    <row r="8" spans="1:16" x14ac:dyDescent="0.25">
      <c r="A8" t="str">
        <v>PARAMETERS:</v>
      </c>
      <c r="B8" t="str">
        <v/>
      </c>
    </row>
    <row r="9" spans="1:16" x14ac:dyDescent="0.25">
      <c r="A9" t="str">
        <v>BeginningValues</v>
      </c>
      <c r="B9" t="str">
        <v>(Optional) Defaults to 0</v>
      </c>
    </row>
    <row r="10" spans="1:16" x14ac:dyDescent="0.25">
      <c r="A10" t="str">
        <v>Values</v>
      </c>
      <c r="B10" t="str">
        <v>(Required) A row of values to compare column to column</v>
      </c>
    </row>
    <row r="11" spans="1:16" x14ac:dyDescent="0.25">
      <c r="A11" t="str">
        <v>EXAMPLES:</v>
      </c>
      <c r="B11" t="str">
        <v/>
      </c>
    </row>
    <row r="12" spans="1:16" x14ac:dyDescent="0.25">
      <c r="A12" t="str">
        <v>Result</v>
      </c>
      <c r="B12" t="str">
        <v>Formula (nabla.f is assumed to be the module's name)</v>
      </c>
    </row>
    <row r="13" spans="1:16" x14ac:dyDescent="0.25">
      <c r="A13" t="str">
        <v>100,10,20,-30</v>
      </c>
      <c r="B13" t="str">
        <v>=nabla.f.Movementλ(,{100,110,130,100}, 4)</v>
      </c>
    </row>
    <row r="15" spans="1:16" ht="20.25" x14ac:dyDescent="0.3">
      <c r="A15" s="302" t="s">
        <v>272</v>
      </c>
      <c r="B15" s="302"/>
      <c r="C15" s="302"/>
    </row>
    <row r="17" spans="1:18" x14ac:dyDescent="0.25">
      <c r="A17" s="161" t="s">
        <v>273</v>
      </c>
      <c r="B17" s="161" t="s">
        <v>138</v>
      </c>
      <c r="C17" s="161" t="s">
        <v>139</v>
      </c>
      <c r="E17" s="161" t="s">
        <v>131</v>
      </c>
      <c r="F17" s="155" t="s">
        <v>276</v>
      </c>
      <c r="G17" s="156" cm="1">
        <f t="array" ref="G17:R17">nabla.d.Timelineλ($B$18, $B$19, $B$20)</f>
        <v>45292</v>
      </c>
      <c r="H17" s="1">
        <v>46054</v>
      </c>
      <c r="I17" s="1">
        <v>46082</v>
      </c>
      <c r="J17" s="1">
        <v>46113</v>
      </c>
      <c r="K17" s="1">
        <v>46143</v>
      </c>
      <c r="L17" s="1">
        <v>46174</v>
      </c>
      <c r="M17" s="1">
        <v>46204</v>
      </c>
      <c r="N17" s="1">
        <v>46235</v>
      </c>
      <c r="O17" s="1">
        <v>46266</v>
      </c>
      <c r="P17" s="1">
        <v>46296</v>
      </c>
      <c r="Q17" s="1">
        <v>46327</v>
      </c>
      <c r="R17" s="1">
        <v>46357</v>
      </c>
    </row>
    <row r="18" spans="1:18" x14ac:dyDescent="0.25">
      <c r="A18" t="s">
        <v>236</v>
      </c>
      <c r="B18" s="141">
        <v>46023</v>
      </c>
      <c r="C18" t="s">
        <v>145</v>
      </c>
      <c r="E18" t="s">
        <v>63</v>
      </c>
      <c r="F18" cm="1">
        <f t="array" ref="F18">nabla.e.SumRowsλ(_xlfn.ANCHORARRAY(G18))</f>
        <v>-8</v>
      </c>
      <c r="G18" s="192" cm="1">
        <f t="array" ref="G18:R18">_xlfn.RANDARRAY(COUNTA(_xlfn.ANCHORARRAY(E18)), COUNTA(_xlfn.ANCHORARRAY(G17)), -5, 5, TRUE)</f>
        <v>0</v>
      </c>
      <c r="H18">
        <f/>
        <v>0</v>
      </c>
      <c r="I18">
        <f/>
        <v>3</v>
      </c>
      <c r="J18">
        <f/>
        <v>-4</v>
      </c>
      <c r="K18">
        <f/>
        <v>-2</v>
      </c>
      <c r="L18">
        <f/>
        <v>0</v>
      </c>
      <c r="M18">
        <f/>
        <v>-5</v>
      </c>
      <c r="N18">
        <f/>
        <v>4</v>
      </c>
      <c r="O18">
        <f/>
        <v>3</v>
      </c>
      <c r="P18">
        <f/>
        <v>-1</v>
      </c>
      <c r="Q18">
        <f/>
        <v>-3</v>
      </c>
      <c r="R18">
        <f/>
        <v>-3</v>
      </c>
    </row>
    <row r="19" spans="1:18" x14ac:dyDescent="0.25">
      <c r="A19" t="s">
        <v>141</v>
      </c>
      <c r="B19">
        <v>12</v>
      </c>
      <c r="C19" t="s">
        <v>146</v>
      </c>
      <c r="E19" s="2" t="s">
        <v>349</v>
      </c>
      <c r="G19" s="162" cm="1">
        <f t="array" ref="G19:R19">nabla.f.Movementλ(F18,_xlfn.ANCHORARRAY(  G18))</f>
        <v>8</v>
      </c>
      <c r="H19">
        <f/>
        <v>0</v>
      </c>
      <c r="I19">
        <f/>
        <v>3</v>
      </c>
      <c r="J19">
        <f/>
        <v>-7</v>
      </c>
      <c r="K19">
        <f/>
        <v>2</v>
      </c>
      <c r="L19">
        <f/>
        <v>2</v>
      </c>
      <c r="M19">
        <f/>
        <v>-5</v>
      </c>
      <c r="N19">
        <f/>
        <v>9</v>
      </c>
      <c r="O19">
        <f/>
        <v>-1</v>
      </c>
      <c r="P19">
        <f/>
        <v>-4</v>
      </c>
      <c r="Q19">
        <f/>
        <v>-2</v>
      </c>
      <c r="R19">
        <f/>
        <v>0</v>
      </c>
    </row>
    <row r="20" spans="1:18" x14ac:dyDescent="0.25">
      <c r="A20" t="s">
        <v>142</v>
      </c>
      <c r="B20" t="s">
        <v>144</v>
      </c>
    </row>
  </sheetData>
  <mergeCells count="3">
    <mergeCell ref="A1:P1"/>
    <mergeCell ref="A2:P2"/>
    <mergeCell ref="A15:C15"/>
  </mergeCells>
  <hyperlinks>
    <hyperlink ref="A1" location="'TOC'!$A$1" display="'TOC'!$A$1" xr:uid="{9DA15BC7-65D2-4D2A-9856-1FC945A34D23}"/>
  </hyperlinks>
  <pageMargins left="0.7" right="0.7" top="0.75" bottom="0.75" header="0.3" footer="0.3"/>
  <customProperties>
    <customPr name="Description" r:id="rId1"/>
  </customPropertie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CB39-6BF2-4401-A134-A92EE2197068}">
  <sheetPr codeName="Sheet7">
    <tabColor rgb="FF157A5F"/>
  </sheetPr>
  <dimension ref="A1:S34"/>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8" ht="45.75" x14ac:dyDescent="0.65">
      <c r="A1" s="270" t="str">
        <f>_xlfn.TEXTAFTER(CELL("filename",A1),"]")</f>
        <v>nabla.f.RollingSumλ</v>
      </c>
      <c r="B1" s="270"/>
      <c r="C1" s="270"/>
      <c r="D1" s="270"/>
      <c r="E1" s="270"/>
      <c r="F1" s="270"/>
      <c r="G1" s="270"/>
      <c r="H1" s="270"/>
      <c r="I1" s="270"/>
      <c r="J1" s="270"/>
      <c r="K1" s="270"/>
      <c r="L1" s="270"/>
      <c r="M1" s="270"/>
      <c r="N1" s="270"/>
      <c r="O1" s="270"/>
      <c r="P1" s="270"/>
    </row>
    <row r="2" spans="1:18" x14ac:dyDescent="0.25">
      <c r="A2" s="273" t="s">
        <v>370</v>
      </c>
      <c r="B2" s="274"/>
      <c r="C2" s="274"/>
      <c r="D2" s="274"/>
      <c r="E2" s="274"/>
      <c r="F2" s="274"/>
      <c r="G2" s="274"/>
      <c r="H2" s="274"/>
      <c r="I2" s="274"/>
      <c r="J2" s="274"/>
      <c r="K2" s="274"/>
      <c r="L2" s="274"/>
      <c r="M2" s="274"/>
      <c r="N2" s="274"/>
      <c r="O2" s="274"/>
      <c r="P2" s="274"/>
      <c r="Q2" s="274"/>
      <c r="R2" s="274"/>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5">nabla.f.RollingSumλ()</f>
        <v>FUNCTION:</v>
      </c>
      <c r="B4" t="str">
        <v>RollingSumλ( Values, Size)</v>
      </c>
    </row>
    <row r="5" spans="1:18" x14ac:dyDescent="0.25">
      <c r="A5" t="str">
        <v>DESCRIPTION:</v>
      </c>
      <c r="B5" t="str">
        <v>Creates totals for preceding values of a set size moving</v>
      </c>
    </row>
    <row r="6" spans="1:18" x14ac:dyDescent="0.25">
      <c r="A6" t="str">
        <v/>
      </c>
      <c r="B6" t="str">
        <v>from beginning to end over a row of values</v>
      </c>
    </row>
    <row r="7" spans="1:18" x14ac:dyDescent="0.25">
      <c r="A7" t="str">
        <v>WEBPAGE:</v>
      </c>
      <c r="B7" t="str">
        <v>https://github.com/ryanduguid/Nabla</v>
      </c>
    </row>
    <row r="8" spans="1:18" x14ac:dyDescent="0.25">
      <c r="A8" t="str">
        <v>VERSION:</v>
      </c>
      <c r="B8" t="str">
        <v>18 Aug 2026</v>
      </c>
    </row>
    <row r="9" spans="1:18" x14ac:dyDescent="0.25">
      <c r="A9" t="str">
        <v>PARAMETERS:</v>
      </c>
      <c r="B9" t="str">
        <v/>
      </c>
    </row>
    <row r="10" spans="1:18" x14ac:dyDescent="0.25">
      <c r="A10" t="str">
        <v>Values</v>
      </c>
      <c r="B10" t="str">
        <v>(Required) A row of values to be totalled.</v>
      </c>
    </row>
    <row r="11" spans="1:18" x14ac:dyDescent="0.25">
      <c r="A11" t="str">
        <v>Size</v>
      </c>
      <c r="B11" t="str">
        <v>(Required) The number of values to total that</v>
      </c>
    </row>
    <row r="12" spans="1:18" x14ac:dyDescent="0.25">
      <c r="A12" t="str">
        <v/>
      </c>
      <c r="B12" t="str">
        <v>include and preceed the current value</v>
      </c>
    </row>
    <row r="13" spans="1:18" x14ac:dyDescent="0.25">
      <c r="A13" t="str">
        <v>EXAMPLES:</v>
      </c>
      <c r="B13" t="str">
        <v/>
      </c>
    </row>
    <row r="14" spans="1:18" x14ac:dyDescent="0.25">
      <c r="A14" t="str">
        <v>Result</v>
      </c>
      <c r="B14" t="str">
        <v>Formula (nabla.f is assumed to be the module's name)</v>
      </c>
    </row>
    <row r="15" spans="1:18" x14ac:dyDescent="0.25">
      <c r="A15" t="str">
        <v>1,3,6,9,12</v>
      </c>
      <c r="B15" t="str">
        <v>=nabla.f.RollingMinλ(SEQUENCE(, 5), 3)</v>
      </c>
    </row>
    <row r="17" spans="1:19" ht="20.25" x14ac:dyDescent="0.3">
      <c r="A17" s="302" t="s">
        <v>272</v>
      </c>
      <c r="B17" s="302"/>
      <c r="C17" s="302"/>
    </row>
    <row r="19" spans="1:19" x14ac:dyDescent="0.25">
      <c r="A19" s="161" t="s">
        <v>273</v>
      </c>
      <c r="B19" s="161" t="s">
        <v>138</v>
      </c>
      <c r="C19" s="161" t="s">
        <v>139</v>
      </c>
      <c r="F19" s="161" t="s">
        <v>131</v>
      </c>
      <c r="G19" s="155" t="s">
        <v>276</v>
      </c>
      <c r="H19" s="156" cm="1">
        <f t="array" ref="H19:S19">nabla.d.Timelineλ($B$20, $B$21, $B$22)</f>
        <v>45292</v>
      </c>
      <c r="I19" s="1">
        <v>46054</v>
      </c>
      <c r="J19" s="1">
        <v>46082</v>
      </c>
      <c r="K19" s="1">
        <v>46113</v>
      </c>
      <c r="L19" s="1">
        <v>46143</v>
      </c>
      <c r="M19" s="1">
        <v>46174</v>
      </c>
      <c r="N19" s="1">
        <v>46204</v>
      </c>
      <c r="O19" s="1">
        <v>46235</v>
      </c>
      <c r="P19" s="1">
        <v>46266</v>
      </c>
      <c r="Q19" s="1">
        <v>46296</v>
      </c>
      <c r="R19" s="1">
        <v>46327</v>
      </c>
      <c r="S19" s="1">
        <v>46357</v>
      </c>
    </row>
    <row r="20" spans="1:19" x14ac:dyDescent="0.25">
      <c r="A20" t="s">
        <v>236</v>
      </c>
      <c r="B20" s="231">
        <v>46023</v>
      </c>
      <c r="C20" t="s">
        <v>145</v>
      </c>
      <c r="F20" t="s">
        <v>63</v>
      </c>
      <c r="G20" cm="1">
        <f t="array" ref="G20">nabla.e.SumRowsλ(_xlfn.ANCHORARRAY(H20))</f>
        <v>6.0281960697663513</v>
      </c>
      <c r="H20" s="192" cm="1">
        <f t="array" ref="H20:S20">_xlfn.RANDARRAY(COUNTA(_xlfn.ANCHORARRAY(F20)), COUNTA(_xlfn.ANCHORARRAY(H19)))</f>
        <v>0.43683807434428656</v>
      </c>
      <c r="I20">
        <f/>
        <v>0.28715954643504515</v>
      </c>
      <c r="J20">
        <f/>
        <v>1.9980972229231231E-2</v>
      </c>
      <c r="K20">
        <f/>
        <v>0.82063092129802206</v>
      </c>
      <c r="L20">
        <f/>
        <v>0.8376637221940586</v>
      </c>
      <c r="M20">
        <f/>
        <v>0.57283282421417003</v>
      </c>
      <c r="N20">
        <f/>
        <v>0.73231633620089398</v>
      </c>
      <c r="O20">
        <f/>
        <v>0.36322445324777664</v>
      </c>
      <c r="P20">
        <f/>
        <v>0.63056039404886</v>
      </c>
      <c r="Q20">
        <f/>
        <v>0.13250320658546388</v>
      </c>
      <c r="R20">
        <f/>
        <v>0.93176878919579065</v>
      </c>
      <c r="S20">
        <f/>
        <v>0.26271682977275179</v>
      </c>
    </row>
    <row r="21" spans="1:19" x14ac:dyDescent="0.25">
      <c r="A21" t="s">
        <v>141</v>
      </c>
      <c r="B21" s="232">
        <v>12</v>
      </c>
      <c r="C21" t="s">
        <v>146</v>
      </c>
      <c r="F21" s="2" t="s">
        <v>348</v>
      </c>
      <c r="H21" s="162" cm="1">
        <f t="array" ref="H21:S21">nabla.f.RollingSumλ(_xlfn.ANCHORARRAY(H20), 4)</f>
        <v>0.43683807434428656</v>
      </c>
      <c r="I21">
        <f/>
        <v>0.72399762077933172</v>
      </c>
      <c r="J21">
        <f/>
        <v>0.74397859300856295</v>
      </c>
      <c r="K21">
        <f/>
        <v>1.564609514306585</v>
      </c>
      <c r="L21">
        <f/>
        <v>1.9654351621563571</v>
      </c>
      <c r="M21">
        <f/>
        <v>2.2511084399354822</v>
      </c>
      <c r="N21">
        <f/>
        <v>2.9634438039071442</v>
      </c>
      <c r="O21">
        <f/>
        <v>2.5060373358568997</v>
      </c>
      <c r="P21">
        <f/>
        <v>2.2989340077117006</v>
      </c>
      <c r="Q21">
        <f/>
        <v>1.8586043900829945</v>
      </c>
      <c r="R21">
        <f/>
        <v>2.0580568430778912</v>
      </c>
      <c r="S21">
        <f/>
        <v>1.9575492196028663</v>
      </c>
    </row>
    <row r="22" spans="1:19" x14ac:dyDescent="0.25">
      <c r="A22" t="s">
        <v>142</v>
      </c>
      <c r="B22" s="232" t="s">
        <v>144</v>
      </c>
    </row>
    <row r="34" spans="14:14" x14ac:dyDescent="0.25">
      <c r="N34" s="159"/>
    </row>
  </sheetData>
  <mergeCells count="3">
    <mergeCell ref="A1:P1"/>
    <mergeCell ref="A17:C17"/>
    <mergeCell ref="A2:R2"/>
  </mergeCells>
  <hyperlinks>
    <hyperlink ref="A1" location="'TOC'!$A$1" display="'TOC'!$A$1" xr:uid="{CF6B0A29-711C-4B98-A743-3C84160907B3}"/>
  </hyperlinks>
  <pageMargins left="0.7" right="0.7" top="0.75" bottom="0.75" header="0.3" footer="0.3"/>
  <customProperties>
    <customPr name="Description" r:id="rId1"/>
  </customPropertie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2C373-F348-4270-B3AF-76ECDB4A4703}">
  <sheetPr codeName="Sheet51">
    <tabColor rgb="FF157A5F"/>
  </sheetPr>
  <dimension ref="A1:NI38"/>
  <sheetViews>
    <sheetView showGridLines="0" workbookViewId="0">
      <selection activeCell="A1" sqref="A1"/>
    </sheetView>
  </sheetViews>
  <sheetFormatPr defaultRowHeight="15" x14ac:dyDescent="0.25"/>
  <cols>
    <col min="1" max="1" width="24" bestFit="1" customWidth="1"/>
    <col min="3" max="3" width="8.7109375" bestFit="1" customWidth="1"/>
    <col min="4" max="5" width="10.5703125" bestFit="1" customWidth="1"/>
    <col min="7" max="7" width="21.140625" bestFit="1" customWidth="1"/>
    <col min="8" max="8" width="14.42578125" bestFit="1" customWidth="1"/>
    <col min="9" max="9" width="10.140625" bestFit="1" customWidth="1"/>
    <col min="10" max="10" width="10.28515625" bestFit="1" customWidth="1"/>
    <col min="11" max="11" width="10.7109375" bestFit="1" customWidth="1"/>
    <col min="12" max="12" width="10.28515625" bestFit="1" customWidth="1"/>
    <col min="13" max="13" width="11.140625" bestFit="1" customWidth="1"/>
    <col min="14" max="14" width="10.28515625" bestFit="1" customWidth="1"/>
    <col min="15" max="15" width="10.140625" bestFit="1" customWidth="1"/>
    <col min="16" max="16" width="10.7109375" bestFit="1" customWidth="1"/>
    <col min="17" max="17" width="10.42578125" bestFit="1" customWidth="1"/>
    <col min="18" max="39" width="11.140625" bestFit="1" customWidth="1"/>
    <col min="40" max="48" width="10.28515625" bestFit="1" customWidth="1"/>
    <col min="49" max="68" width="11.28515625" bestFit="1" customWidth="1"/>
    <col min="69" max="77" width="10.7109375" bestFit="1" customWidth="1"/>
    <col min="78" max="99" width="11.7109375" bestFit="1" customWidth="1"/>
    <col min="100" max="108" width="10.28515625" bestFit="1" customWidth="1"/>
    <col min="109" max="129" width="11.28515625" bestFit="1" customWidth="1"/>
    <col min="130" max="138" width="11.140625" bestFit="1" customWidth="1"/>
    <col min="139" max="160" width="12.140625" bestFit="1" customWidth="1"/>
    <col min="161" max="169" width="10.28515625" bestFit="1" customWidth="1"/>
    <col min="170" max="190" width="11.28515625" bestFit="1" customWidth="1"/>
    <col min="191" max="199" width="9.5703125" bestFit="1" customWidth="1"/>
    <col min="200" max="221" width="10.5703125" bestFit="1" customWidth="1"/>
    <col min="222" max="230" width="10.7109375" bestFit="1" customWidth="1"/>
    <col min="231" max="252" width="11.7109375" bestFit="1" customWidth="1"/>
    <col min="253" max="261" width="10.42578125" bestFit="1" customWidth="1"/>
    <col min="262" max="282" width="11.42578125" bestFit="1" customWidth="1"/>
    <col min="283" max="291" width="10.28515625" bestFit="1" customWidth="1"/>
    <col min="292" max="313" width="11.28515625" bestFit="1" customWidth="1"/>
    <col min="314" max="322" width="10.7109375" bestFit="1" customWidth="1"/>
    <col min="323" max="343" width="11.7109375" bestFit="1" customWidth="1"/>
    <col min="344" max="352" width="10.42578125" bestFit="1" customWidth="1"/>
    <col min="353" max="373" width="11.42578125" bestFit="1" customWidth="1"/>
  </cols>
  <sheetData>
    <row r="1" spans="1:17" ht="45.75" x14ac:dyDescent="0.65">
      <c r="A1" s="270" t="str">
        <f>_xlfn.TEXTAFTER(CELL("filename",A1),"]")</f>
        <v>nabla.f.SumPeriodsλ</v>
      </c>
      <c r="B1" s="270"/>
      <c r="C1" s="270"/>
      <c r="D1" s="270"/>
      <c r="E1" s="270"/>
      <c r="F1" s="270"/>
      <c r="G1" s="270"/>
      <c r="H1" s="270"/>
      <c r="I1" s="270"/>
      <c r="J1" s="270"/>
      <c r="K1" s="270"/>
      <c r="L1" s="270"/>
      <c r="M1" s="270"/>
      <c r="N1" s="270"/>
      <c r="O1" s="270"/>
      <c r="P1" s="270"/>
      <c r="Q1" s="270"/>
    </row>
    <row r="2" spans="1:17" x14ac:dyDescent="0.25">
      <c r="A2" s="273" t="s">
        <v>214</v>
      </c>
      <c r="B2" s="287"/>
      <c r="C2" s="287"/>
      <c r="D2" s="287"/>
      <c r="E2" s="287"/>
      <c r="F2" s="287"/>
      <c r="G2" s="287"/>
      <c r="H2" s="287"/>
      <c r="I2" s="287"/>
      <c r="J2" s="287"/>
      <c r="K2" s="287"/>
      <c r="L2" s="287"/>
      <c r="M2" s="287"/>
      <c r="N2" s="287"/>
      <c r="O2" s="288"/>
      <c r="P2" s="104"/>
      <c r="Q2" s="104"/>
    </row>
    <row r="3" spans="1:17" x14ac:dyDescent="0.25">
      <c r="A3" s="104"/>
      <c r="B3" s="104"/>
      <c r="C3" s="104"/>
      <c r="D3" s="104"/>
      <c r="E3" s="104"/>
      <c r="F3" s="104"/>
      <c r="G3" s="104"/>
      <c r="H3" s="104"/>
      <c r="I3" s="104"/>
      <c r="J3" s="104"/>
      <c r="K3" s="104"/>
      <c r="L3" s="104"/>
      <c r="M3" s="104"/>
      <c r="N3" s="104"/>
      <c r="O3" s="104"/>
      <c r="P3" s="104"/>
      <c r="Q3" s="104"/>
    </row>
    <row r="4" spans="1:17" x14ac:dyDescent="0.25">
      <c r="A4" s="162" t="str" cm="1">
        <f t="array" ref="A4:B17">nabla.f.SumPeriodsλ()</f>
        <v>FUNCTION:</v>
      </c>
      <c r="B4" t="str">
        <v>SumPeriodsλ( Values, Dates, PeriodStarts)</v>
      </c>
    </row>
    <row r="5" spans="1:17" x14ac:dyDescent="0.25">
      <c r="A5" t="str">
        <v>DESCRIPTION:</v>
      </c>
      <c r="B5" t="str">
        <v>Summarises values where each value column is for one day</v>
      </c>
    </row>
    <row r="6" spans="1:17" x14ac:dyDescent="0.25">
      <c r="A6" t="str">
        <v/>
      </c>
      <c r="B6" t="str">
        <v>into one column for each period.</v>
      </c>
    </row>
    <row r="7" spans="1:17" x14ac:dyDescent="0.25">
      <c r="A7" t="str">
        <v>VERSION:</v>
      </c>
      <c r="B7" t="str">
        <v>18 Aug 2026</v>
      </c>
    </row>
    <row r="8" spans="1:17" x14ac:dyDescent="0.25">
      <c r="A8" t="str">
        <v>WEBPAGE:</v>
      </c>
      <c r="B8" t="str">
        <v>https://github.com/ryanduguid/Nabla</v>
      </c>
    </row>
    <row r="9" spans="1:17" x14ac:dyDescent="0.25">
      <c r="A9" t="str">
        <v>PARAMETERS:</v>
      </c>
      <c r="B9" t="str">
        <v/>
      </c>
    </row>
    <row r="10" spans="1:17" x14ac:dyDescent="0.25">
      <c r="A10" t="str">
        <v>Values</v>
      </c>
      <c r="B10" t="str">
        <v>(Required) A two dimensional array/range containing values to be summed whereeach column is for a specific day</v>
      </c>
    </row>
    <row r="11" spans="1:17" x14ac:dyDescent="0.25">
      <c r="A11" t="str">
        <v>Dates</v>
      </c>
      <c r="B11" t="str">
        <v>(Required) A row of dates providing the date for each Values column</v>
      </c>
    </row>
    <row r="12" spans="1:17" x14ac:dyDescent="0.25">
      <c r="A12" t="str">
        <v>PeriodStarts</v>
      </c>
      <c r="B12" t="str">
        <v>(Required) A row of period start dates</v>
      </c>
    </row>
    <row r="13" spans="1:17" x14ac:dyDescent="0.25">
      <c r="A13" t="str">
        <v>EXAMPLES:</v>
      </c>
      <c r="B13" t="str">
        <v/>
      </c>
    </row>
    <row r="14" spans="1:17" x14ac:dyDescent="0.25">
      <c r="A14" t="str">
        <v>Result</v>
      </c>
      <c r="B14" t="str">
        <v>Formula (nabla.f is assumed to be the module's name)</v>
      </c>
    </row>
    <row r="15" spans="1:17" x14ac:dyDescent="0.25">
      <c r="A15" t="str">
        <v>03, 07</v>
      </c>
      <c r="B15" t="str">
        <v>=nabla.f.SumPeriodsλ({1,2,3,4;4,3,2,1;10,20,30,40}, {1,2,3,4}, {1,3})</v>
      </c>
    </row>
    <row r="16" spans="1:17" x14ac:dyDescent="0.25">
      <c r="A16" t="str">
        <v>07, 03</v>
      </c>
      <c r="B16" t="str">
        <v/>
      </c>
    </row>
    <row r="17" spans="1:373" x14ac:dyDescent="0.25">
      <c r="A17" t="str">
        <v>30, 70</v>
      </c>
      <c r="B17" t="str">
        <v/>
      </c>
    </row>
    <row r="20" spans="1:373" ht="26.25" x14ac:dyDescent="0.4">
      <c r="A20" s="210" t="s">
        <v>220</v>
      </c>
      <c r="B20" s="210"/>
      <c r="C20" s="210"/>
      <c r="D20" s="210"/>
      <c r="E20" s="210"/>
      <c r="H20" s="135"/>
      <c r="I20" s="157"/>
      <c r="J20" s="157"/>
      <c r="K20" s="157"/>
      <c r="L20" s="157"/>
      <c r="M20" s="157"/>
      <c r="N20" s="157"/>
      <c r="O20" s="157"/>
      <c r="P20" s="157"/>
      <c r="Q20" s="157"/>
      <c r="R20" s="157"/>
      <c r="S20" s="157"/>
      <c r="T20" s="157"/>
      <c r="U20" s="157"/>
      <c r="V20" s="157"/>
      <c r="W20" s="157"/>
      <c r="X20" s="157"/>
      <c r="Y20" s="157"/>
      <c r="Z20" s="157"/>
      <c r="AA20" s="157"/>
      <c r="AB20" s="157"/>
      <c r="AC20" s="157"/>
      <c r="AD20" s="157"/>
      <c r="AE20" s="157"/>
      <c r="AF20" s="157"/>
      <c r="AG20" s="157"/>
      <c r="AH20" s="157"/>
      <c r="AI20" s="157"/>
      <c r="AJ20" s="157"/>
      <c r="AK20" s="157"/>
      <c r="AL20" s="157"/>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7"/>
      <c r="BQ20" s="157"/>
      <c r="BR20" s="157"/>
      <c r="BS20" s="157"/>
      <c r="BT20" s="157"/>
      <c r="BU20" s="157"/>
      <c r="BV20" s="157"/>
      <c r="BW20" s="157"/>
      <c r="BX20" s="157"/>
      <c r="BY20" s="157"/>
      <c r="BZ20" s="157"/>
      <c r="CA20" s="157"/>
      <c r="CB20" s="157"/>
      <c r="CC20" s="157"/>
      <c r="CD20" s="157"/>
      <c r="CE20" s="157"/>
      <c r="CF20" s="157"/>
      <c r="CG20" s="157"/>
      <c r="CH20" s="157"/>
      <c r="CI20" s="157"/>
      <c r="CJ20" s="157"/>
      <c r="CK20" s="157"/>
      <c r="CL20" s="157"/>
      <c r="CM20" s="157"/>
      <c r="CN20" s="157"/>
      <c r="CO20" s="157"/>
      <c r="CP20" s="157"/>
      <c r="CQ20" s="157"/>
      <c r="CR20" s="157"/>
      <c r="CS20" s="157"/>
      <c r="CT20" s="157"/>
      <c r="CU20" s="157"/>
      <c r="CV20" s="157"/>
      <c r="CW20" s="157"/>
      <c r="CX20" s="157"/>
      <c r="CY20" s="157"/>
      <c r="CZ20" s="157"/>
      <c r="DA20" s="157"/>
      <c r="DB20" s="157"/>
      <c r="DC20" s="157"/>
      <c r="DD20" s="157"/>
      <c r="DE20" s="157"/>
      <c r="DF20" s="157"/>
      <c r="DG20" s="157"/>
      <c r="DH20" s="157"/>
      <c r="DI20" s="157"/>
      <c r="DJ20" s="157"/>
      <c r="DK20" s="157"/>
      <c r="DL20" s="157"/>
      <c r="DM20" s="157"/>
      <c r="DN20" s="157"/>
      <c r="DO20" s="157"/>
      <c r="DP20" s="157"/>
      <c r="DQ20" s="157"/>
      <c r="DR20" s="157"/>
      <c r="DS20" s="157"/>
      <c r="DT20" s="157"/>
      <c r="DU20" s="157"/>
      <c r="DV20" s="157"/>
      <c r="DW20" s="157"/>
      <c r="DX20" s="157"/>
      <c r="DY20" s="157"/>
      <c r="DZ20" s="157"/>
      <c r="EA20" s="157"/>
      <c r="EB20" s="157"/>
      <c r="EC20" s="157"/>
      <c r="ED20" s="157"/>
      <c r="EE20" s="157"/>
      <c r="EF20" s="157"/>
      <c r="EG20" s="157"/>
      <c r="EH20" s="157"/>
      <c r="EI20" s="157"/>
      <c r="EJ20" s="157"/>
      <c r="EK20" s="157"/>
      <c r="EL20" s="157"/>
      <c r="EM20" s="157"/>
      <c r="EN20" s="157"/>
      <c r="EO20" s="157"/>
      <c r="EP20" s="157"/>
      <c r="EQ20" s="157"/>
      <c r="ER20" s="157"/>
      <c r="ES20" s="157"/>
      <c r="ET20" s="157"/>
      <c r="EU20" s="157"/>
      <c r="EV20" s="157"/>
      <c r="EW20" s="157"/>
      <c r="EX20" s="157"/>
      <c r="EY20" s="157"/>
      <c r="EZ20" s="157"/>
      <c r="FA20" s="157"/>
      <c r="FB20" s="157"/>
      <c r="FC20" s="157"/>
      <c r="FD20" s="157"/>
      <c r="FE20" s="157"/>
      <c r="FF20" s="157"/>
      <c r="FG20" s="157"/>
      <c r="FH20" s="157"/>
      <c r="FI20" s="157"/>
      <c r="FJ20" s="157"/>
      <c r="FK20" s="157"/>
      <c r="FL20" s="157"/>
      <c r="FM20" s="157"/>
      <c r="FN20" s="157"/>
      <c r="FO20" s="157"/>
      <c r="FP20" s="157"/>
      <c r="FQ20" s="157"/>
      <c r="FR20" s="157"/>
      <c r="FS20" s="157"/>
      <c r="FT20" s="157"/>
      <c r="FU20" s="157"/>
      <c r="FV20" s="157"/>
      <c r="FW20" s="157"/>
      <c r="FX20" s="157"/>
      <c r="FY20" s="157"/>
      <c r="FZ20" s="157"/>
      <c r="GA20" s="157"/>
      <c r="GB20" s="157"/>
      <c r="GC20" s="157"/>
      <c r="GD20" s="157"/>
      <c r="GE20" s="157"/>
      <c r="GF20" s="157"/>
      <c r="GG20" s="157"/>
      <c r="GH20" s="157"/>
      <c r="GI20" s="157"/>
      <c r="GJ20" s="157"/>
      <c r="GK20" s="157"/>
      <c r="GL20" s="157"/>
      <c r="GM20" s="157"/>
      <c r="GN20" s="157"/>
      <c r="GO20" s="157"/>
      <c r="GP20" s="157"/>
      <c r="GQ20" s="157"/>
      <c r="GR20" s="157"/>
      <c r="GS20" s="157"/>
      <c r="GT20" s="157"/>
      <c r="GU20" s="157"/>
      <c r="GV20" s="157"/>
      <c r="GW20" s="157"/>
      <c r="GX20" s="157"/>
      <c r="GY20" s="157"/>
      <c r="GZ20" s="157"/>
      <c r="HA20" s="157"/>
      <c r="HB20" s="157"/>
      <c r="HC20" s="157"/>
      <c r="HD20" s="157"/>
      <c r="HE20" s="157"/>
      <c r="HF20" s="157"/>
      <c r="HG20" s="157"/>
      <c r="HH20" s="157"/>
      <c r="HI20" s="157"/>
      <c r="HJ20" s="157"/>
      <c r="HK20" s="157"/>
      <c r="HL20" s="157"/>
      <c r="HM20" s="157"/>
      <c r="HN20" s="157"/>
      <c r="HO20" s="157"/>
      <c r="HP20" s="157"/>
      <c r="HQ20" s="157"/>
      <c r="HR20" s="157"/>
      <c r="HS20" s="157"/>
      <c r="HT20" s="157"/>
      <c r="HU20" s="157"/>
      <c r="HV20" s="157"/>
      <c r="HW20" s="157"/>
      <c r="HX20" s="157"/>
      <c r="HY20" s="157"/>
      <c r="HZ20" s="157"/>
      <c r="IA20" s="157"/>
      <c r="IB20" s="157"/>
      <c r="IC20" s="157"/>
      <c r="ID20" s="157"/>
      <c r="IE20" s="157"/>
      <c r="IF20" s="157"/>
      <c r="IG20" s="157"/>
      <c r="IH20" s="157"/>
      <c r="II20" s="157"/>
      <c r="IJ20" s="157"/>
      <c r="IK20" s="157"/>
      <c r="IL20" s="157"/>
      <c r="IM20" s="157"/>
      <c r="IN20" s="157"/>
      <c r="IO20" s="157"/>
      <c r="IP20" s="157"/>
      <c r="IQ20" s="157"/>
      <c r="IR20" s="157"/>
      <c r="IS20" s="157"/>
      <c r="IT20" s="157"/>
      <c r="IU20" s="157"/>
      <c r="IV20" s="157"/>
      <c r="IW20" s="157"/>
      <c r="IX20" s="157"/>
      <c r="IY20" s="157"/>
      <c r="IZ20" s="157"/>
      <c r="JA20" s="157"/>
      <c r="JB20" s="157"/>
      <c r="JC20" s="157"/>
      <c r="JD20" s="157"/>
      <c r="JE20" s="157"/>
      <c r="JF20" s="157"/>
      <c r="JG20" s="157"/>
      <c r="JH20" s="157"/>
      <c r="JI20" s="157"/>
      <c r="JJ20" s="157"/>
      <c r="JK20" s="157"/>
      <c r="JL20" s="157"/>
      <c r="JM20" s="157"/>
      <c r="JN20" s="157"/>
      <c r="JO20" s="157"/>
      <c r="JP20" s="157"/>
      <c r="JQ20" s="157"/>
      <c r="JR20" s="157"/>
      <c r="JS20" s="157"/>
      <c r="JT20" s="157"/>
      <c r="JU20" s="157"/>
      <c r="JV20" s="157"/>
      <c r="JW20" s="157"/>
      <c r="JX20" s="157"/>
      <c r="JY20" s="157"/>
      <c r="JZ20" s="157"/>
      <c r="KA20" s="157"/>
      <c r="KB20" s="157"/>
      <c r="KC20" s="157"/>
      <c r="KD20" s="157"/>
      <c r="KE20" s="157"/>
      <c r="KF20" s="157"/>
      <c r="KG20" s="157"/>
      <c r="KH20" s="157"/>
      <c r="KI20" s="157"/>
      <c r="KJ20" s="157"/>
      <c r="KK20" s="157"/>
      <c r="KL20" s="157"/>
      <c r="KM20" s="157"/>
      <c r="KN20" s="157"/>
      <c r="KO20" s="157"/>
      <c r="KP20" s="157"/>
      <c r="KQ20" s="157"/>
      <c r="KR20" s="157"/>
      <c r="KS20" s="157"/>
      <c r="KT20" s="157"/>
      <c r="KU20" s="157"/>
      <c r="KV20" s="157"/>
      <c r="KW20" s="157"/>
      <c r="KX20" s="157"/>
      <c r="KY20" s="157"/>
      <c r="KZ20" s="157"/>
      <c r="LA20" s="157"/>
      <c r="LB20" s="157"/>
      <c r="LC20" s="157"/>
      <c r="LD20" s="157"/>
      <c r="LE20" s="157"/>
      <c r="LF20" s="157"/>
      <c r="LG20" s="157"/>
      <c r="LH20" s="157"/>
      <c r="LI20" s="157"/>
      <c r="LJ20" s="157"/>
      <c r="LK20" s="157"/>
      <c r="LL20" s="157"/>
      <c r="LM20" s="157"/>
      <c r="LN20" s="157"/>
      <c r="LO20" s="157"/>
      <c r="LP20" s="157"/>
      <c r="LQ20" s="157"/>
      <c r="LR20" s="157"/>
      <c r="LS20" s="157"/>
      <c r="LT20" s="157"/>
      <c r="LU20" s="157"/>
      <c r="LV20" s="157"/>
      <c r="LW20" s="157"/>
      <c r="LX20" s="157"/>
      <c r="LY20" s="157"/>
      <c r="LZ20" s="157"/>
      <c r="MA20" s="157"/>
      <c r="MB20" s="157"/>
      <c r="MC20" s="157"/>
      <c r="MD20" s="157"/>
      <c r="ME20" s="157"/>
      <c r="MF20" s="157"/>
      <c r="MG20" s="157"/>
      <c r="MH20" s="157"/>
      <c r="MI20" s="157"/>
      <c r="MJ20" s="157"/>
      <c r="MK20" s="157"/>
      <c r="ML20" s="157"/>
      <c r="MM20" s="157"/>
      <c r="MN20" s="157"/>
      <c r="MO20" s="157"/>
      <c r="MP20" s="157"/>
      <c r="MQ20" s="157"/>
      <c r="MR20" s="157"/>
      <c r="MS20" s="157"/>
      <c r="MT20" s="157"/>
      <c r="MU20" s="157"/>
      <c r="MV20" s="157"/>
      <c r="MW20" s="157"/>
      <c r="MX20" s="157"/>
      <c r="MY20" s="157"/>
      <c r="MZ20" s="157"/>
      <c r="NA20" s="157"/>
      <c r="NB20" s="157"/>
      <c r="NC20" s="157"/>
      <c r="ND20" s="157"/>
      <c r="NE20" s="157"/>
      <c r="NF20" s="157"/>
      <c r="NG20" s="157"/>
      <c r="NH20" s="157"/>
      <c r="NI20" s="157"/>
    </row>
    <row r="21" spans="1:373" x14ac:dyDescent="0.25">
      <c r="A21" s="318" t="s">
        <v>221</v>
      </c>
      <c r="B21" s="318"/>
      <c r="C21" s="318"/>
      <c r="D21" s="318"/>
      <c r="E21" s="318"/>
      <c r="H21" s="158"/>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159"/>
      <c r="AY21" s="159"/>
      <c r="AZ21" s="159"/>
      <c r="BA21" s="159"/>
      <c r="BB21" s="159"/>
      <c r="BC21" s="159"/>
      <c r="BD21" s="159"/>
      <c r="BE21" s="159"/>
      <c r="BF21" s="159"/>
      <c r="BG21" s="159"/>
      <c r="BH21" s="159"/>
      <c r="BI21" s="159"/>
      <c r="BJ21" s="159"/>
      <c r="BK21" s="159"/>
      <c r="BL21" s="159"/>
      <c r="BM21" s="159"/>
      <c r="BN21" s="159"/>
      <c r="BO21" s="159"/>
      <c r="BP21" s="159"/>
      <c r="BQ21" s="159"/>
      <c r="BR21" s="159"/>
      <c r="BS21" s="159"/>
      <c r="BT21" s="159"/>
      <c r="BU21" s="159"/>
      <c r="BV21" s="159"/>
      <c r="BW21" s="159"/>
      <c r="BX21" s="159"/>
      <c r="BY21" s="159"/>
      <c r="BZ21" s="159"/>
      <c r="CA21" s="159"/>
      <c r="CB21" s="159"/>
      <c r="CC21" s="159"/>
      <c r="CD21" s="159"/>
      <c r="CE21" s="159"/>
      <c r="CF21" s="159"/>
      <c r="CG21" s="159"/>
      <c r="CH21" s="159"/>
      <c r="CI21" s="159"/>
      <c r="CJ21" s="159"/>
      <c r="CK21" s="159"/>
      <c r="CL21" s="159"/>
      <c r="CM21" s="159"/>
      <c r="CN21" s="159"/>
      <c r="CO21" s="159"/>
      <c r="CP21" s="159"/>
      <c r="CQ21" s="159"/>
      <c r="CR21" s="159"/>
      <c r="CS21" s="159"/>
      <c r="CT21" s="159"/>
      <c r="CU21" s="159"/>
      <c r="CV21" s="159"/>
      <c r="CW21" s="159"/>
      <c r="CX21" s="159"/>
      <c r="CY21" s="159"/>
      <c r="CZ21" s="159"/>
      <c r="DA21" s="159"/>
      <c r="DB21" s="159"/>
      <c r="DC21" s="159"/>
      <c r="DD21" s="159"/>
      <c r="DE21" s="159"/>
      <c r="DF21" s="159"/>
      <c r="DG21" s="159"/>
      <c r="DH21" s="159"/>
      <c r="DI21" s="159"/>
      <c r="DJ21" s="159"/>
      <c r="DK21" s="159"/>
      <c r="DL21" s="159"/>
      <c r="DM21" s="159"/>
      <c r="DN21" s="159"/>
      <c r="DO21" s="159"/>
      <c r="DP21" s="159"/>
      <c r="DQ21" s="159"/>
      <c r="DR21" s="159"/>
      <c r="DS21" s="159"/>
      <c r="DT21" s="159"/>
      <c r="DU21" s="159"/>
      <c r="DV21" s="159"/>
      <c r="DW21" s="159"/>
      <c r="DX21" s="159"/>
      <c r="DY21" s="159"/>
      <c r="DZ21" s="159"/>
      <c r="EA21" s="159"/>
      <c r="EB21" s="159"/>
      <c r="EC21" s="159"/>
      <c r="ED21" s="159"/>
      <c r="EE21" s="159"/>
      <c r="EF21" s="159"/>
      <c r="EG21" s="159"/>
      <c r="EH21" s="159"/>
      <c r="EI21" s="159"/>
      <c r="EJ21" s="159"/>
      <c r="EK21" s="159"/>
      <c r="EL21" s="159"/>
      <c r="EM21" s="159"/>
      <c r="EN21" s="159"/>
      <c r="EO21" s="159"/>
      <c r="EP21" s="159"/>
      <c r="EQ21" s="159"/>
      <c r="ER21" s="159"/>
      <c r="ES21" s="159"/>
      <c r="ET21" s="159"/>
      <c r="EU21" s="159"/>
      <c r="EV21" s="159"/>
      <c r="EW21" s="159"/>
      <c r="EX21" s="159"/>
      <c r="EY21" s="159"/>
      <c r="EZ21" s="159"/>
      <c r="FA21" s="159"/>
      <c r="FB21" s="159"/>
      <c r="FC21" s="159"/>
      <c r="FD21" s="159"/>
      <c r="FE21" s="159"/>
      <c r="FF21" s="159"/>
      <c r="FG21" s="159"/>
      <c r="FH21" s="159"/>
      <c r="FI21" s="159"/>
      <c r="FJ21" s="159"/>
      <c r="FK21" s="159"/>
      <c r="FL21" s="159"/>
      <c r="FM21" s="159"/>
      <c r="FN21" s="159"/>
      <c r="FO21" s="159"/>
      <c r="FP21" s="159"/>
      <c r="FQ21" s="159"/>
      <c r="FR21" s="159"/>
      <c r="FS21" s="159"/>
      <c r="FT21" s="159"/>
      <c r="FU21" s="159"/>
      <c r="FV21" s="159"/>
      <c r="FW21" s="159"/>
      <c r="FX21" s="159"/>
      <c r="FY21" s="159"/>
      <c r="FZ21" s="159"/>
      <c r="GA21" s="159"/>
      <c r="GB21" s="159"/>
      <c r="GC21" s="159"/>
      <c r="GD21" s="159"/>
      <c r="GE21" s="159"/>
      <c r="GF21" s="159"/>
      <c r="GG21" s="159"/>
      <c r="GH21" s="159"/>
      <c r="GI21" s="159"/>
      <c r="GJ21" s="159"/>
      <c r="GK21" s="159"/>
      <c r="GL21" s="159"/>
      <c r="GM21" s="159"/>
      <c r="GN21" s="159"/>
      <c r="GO21" s="159"/>
      <c r="GP21" s="159"/>
      <c r="GQ21" s="159"/>
      <c r="GR21" s="159"/>
      <c r="GS21" s="159"/>
      <c r="GT21" s="159"/>
      <c r="GU21" s="159"/>
      <c r="GV21" s="159"/>
      <c r="GW21" s="159"/>
      <c r="GX21" s="159"/>
      <c r="GY21" s="159"/>
      <c r="GZ21" s="159"/>
      <c r="HA21" s="159"/>
      <c r="HB21" s="159"/>
      <c r="HC21" s="159"/>
      <c r="HD21" s="159"/>
      <c r="HE21" s="159"/>
      <c r="HF21" s="159"/>
      <c r="HG21" s="159"/>
      <c r="HH21" s="159"/>
      <c r="HI21" s="159"/>
      <c r="HJ21" s="159"/>
      <c r="HK21" s="159"/>
      <c r="HL21" s="159"/>
      <c r="HM21" s="159"/>
      <c r="HN21" s="159"/>
      <c r="HO21" s="159"/>
      <c r="HP21" s="159"/>
      <c r="HQ21" s="159"/>
      <c r="HR21" s="159"/>
      <c r="HS21" s="159"/>
      <c r="HT21" s="159"/>
      <c r="HU21" s="159"/>
      <c r="HV21" s="159"/>
      <c r="HW21" s="159"/>
      <c r="HX21" s="159"/>
      <c r="HY21" s="159"/>
      <c r="HZ21" s="159"/>
      <c r="IA21" s="159"/>
      <c r="IB21" s="159"/>
      <c r="IC21" s="159"/>
      <c r="ID21" s="159"/>
      <c r="IE21" s="159"/>
      <c r="IF21" s="159"/>
      <c r="IG21" s="159"/>
      <c r="IH21" s="159"/>
      <c r="II21" s="159"/>
      <c r="IJ21" s="159"/>
      <c r="IK21" s="159"/>
      <c r="IL21" s="159"/>
      <c r="IM21" s="159"/>
      <c r="IN21" s="159"/>
      <c r="IO21" s="159"/>
      <c r="IP21" s="159"/>
      <c r="IQ21" s="159"/>
      <c r="IR21" s="159"/>
      <c r="IS21" s="159"/>
      <c r="IT21" s="159"/>
      <c r="IU21" s="159"/>
      <c r="IV21" s="159"/>
      <c r="IW21" s="159"/>
      <c r="IX21" s="159"/>
      <c r="IY21" s="159"/>
      <c r="IZ21" s="159"/>
      <c r="JA21" s="159"/>
      <c r="JB21" s="159"/>
      <c r="JC21" s="159"/>
      <c r="JD21" s="159"/>
      <c r="JE21" s="159"/>
      <c r="JF21" s="159"/>
      <c r="JG21" s="159"/>
      <c r="JH21" s="159"/>
      <c r="JI21" s="159"/>
      <c r="JJ21" s="159"/>
      <c r="JK21" s="159"/>
      <c r="JL21" s="159"/>
      <c r="JM21" s="159"/>
      <c r="JN21" s="159"/>
      <c r="JO21" s="159"/>
      <c r="JP21" s="159"/>
      <c r="JQ21" s="159"/>
      <c r="JR21" s="159"/>
      <c r="JS21" s="159"/>
      <c r="JT21" s="159"/>
      <c r="JU21" s="159"/>
      <c r="JV21" s="159"/>
      <c r="JW21" s="159"/>
      <c r="JX21" s="159"/>
      <c r="JY21" s="159"/>
      <c r="JZ21" s="159"/>
      <c r="KA21" s="159"/>
      <c r="KB21" s="159"/>
      <c r="KC21" s="159"/>
      <c r="KD21" s="159"/>
      <c r="KE21" s="159"/>
      <c r="KF21" s="159"/>
      <c r="KG21" s="159"/>
      <c r="KH21" s="159"/>
      <c r="KI21" s="159"/>
      <c r="KJ21" s="159"/>
      <c r="KK21" s="159"/>
      <c r="KL21" s="159"/>
      <c r="KM21" s="159"/>
      <c r="KN21" s="159"/>
      <c r="KO21" s="159"/>
      <c r="KP21" s="159"/>
      <c r="KQ21" s="159"/>
      <c r="KR21" s="159"/>
      <c r="KS21" s="159"/>
      <c r="KT21" s="159"/>
      <c r="KU21" s="159"/>
      <c r="KV21" s="159"/>
      <c r="KW21" s="159"/>
      <c r="KX21" s="159"/>
      <c r="KY21" s="159"/>
      <c r="KZ21" s="159"/>
      <c r="LA21" s="159"/>
      <c r="LB21" s="159"/>
      <c r="LC21" s="159"/>
      <c r="LD21" s="159"/>
      <c r="LE21" s="159"/>
      <c r="LF21" s="159"/>
      <c r="LG21" s="159"/>
      <c r="LH21" s="159"/>
      <c r="LI21" s="159"/>
      <c r="LJ21" s="159"/>
      <c r="LK21" s="159"/>
      <c r="LL21" s="159"/>
      <c r="LM21" s="159"/>
      <c r="LN21" s="159"/>
      <c r="LO21" s="159"/>
      <c r="LP21" s="159"/>
      <c r="LQ21" s="159"/>
      <c r="LR21" s="159"/>
      <c r="LS21" s="159"/>
      <c r="LT21" s="159"/>
      <c r="LU21" s="159"/>
      <c r="LV21" s="159"/>
      <c r="LW21" s="159"/>
      <c r="LX21" s="159"/>
      <c r="LY21" s="159"/>
      <c r="LZ21" s="159"/>
      <c r="MA21" s="159"/>
      <c r="MB21" s="159"/>
      <c r="MC21" s="159"/>
      <c r="MD21" s="159"/>
      <c r="ME21" s="159"/>
      <c r="MF21" s="159"/>
      <c r="MG21" s="159"/>
      <c r="MH21" s="159"/>
      <c r="MI21" s="159"/>
      <c r="MJ21" s="159"/>
      <c r="MK21" s="159"/>
      <c r="ML21" s="159"/>
      <c r="MM21" s="159"/>
      <c r="MN21" s="159"/>
      <c r="MO21" s="159"/>
      <c r="MP21" s="159"/>
      <c r="MQ21" s="159"/>
      <c r="MR21" s="159"/>
      <c r="MS21" s="159"/>
      <c r="MT21" s="159"/>
      <c r="MU21" s="159"/>
      <c r="MV21" s="159"/>
      <c r="MW21" s="159"/>
      <c r="MX21" s="159"/>
      <c r="MY21" s="159"/>
      <c r="MZ21" s="159"/>
      <c r="NA21" s="159"/>
      <c r="NB21" s="159"/>
      <c r="NC21" s="159"/>
      <c r="ND21" s="159"/>
      <c r="NE21" s="159"/>
      <c r="NF21" s="159"/>
      <c r="NG21" s="159"/>
      <c r="NH21" s="159"/>
      <c r="NI21" s="159"/>
    </row>
    <row r="22" spans="1:373" x14ac:dyDescent="0.25">
      <c r="A22" s="149" t="s">
        <v>131</v>
      </c>
      <c r="B22" s="149" t="s">
        <v>249</v>
      </c>
      <c r="C22" s="149" t="s">
        <v>222</v>
      </c>
      <c r="D22" s="149" t="s">
        <v>223</v>
      </c>
      <c r="E22" s="149" t="s">
        <v>224</v>
      </c>
      <c r="G22" s="149" t="s">
        <v>320</v>
      </c>
      <c r="H22" s="155" t="s">
        <v>247</v>
      </c>
      <c r="I22" s="156" cm="1">
        <f t="array" ref="I22:NI22">nabla.d.Timelineλ("1/1/2026", 365, "D")</f>
        <v>45292</v>
      </c>
      <c r="J22" s="156">
        <v>46024</v>
      </c>
      <c r="K22" s="156">
        <v>46025</v>
      </c>
      <c r="L22" s="156">
        <v>46026</v>
      </c>
      <c r="M22" s="156">
        <v>46027</v>
      </c>
      <c r="N22" s="156">
        <v>46028</v>
      </c>
      <c r="O22" s="156">
        <v>46029</v>
      </c>
      <c r="P22" s="156">
        <v>46030</v>
      </c>
      <c r="Q22" s="156">
        <v>46031</v>
      </c>
      <c r="R22" s="156">
        <v>46032</v>
      </c>
      <c r="S22" s="156">
        <v>46033</v>
      </c>
      <c r="T22" s="156">
        <v>46034</v>
      </c>
      <c r="U22" s="156">
        <v>46035</v>
      </c>
      <c r="V22" s="156">
        <v>46036</v>
      </c>
      <c r="W22" s="156">
        <v>46037</v>
      </c>
      <c r="X22" s="156">
        <v>46038</v>
      </c>
      <c r="Y22" s="156">
        <v>46039</v>
      </c>
      <c r="Z22" s="156">
        <v>46040</v>
      </c>
      <c r="AA22" s="156">
        <v>46041</v>
      </c>
      <c r="AB22" s="156">
        <v>46042</v>
      </c>
      <c r="AC22" s="156">
        <v>46043</v>
      </c>
      <c r="AD22" s="156">
        <v>46044</v>
      </c>
      <c r="AE22" s="156">
        <v>46045</v>
      </c>
      <c r="AF22" s="156">
        <v>46046</v>
      </c>
      <c r="AG22" s="156">
        <v>46047</v>
      </c>
      <c r="AH22" s="156">
        <v>46048</v>
      </c>
      <c r="AI22" s="156">
        <v>46049</v>
      </c>
      <c r="AJ22" s="156">
        <v>46050</v>
      </c>
      <c r="AK22" s="156">
        <v>46051</v>
      </c>
      <c r="AL22" s="156">
        <v>46052</v>
      </c>
      <c r="AM22" s="156">
        <v>46053</v>
      </c>
      <c r="AN22" s="156">
        <v>46054</v>
      </c>
      <c r="AO22" s="156">
        <v>46055</v>
      </c>
      <c r="AP22" s="156">
        <v>46056</v>
      </c>
      <c r="AQ22" s="156">
        <v>46057</v>
      </c>
      <c r="AR22" s="156">
        <v>46058</v>
      </c>
      <c r="AS22" s="156">
        <v>46059</v>
      </c>
      <c r="AT22" s="156">
        <v>46060</v>
      </c>
      <c r="AU22" s="156">
        <v>46061</v>
      </c>
      <c r="AV22" s="156">
        <v>46062</v>
      </c>
      <c r="AW22" s="156">
        <v>46063</v>
      </c>
      <c r="AX22" s="156">
        <v>46064</v>
      </c>
      <c r="AY22" s="156">
        <v>46065</v>
      </c>
      <c r="AZ22" s="156">
        <v>46066</v>
      </c>
      <c r="BA22" s="156">
        <v>46067</v>
      </c>
      <c r="BB22" s="156">
        <v>46068</v>
      </c>
      <c r="BC22" s="156">
        <v>46069</v>
      </c>
      <c r="BD22" s="156">
        <v>46070</v>
      </c>
      <c r="BE22" s="156">
        <v>46071</v>
      </c>
      <c r="BF22" s="156">
        <v>46072</v>
      </c>
      <c r="BG22" s="156">
        <v>46073</v>
      </c>
      <c r="BH22" s="156">
        <v>46074</v>
      </c>
      <c r="BI22" s="156">
        <v>46075</v>
      </c>
      <c r="BJ22" s="156">
        <v>46076</v>
      </c>
      <c r="BK22" s="156">
        <v>46077</v>
      </c>
      <c r="BL22" s="156">
        <v>46078</v>
      </c>
      <c r="BM22" s="156">
        <v>46079</v>
      </c>
      <c r="BN22" s="156">
        <v>46080</v>
      </c>
      <c r="BO22" s="156">
        <v>46081</v>
      </c>
      <c r="BP22" s="156">
        <v>46081</v>
      </c>
      <c r="BQ22" s="156">
        <v>46082</v>
      </c>
      <c r="BR22" s="156">
        <v>46083</v>
      </c>
      <c r="BS22" s="156">
        <v>46084</v>
      </c>
      <c r="BT22" s="156">
        <v>46085</v>
      </c>
      <c r="BU22" s="156">
        <v>46086</v>
      </c>
      <c r="BV22" s="156">
        <v>46087</v>
      </c>
      <c r="BW22" s="156">
        <v>46088</v>
      </c>
      <c r="BX22" s="156">
        <v>46089</v>
      </c>
      <c r="BY22" s="156">
        <v>46090</v>
      </c>
      <c r="BZ22" s="156">
        <v>46091</v>
      </c>
      <c r="CA22" s="156">
        <v>46092</v>
      </c>
      <c r="CB22" s="156">
        <v>46093</v>
      </c>
      <c r="CC22" s="156">
        <v>46094</v>
      </c>
      <c r="CD22" s="156">
        <v>46095</v>
      </c>
      <c r="CE22" s="156">
        <v>46096</v>
      </c>
      <c r="CF22" s="156">
        <v>46097</v>
      </c>
      <c r="CG22" s="156">
        <v>46098</v>
      </c>
      <c r="CH22" s="156">
        <v>46099</v>
      </c>
      <c r="CI22" s="156">
        <v>46100</v>
      </c>
      <c r="CJ22" s="156">
        <v>46101</v>
      </c>
      <c r="CK22" s="156">
        <v>46102</v>
      </c>
      <c r="CL22" s="156">
        <v>46103</v>
      </c>
      <c r="CM22" s="156">
        <v>46104</v>
      </c>
      <c r="CN22" s="156">
        <v>46105</v>
      </c>
      <c r="CO22" s="156">
        <v>46106</v>
      </c>
      <c r="CP22" s="156">
        <v>46107</v>
      </c>
      <c r="CQ22" s="156">
        <v>46108</v>
      </c>
      <c r="CR22" s="156">
        <v>46109</v>
      </c>
      <c r="CS22" s="156">
        <v>46110</v>
      </c>
      <c r="CT22" s="156">
        <v>46111</v>
      </c>
      <c r="CU22" s="156">
        <v>46112</v>
      </c>
      <c r="CV22" s="156">
        <v>46113</v>
      </c>
      <c r="CW22" s="156">
        <v>46114</v>
      </c>
      <c r="CX22" s="156">
        <v>46115</v>
      </c>
      <c r="CY22" s="156">
        <v>46116</v>
      </c>
      <c r="CZ22" s="156">
        <v>46117</v>
      </c>
      <c r="DA22" s="156">
        <v>46118</v>
      </c>
      <c r="DB22" s="156">
        <v>46119</v>
      </c>
      <c r="DC22" s="156">
        <v>46120</v>
      </c>
      <c r="DD22" s="156">
        <v>46121</v>
      </c>
      <c r="DE22" s="156">
        <v>46122</v>
      </c>
      <c r="DF22" s="156">
        <v>46123</v>
      </c>
      <c r="DG22" s="156">
        <v>46124</v>
      </c>
      <c r="DH22" s="156">
        <v>46125</v>
      </c>
      <c r="DI22" s="156">
        <v>46126</v>
      </c>
      <c r="DJ22" s="156">
        <v>46127</v>
      </c>
      <c r="DK22" s="156">
        <v>46128</v>
      </c>
      <c r="DL22" s="156">
        <v>46129</v>
      </c>
      <c r="DM22" s="156">
        <v>46130</v>
      </c>
      <c r="DN22" s="156">
        <v>46131</v>
      </c>
      <c r="DO22" s="156">
        <v>46132</v>
      </c>
      <c r="DP22" s="156">
        <v>46133</v>
      </c>
      <c r="DQ22" s="156">
        <v>46134</v>
      </c>
      <c r="DR22" s="156">
        <v>46135</v>
      </c>
      <c r="DS22" s="156">
        <v>46136</v>
      </c>
      <c r="DT22" s="156">
        <v>46137</v>
      </c>
      <c r="DU22" s="156">
        <v>46138</v>
      </c>
      <c r="DV22" s="156">
        <v>46139</v>
      </c>
      <c r="DW22" s="156">
        <v>46140</v>
      </c>
      <c r="DX22" s="156">
        <v>46141</v>
      </c>
      <c r="DY22" s="156">
        <v>46142</v>
      </c>
      <c r="DZ22" s="156">
        <v>46143</v>
      </c>
      <c r="EA22" s="156">
        <v>46144</v>
      </c>
      <c r="EB22" s="156">
        <v>46145</v>
      </c>
      <c r="EC22" s="156">
        <v>46146</v>
      </c>
      <c r="ED22" s="156">
        <v>46147</v>
      </c>
      <c r="EE22" s="156">
        <v>46148</v>
      </c>
      <c r="EF22" s="156">
        <v>46149</v>
      </c>
      <c r="EG22" s="156">
        <v>46150</v>
      </c>
      <c r="EH22" s="156">
        <v>46151</v>
      </c>
      <c r="EI22" s="156">
        <v>46152</v>
      </c>
      <c r="EJ22" s="156">
        <v>46153</v>
      </c>
      <c r="EK22" s="156">
        <v>46154</v>
      </c>
      <c r="EL22" s="156">
        <v>46155</v>
      </c>
      <c r="EM22" s="156">
        <v>46156</v>
      </c>
      <c r="EN22" s="156">
        <v>46157</v>
      </c>
      <c r="EO22" s="156">
        <v>46158</v>
      </c>
      <c r="EP22" s="156">
        <v>46159</v>
      </c>
      <c r="EQ22" s="156">
        <v>46160</v>
      </c>
      <c r="ER22" s="156">
        <v>46161</v>
      </c>
      <c r="ES22" s="156">
        <v>46162</v>
      </c>
      <c r="ET22" s="156">
        <v>46163</v>
      </c>
      <c r="EU22" s="156">
        <v>46164</v>
      </c>
      <c r="EV22" s="156">
        <v>46165</v>
      </c>
      <c r="EW22" s="156">
        <v>46166</v>
      </c>
      <c r="EX22" s="156">
        <v>46167</v>
      </c>
      <c r="EY22" s="156">
        <v>46168</v>
      </c>
      <c r="EZ22" s="156">
        <v>46169</v>
      </c>
      <c r="FA22" s="156">
        <v>46170</v>
      </c>
      <c r="FB22" s="156">
        <v>46171</v>
      </c>
      <c r="FC22" s="156">
        <v>46172</v>
      </c>
      <c r="FD22" s="156">
        <v>46173</v>
      </c>
      <c r="FE22" s="156">
        <v>46174</v>
      </c>
      <c r="FF22" s="156">
        <v>46175</v>
      </c>
      <c r="FG22" s="156">
        <v>46176</v>
      </c>
      <c r="FH22" s="156">
        <v>46177</v>
      </c>
      <c r="FI22" s="156">
        <v>46178</v>
      </c>
      <c r="FJ22" s="156">
        <v>46179</v>
      </c>
      <c r="FK22" s="156">
        <v>46180</v>
      </c>
      <c r="FL22" s="156">
        <v>46181</v>
      </c>
      <c r="FM22" s="156">
        <v>46182</v>
      </c>
      <c r="FN22" s="156">
        <v>46183</v>
      </c>
      <c r="FO22" s="156">
        <v>46184</v>
      </c>
      <c r="FP22" s="156">
        <v>46185</v>
      </c>
      <c r="FQ22" s="156">
        <v>46186</v>
      </c>
      <c r="FR22" s="156">
        <v>46187</v>
      </c>
      <c r="FS22" s="156">
        <v>46188</v>
      </c>
      <c r="FT22" s="156">
        <v>46189</v>
      </c>
      <c r="FU22" s="156">
        <v>46190</v>
      </c>
      <c r="FV22" s="156">
        <v>46191</v>
      </c>
      <c r="FW22" s="156">
        <v>46192</v>
      </c>
      <c r="FX22" s="156">
        <v>46193</v>
      </c>
      <c r="FY22" s="156">
        <v>46194</v>
      </c>
      <c r="FZ22" s="156">
        <v>46195</v>
      </c>
      <c r="GA22" s="156">
        <v>46196</v>
      </c>
      <c r="GB22" s="156">
        <v>46197</v>
      </c>
      <c r="GC22" s="156">
        <v>46198</v>
      </c>
      <c r="GD22" s="156">
        <v>46199</v>
      </c>
      <c r="GE22" s="156">
        <v>46200</v>
      </c>
      <c r="GF22" s="156">
        <v>46201</v>
      </c>
      <c r="GG22" s="156">
        <v>46202</v>
      </c>
      <c r="GH22" s="156">
        <v>46203</v>
      </c>
      <c r="GI22" s="156">
        <v>46204</v>
      </c>
      <c r="GJ22" s="156">
        <v>46205</v>
      </c>
      <c r="GK22" s="156">
        <v>46206</v>
      </c>
      <c r="GL22" s="156">
        <v>46207</v>
      </c>
      <c r="GM22" s="156">
        <v>46208</v>
      </c>
      <c r="GN22" s="156">
        <v>46209</v>
      </c>
      <c r="GO22" s="156">
        <v>46210</v>
      </c>
      <c r="GP22" s="156">
        <v>46211</v>
      </c>
      <c r="GQ22" s="156">
        <v>46212</v>
      </c>
      <c r="GR22" s="156">
        <v>46213</v>
      </c>
      <c r="GS22" s="156">
        <v>46214</v>
      </c>
      <c r="GT22" s="156">
        <v>46215</v>
      </c>
      <c r="GU22" s="156">
        <v>46216</v>
      </c>
      <c r="GV22" s="156">
        <v>46217</v>
      </c>
      <c r="GW22" s="156">
        <v>46218</v>
      </c>
      <c r="GX22" s="156">
        <v>46219</v>
      </c>
      <c r="GY22" s="156">
        <v>46220</v>
      </c>
      <c r="GZ22" s="156">
        <v>46221</v>
      </c>
      <c r="HA22" s="156">
        <v>46222</v>
      </c>
      <c r="HB22" s="156">
        <v>46223</v>
      </c>
      <c r="HC22" s="156">
        <v>46224</v>
      </c>
      <c r="HD22" s="156">
        <v>46225</v>
      </c>
      <c r="HE22" s="156">
        <v>46226</v>
      </c>
      <c r="HF22" s="156">
        <v>46227</v>
      </c>
      <c r="HG22" s="156">
        <v>46228</v>
      </c>
      <c r="HH22" s="156">
        <v>46229</v>
      </c>
      <c r="HI22" s="156">
        <v>46230</v>
      </c>
      <c r="HJ22" s="156">
        <v>46231</v>
      </c>
      <c r="HK22" s="156">
        <v>46232</v>
      </c>
      <c r="HL22" s="156">
        <v>46233</v>
      </c>
      <c r="HM22" s="156">
        <v>46234</v>
      </c>
      <c r="HN22" s="156">
        <v>46235</v>
      </c>
      <c r="HO22" s="156">
        <v>46236</v>
      </c>
      <c r="HP22" s="156">
        <v>46237</v>
      </c>
      <c r="HQ22" s="156">
        <v>46238</v>
      </c>
      <c r="HR22" s="156">
        <v>46239</v>
      </c>
      <c r="HS22" s="156">
        <v>46240</v>
      </c>
      <c r="HT22" s="156">
        <v>46241</v>
      </c>
      <c r="HU22" s="156">
        <v>46242</v>
      </c>
      <c r="HV22" s="156">
        <v>46243</v>
      </c>
      <c r="HW22" s="156">
        <v>46244</v>
      </c>
      <c r="HX22" s="156">
        <v>46245</v>
      </c>
      <c r="HY22" s="156">
        <v>46246</v>
      </c>
      <c r="HZ22" s="156">
        <v>46247</v>
      </c>
      <c r="IA22" s="156">
        <v>46248</v>
      </c>
      <c r="IB22" s="156">
        <v>46249</v>
      </c>
      <c r="IC22" s="156">
        <v>46250</v>
      </c>
      <c r="ID22" s="156">
        <v>46251</v>
      </c>
      <c r="IE22" s="156">
        <v>46252</v>
      </c>
      <c r="IF22" s="156">
        <v>46253</v>
      </c>
      <c r="IG22" s="156">
        <v>46254</v>
      </c>
      <c r="IH22" s="156">
        <v>46255</v>
      </c>
      <c r="II22" s="156">
        <v>46256</v>
      </c>
      <c r="IJ22" s="156">
        <v>46257</v>
      </c>
      <c r="IK22" s="156">
        <v>46258</v>
      </c>
      <c r="IL22" s="156">
        <v>46259</v>
      </c>
      <c r="IM22" s="156">
        <v>46260</v>
      </c>
      <c r="IN22" s="156">
        <v>46261</v>
      </c>
      <c r="IO22" s="156">
        <v>46262</v>
      </c>
      <c r="IP22" s="156">
        <v>46263</v>
      </c>
      <c r="IQ22" s="156">
        <v>46264</v>
      </c>
      <c r="IR22" s="156">
        <v>46265</v>
      </c>
      <c r="IS22" s="156">
        <v>46266</v>
      </c>
      <c r="IT22" s="156">
        <v>46267</v>
      </c>
      <c r="IU22" s="156">
        <v>46268</v>
      </c>
      <c r="IV22" s="156">
        <v>46269</v>
      </c>
      <c r="IW22" s="156">
        <v>46270</v>
      </c>
      <c r="IX22" s="156">
        <v>46271</v>
      </c>
      <c r="IY22" s="156">
        <v>46272</v>
      </c>
      <c r="IZ22" s="156">
        <v>46273</v>
      </c>
      <c r="JA22" s="156">
        <v>46274</v>
      </c>
      <c r="JB22" s="156">
        <v>46275</v>
      </c>
      <c r="JC22" s="156">
        <v>46276</v>
      </c>
      <c r="JD22" s="156">
        <v>46277</v>
      </c>
      <c r="JE22" s="156">
        <v>46278</v>
      </c>
      <c r="JF22" s="156">
        <v>46279</v>
      </c>
      <c r="JG22" s="156">
        <v>46280</v>
      </c>
      <c r="JH22" s="156">
        <v>46281</v>
      </c>
      <c r="JI22" s="156">
        <v>46282</v>
      </c>
      <c r="JJ22" s="156">
        <v>46283</v>
      </c>
      <c r="JK22" s="156">
        <v>46284</v>
      </c>
      <c r="JL22" s="156">
        <v>46285</v>
      </c>
      <c r="JM22" s="156">
        <v>46286</v>
      </c>
      <c r="JN22" s="156">
        <v>46287</v>
      </c>
      <c r="JO22" s="156">
        <v>46288</v>
      </c>
      <c r="JP22" s="156">
        <v>46289</v>
      </c>
      <c r="JQ22" s="156">
        <v>46290</v>
      </c>
      <c r="JR22" s="156">
        <v>46291</v>
      </c>
      <c r="JS22" s="156">
        <v>46292</v>
      </c>
      <c r="JT22" s="156">
        <v>46293</v>
      </c>
      <c r="JU22" s="156">
        <v>46294</v>
      </c>
      <c r="JV22" s="156">
        <v>46295</v>
      </c>
      <c r="JW22" s="156">
        <v>46296</v>
      </c>
      <c r="JX22" s="156">
        <v>46297</v>
      </c>
      <c r="JY22" s="156">
        <v>46298</v>
      </c>
      <c r="JZ22" s="156">
        <v>46299</v>
      </c>
      <c r="KA22" s="156">
        <v>46300</v>
      </c>
      <c r="KB22" s="156">
        <v>46301</v>
      </c>
      <c r="KC22" s="156">
        <v>46302</v>
      </c>
      <c r="KD22" s="156">
        <v>46303</v>
      </c>
      <c r="KE22" s="156">
        <v>46304</v>
      </c>
      <c r="KF22" s="156">
        <v>46305</v>
      </c>
      <c r="KG22" s="156">
        <v>46306</v>
      </c>
      <c r="KH22" s="156">
        <v>46307</v>
      </c>
      <c r="KI22" s="156">
        <v>46308</v>
      </c>
      <c r="KJ22" s="156">
        <v>46309</v>
      </c>
      <c r="KK22" s="156">
        <v>46310</v>
      </c>
      <c r="KL22" s="156">
        <v>46311</v>
      </c>
      <c r="KM22" s="156">
        <v>46312</v>
      </c>
      <c r="KN22" s="156">
        <v>46313</v>
      </c>
      <c r="KO22" s="156">
        <v>46314</v>
      </c>
      <c r="KP22" s="156">
        <v>46315</v>
      </c>
      <c r="KQ22" s="156">
        <v>46316</v>
      </c>
      <c r="KR22" s="156">
        <v>46317</v>
      </c>
      <c r="KS22" s="156">
        <v>46318</v>
      </c>
      <c r="KT22" s="156">
        <v>46319</v>
      </c>
      <c r="KU22" s="156">
        <v>46320</v>
      </c>
      <c r="KV22" s="156">
        <v>46321</v>
      </c>
      <c r="KW22" s="156">
        <v>46322</v>
      </c>
      <c r="KX22" s="156">
        <v>46323</v>
      </c>
      <c r="KY22" s="156">
        <v>46324</v>
      </c>
      <c r="KZ22" s="156">
        <v>46325</v>
      </c>
      <c r="LA22" s="156">
        <v>46326</v>
      </c>
      <c r="LB22" s="156">
        <v>46327</v>
      </c>
      <c r="LC22" s="156">
        <v>46328</v>
      </c>
      <c r="LD22" s="156">
        <v>46329</v>
      </c>
      <c r="LE22" s="156">
        <v>46330</v>
      </c>
      <c r="LF22" s="156">
        <v>46331</v>
      </c>
      <c r="LG22" s="156">
        <v>46332</v>
      </c>
      <c r="LH22" s="156">
        <v>46333</v>
      </c>
      <c r="LI22" s="156">
        <v>46334</v>
      </c>
      <c r="LJ22" s="156">
        <v>46335</v>
      </c>
      <c r="LK22" s="156">
        <v>46336</v>
      </c>
      <c r="LL22" s="156">
        <v>46337</v>
      </c>
      <c r="LM22" s="156">
        <v>46338</v>
      </c>
      <c r="LN22" s="156">
        <v>46339</v>
      </c>
      <c r="LO22" s="156">
        <v>46340</v>
      </c>
      <c r="LP22" s="156">
        <v>46341</v>
      </c>
      <c r="LQ22" s="156">
        <v>46342</v>
      </c>
      <c r="LR22" s="156">
        <v>46343</v>
      </c>
      <c r="LS22" s="156">
        <v>46344</v>
      </c>
      <c r="LT22" s="156">
        <v>46345</v>
      </c>
      <c r="LU22" s="156">
        <v>46346</v>
      </c>
      <c r="LV22" s="156">
        <v>46347</v>
      </c>
      <c r="LW22" s="156">
        <v>46348</v>
      </c>
      <c r="LX22" s="156">
        <v>46349</v>
      </c>
      <c r="LY22" s="156">
        <v>46350</v>
      </c>
      <c r="LZ22" s="156">
        <v>46351</v>
      </c>
      <c r="MA22" s="156">
        <v>46352</v>
      </c>
      <c r="MB22" s="156">
        <v>46353</v>
      </c>
      <c r="MC22" s="156">
        <v>46354</v>
      </c>
      <c r="MD22" s="156">
        <v>46355</v>
      </c>
      <c r="ME22" s="156">
        <v>46356</v>
      </c>
      <c r="MF22" s="156">
        <v>46357</v>
      </c>
      <c r="MG22" s="156">
        <v>46358</v>
      </c>
      <c r="MH22" s="156">
        <v>46359</v>
      </c>
      <c r="MI22" s="156">
        <v>46360</v>
      </c>
      <c r="MJ22" s="156">
        <v>46361</v>
      </c>
      <c r="MK22" s="156">
        <v>46362</v>
      </c>
      <c r="ML22" s="156">
        <v>46363</v>
      </c>
      <c r="MM22" s="156">
        <v>46364</v>
      </c>
      <c r="MN22" s="156">
        <v>46365</v>
      </c>
      <c r="MO22" s="156">
        <v>46366</v>
      </c>
      <c r="MP22" s="156">
        <v>46367</v>
      </c>
      <c r="MQ22" s="156">
        <v>46368</v>
      </c>
      <c r="MR22" s="156">
        <v>46369</v>
      </c>
      <c r="MS22" s="156">
        <v>46370</v>
      </c>
      <c r="MT22" s="156">
        <v>46371</v>
      </c>
      <c r="MU22" s="156">
        <v>46372</v>
      </c>
      <c r="MV22" s="156">
        <v>46373</v>
      </c>
      <c r="MW22" s="156">
        <v>46374</v>
      </c>
      <c r="MX22" s="156">
        <v>46375</v>
      </c>
      <c r="MY22" s="156">
        <v>46376</v>
      </c>
      <c r="MZ22" s="156">
        <v>46377</v>
      </c>
      <c r="NA22" s="156">
        <v>46378</v>
      </c>
      <c r="NB22" s="156">
        <v>46379</v>
      </c>
      <c r="NC22" s="156">
        <v>46380</v>
      </c>
      <c r="ND22" s="156">
        <v>46381</v>
      </c>
      <c r="NE22" s="156">
        <v>46382</v>
      </c>
      <c r="NF22" s="156">
        <v>46383</v>
      </c>
      <c r="NG22" s="156">
        <v>46384</v>
      </c>
      <c r="NH22" s="156">
        <v>46385</v>
      </c>
      <c r="NI22" s="156">
        <v>46386</v>
      </c>
    </row>
    <row r="23" spans="1:373" x14ac:dyDescent="0.25">
      <c r="A23" t="s">
        <v>227</v>
      </c>
      <c r="B23" s="207">
        <v>6000</v>
      </c>
      <c r="C23" s="208" t="s">
        <v>225</v>
      </c>
      <c r="D23" s="209">
        <v>46023</v>
      </c>
      <c r="E23" s="209"/>
      <c r="G23" t="s">
        <v>227</v>
      </c>
      <c r="H23" cm="1">
        <f t="array" ref="H23:H28">nabla.e.SumRowsλ(_xlfn.ANCHORARRAY(I23))</f>
        <v>162000</v>
      </c>
      <c r="I23" s="192" cm="1">
        <f t="array" ref="I23:NI28">nabla.d.IsOccurrenceDateλ(_xlfn.ANCHORARRAY( I22), tblBudget[First Date], tblBudget[Last Date], tblBudget[Schedule]) * tblBudget[Amount]</f>
        <v>6000</v>
      </c>
      <c r="J23">
        <v>0</v>
      </c>
      <c r="K23">
        <v>0</v>
      </c>
      <c r="L23">
        <v>0</v>
      </c>
      <c r="M23">
        <v>0</v>
      </c>
      <c r="N23">
        <v>0</v>
      </c>
      <c r="O23">
        <v>0</v>
      </c>
      <c r="P23">
        <v>0</v>
      </c>
      <c r="Q23">
        <v>0</v>
      </c>
      <c r="R23">
        <v>0</v>
      </c>
      <c r="S23">
        <v>0</v>
      </c>
      <c r="T23">
        <v>0</v>
      </c>
      <c r="U23">
        <v>0</v>
      </c>
      <c r="V23">
        <v>0</v>
      </c>
      <c r="W23">
        <v>6000</v>
      </c>
      <c r="X23">
        <v>0</v>
      </c>
      <c r="Y23">
        <v>0</v>
      </c>
      <c r="Z23">
        <v>0</v>
      </c>
      <c r="AA23">
        <v>0</v>
      </c>
      <c r="AB23">
        <v>0</v>
      </c>
      <c r="AC23">
        <v>0</v>
      </c>
      <c r="AD23">
        <v>0</v>
      </c>
      <c r="AE23">
        <v>0</v>
      </c>
      <c r="AF23">
        <v>0</v>
      </c>
      <c r="AG23">
        <v>0</v>
      </c>
      <c r="AH23">
        <v>0</v>
      </c>
      <c r="AI23">
        <v>0</v>
      </c>
      <c r="AJ23">
        <v>0</v>
      </c>
      <c r="AK23">
        <v>6000</v>
      </c>
      <c r="AL23">
        <v>0</v>
      </c>
      <c r="AM23">
        <v>0</v>
      </c>
      <c r="AN23">
        <v>0</v>
      </c>
      <c r="AO23">
        <v>0</v>
      </c>
      <c r="AP23">
        <v>0</v>
      </c>
      <c r="AQ23">
        <v>0</v>
      </c>
      <c r="AR23">
        <v>0</v>
      </c>
      <c r="AS23">
        <v>0</v>
      </c>
      <c r="AT23">
        <v>0</v>
      </c>
      <c r="AU23">
        <v>0</v>
      </c>
      <c r="AV23">
        <v>0</v>
      </c>
      <c r="AW23">
        <v>0</v>
      </c>
      <c r="AX23">
        <v>0</v>
      </c>
      <c r="AY23">
        <v>6000</v>
      </c>
      <c r="AZ23">
        <v>0</v>
      </c>
      <c r="BA23">
        <v>0</v>
      </c>
      <c r="BB23">
        <v>0</v>
      </c>
      <c r="BC23">
        <v>0</v>
      </c>
      <c r="BD23">
        <v>0</v>
      </c>
      <c r="BE23">
        <v>0</v>
      </c>
      <c r="BF23">
        <v>0</v>
      </c>
      <c r="BG23">
        <v>0</v>
      </c>
      <c r="BH23">
        <v>0</v>
      </c>
      <c r="BI23">
        <v>0</v>
      </c>
      <c r="BJ23">
        <v>0</v>
      </c>
      <c r="BK23">
        <v>0</v>
      </c>
      <c r="BL23">
        <v>0</v>
      </c>
      <c r="BM23">
        <v>6000</v>
      </c>
      <c r="BN23">
        <v>0</v>
      </c>
      <c r="BO23">
        <v>0</v>
      </c>
      <c r="BP23">
        <v>0</v>
      </c>
      <c r="BQ23">
        <v>0</v>
      </c>
      <c r="BR23">
        <v>0</v>
      </c>
      <c r="BS23">
        <v>0</v>
      </c>
      <c r="BT23">
        <v>0</v>
      </c>
      <c r="BU23">
        <v>0</v>
      </c>
      <c r="BV23">
        <v>0</v>
      </c>
      <c r="BW23">
        <v>0</v>
      </c>
      <c r="BX23">
        <v>0</v>
      </c>
      <c r="BY23">
        <v>0</v>
      </c>
      <c r="BZ23">
        <v>0</v>
      </c>
      <c r="CA23">
        <v>6000</v>
      </c>
      <c r="CB23">
        <v>0</v>
      </c>
      <c r="CC23">
        <v>0</v>
      </c>
      <c r="CD23">
        <v>0</v>
      </c>
      <c r="CE23">
        <v>0</v>
      </c>
      <c r="CF23">
        <v>0</v>
      </c>
      <c r="CG23">
        <v>0</v>
      </c>
      <c r="CH23">
        <v>0</v>
      </c>
      <c r="CI23">
        <v>0</v>
      </c>
      <c r="CJ23">
        <v>0</v>
      </c>
      <c r="CK23">
        <v>0</v>
      </c>
      <c r="CL23">
        <v>0</v>
      </c>
      <c r="CM23">
        <v>0</v>
      </c>
      <c r="CN23">
        <v>0</v>
      </c>
      <c r="CO23">
        <v>6000</v>
      </c>
      <c r="CP23">
        <v>0</v>
      </c>
      <c r="CQ23">
        <v>0</v>
      </c>
      <c r="CR23">
        <v>0</v>
      </c>
      <c r="CS23">
        <v>0</v>
      </c>
      <c r="CT23">
        <v>0</v>
      </c>
      <c r="CU23">
        <v>0</v>
      </c>
      <c r="CV23">
        <v>0</v>
      </c>
      <c r="CW23">
        <v>0</v>
      </c>
      <c r="CX23">
        <v>0</v>
      </c>
      <c r="CY23">
        <v>0</v>
      </c>
      <c r="CZ23">
        <v>0</v>
      </c>
      <c r="DA23">
        <v>0</v>
      </c>
      <c r="DB23">
        <v>0</v>
      </c>
      <c r="DC23">
        <v>6000</v>
      </c>
      <c r="DD23">
        <v>0</v>
      </c>
      <c r="DE23">
        <v>0</v>
      </c>
      <c r="DF23">
        <v>0</v>
      </c>
      <c r="DG23">
        <v>0</v>
      </c>
      <c r="DH23">
        <v>0</v>
      </c>
      <c r="DI23">
        <v>0</v>
      </c>
      <c r="DJ23">
        <v>0</v>
      </c>
      <c r="DK23">
        <v>0</v>
      </c>
      <c r="DL23">
        <v>0</v>
      </c>
      <c r="DM23">
        <v>0</v>
      </c>
      <c r="DN23">
        <v>0</v>
      </c>
      <c r="DO23">
        <v>0</v>
      </c>
      <c r="DP23">
        <v>0</v>
      </c>
      <c r="DQ23">
        <v>6000</v>
      </c>
      <c r="DR23">
        <v>0</v>
      </c>
      <c r="DS23">
        <v>0</v>
      </c>
      <c r="DT23">
        <v>0</v>
      </c>
      <c r="DU23">
        <v>0</v>
      </c>
      <c r="DV23">
        <v>0</v>
      </c>
      <c r="DW23">
        <v>0</v>
      </c>
      <c r="DX23">
        <v>0</v>
      </c>
      <c r="DY23">
        <v>0</v>
      </c>
      <c r="DZ23">
        <v>0</v>
      </c>
      <c r="EA23">
        <v>0</v>
      </c>
      <c r="EB23">
        <v>0</v>
      </c>
      <c r="EC23">
        <v>0</v>
      </c>
      <c r="ED23">
        <v>0</v>
      </c>
      <c r="EE23">
        <v>6000</v>
      </c>
      <c r="EF23">
        <v>0</v>
      </c>
      <c r="EG23">
        <v>0</v>
      </c>
      <c r="EH23">
        <v>0</v>
      </c>
      <c r="EI23">
        <v>0</v>
      </c>
      <c r="EJ23">
        <v>0</v>
      </c>
      <c r="EK23">
        <v>0</v>
      </c>
      <c r="EL23">
        <v>0</v>
      </c>
      <c r="EM23">
        <v>0</v>
      </c>
      <c r="EN23">
        <v>0</v>
      </c>
      <c r="EO23">
        <v>0</v>
      </c>
      <c r="EP23">
        <v>0</v>
      </c>
      <c r="EQ23">
        <v>0</v>
      </c>
      <c r="ER23">
        <v>0</v>
      </c>
      <c r="ES23">
        <v>6000</v>
      </c>
      <c r="ET23">
        <v>0</v>
      </c>
      <c r="EU23">
        <v>0</v>
      </c>
      <c r="EV23">
        <v>0</v>
      </c>
      <c r="EW23">
        <v>0</v>
      </c>
      <c r="EX23">
        <v>0</v>
      </c>
      <c r="EY23">
        <v>0</v>
      </c>
      <c r="EZ23">
        <v>0</v>
      </c>
      <c r="FA23">
        <v>0</v>
      </c>
      <c r="FB23">
        <v>0</v>
      </c>
      <c r="FC23">
        <v>0</v>
      </c>
      <c r="FD23">
        <v>0</v>
      </c>
      <c r="FE23">
        <v>0</v>
      </c>
      <c r="FF23">
        <v>0</v>
      </c>
      <c r="FG23">
        <v>6000</v>
      </c>
      <c r="FH23">
        <v>0</v>
      </c>
      <c r="FI23">
        <v>0</v>
      </c>
      <c r="FJ23">
        <v>0</v>
      </c>
      <c r="FK23">
        <v>0</v>
      </c>
      <c r="FL23">
        <v>0</v>
      </c>
      <c r="FM23">
        <v>0</v>
      </c>
      <c r="FN23">
        <v>0</v>
      </c>
      <c r="FO23">
        <v>0</v>
      </c>
      <c r="FP23">
        <v>0</v>
      </c>
      <c r="FQ23">
        <v>0</v>
      </c>
      <c r="FR23">
        <v>0</v>
      </c>
      <c r="FS23">
        <v>0</v>
      </c>
      <c r="FT23">
        <v>0</v>
      </c>
      <c r="FU23">
        <v>6000</v>
      </c>
      <c r="FV23">
        <v>0</v>
      </c>
      <c r="FW23">
        <v>0</v>
      </c>
      <c r="FX23">
        <v>0</v>
      </c>
      <c r="FY23">
        <v>0</v>
      </c>
      <c r="FZ23">
        <v>0</v>
      </c>
      <c r="GA23">
        <v>0</v>
      </c>
      <c r="GB23">
        <v>0</v>
      </c>
      <c r="GC23">
        <v>0</v>
      </c>
      <c r="GD23">
        <v>0</v>
      </c>
      <c r="GE23">
        <v>0</v>
      </c>
      <c r="GF23">
        <v>0</v>
      </c>
      <c r="GG23">
        <v>0</v>
      </c>
      <c r="GH23">
        <v>0</v>
      </c>
      <c r="GI23">
        <v>6000</v>
      </c>
      <c r="GJ23">
        <v>0</v>
      </c>
      <c r="GK23">
        <v>0</v>
      </c>
      <c r="GL23">
        <v>0</v>
      </c>
      <c r="GM23">
        <v>0</v>
      </c>
      <c r="GN23">
        <v>0</v>
      </c>
      <c r="GO23">
        <v>0</v>
      </c>
      <c r="GP23">
        <v>0</v>
      </c>
      <c r="GQ23">
        <v>0</v>
      </c>
      <c r="GR23">
        <v>0</v>
      </c>
      <c r="GS23">
        <v>0</v>
      </c>
      <c r="GT23">
        <v>0</v>
      </c>
      <c r="GU23">
        <v>0</v>
      </c>
      <c r="GV23">
        <v>0</v>
      </c>
      <c r="GW23">
        <v>6000</v>
      </c>
      <c r="GX23">
        <v>0</v>
      </c>
      <c r="GY23">
        <v>0</v>
      </c>
      <c r="GZ23">
        <v>0</v>
      </c>
      <c r="HA23">
        <v>0</v>
      </c>
      <c r="HB23">
        <v>0</v>
      </c>
      <c r="HC23">
        <v>0</v>
      </c>
      <c r="HD23">
        <v>0</v>
      </c>
      <c r="HE23">
        <v>0</v>
      </c>
      <c r="HF23">
        <v>0</v>
      </c>
      <c r="HG23">
        <v>0</v>
      </c>
      <c r="HH23">
        <v>0</v>
      </c>
      <c r="HI23">
        <v>0</v>
      </c>
      <c r="HJ23">
        <v>0</v>
      </c>
      <c r="HK23">
        <v>6000</v>
      </c>
      <c r="HL23">
        <v>0</v>
      </c>
      <c r="HM23">
        <v>0</v>
      </c>
      <c r="HN23">
        <v>0</v>
      </c>
      <c r="HO23">
        <v>0</v>
      </c>
      <c r="HP23">
        <v>0</v>
      </c>
      <c r="HQ23">
        <v>0</v>
      </c>
      <c r="HR23">
        <v>0</v>
      </c>
      <c r="HS23">
        <v>0</v>
      </c>
      <c r="HT23">
        <v>0</v>
      </c>
      <c r="HU23">
        <v>0</v>
      </c>
      <c r="HV23">
        <v>0</v>
      </c>
      <c r="HW23">
        <v>0</v>
      </c>
      <c r="HX23">
        <v>0</v>
      </c>
      <c r="HY23">
        <v>6000</v>
      </c>
      <c r="HZ23">
        <v>0</v>
      </c>
      <c r="IA23">
        <v>0</v>
      </c>
      <c r="IB23">
        <v>0</v>
      </c>
      <c r="IC23">
        <v>0</v>
      </c>
      <c r="ID23">
        <v>0</v>
      </c>
      <c r="IE23">
        <v>0</v>
      </c>
      <c r="IF23">
        <v>0</v>
      </c>
      <c r="IG23">
        <v>0</v>
      </c>
      <c r="IH23">
        <v>0</v>
      </c>
      <c r="II23">
        <v>0</v>
      </c>
      <c r="IJ23">
        <v>0</v>
      </c>
      <c r="IK23">
        <v>0</v>
      </c>
      <c r="IL23">
        <v>0</v>
      </c>
      <c r="IM23">
        <v>6000</v>
      </c>
      <c r="IN23">
        <v>0</v>
      </c>
      <c r="IO23">
        <v>0</v>
      </c>
      <c r="IP23">
        <v>0</v>
      </c>
      <c r="IQ23">
        <v>0</v>
      </c>
      <c r="IR23">
        <v>0</v>
      </c>
      <c r="IS23">
        <v>0</v>
      </c>
      <c r="IT23">
        <v>0</v>
      </c>
      <c r="IU23">
        <v>0</v>
      </c>
      <c r="IV23">
        <v>0</v>
      </c>
      <c r="IW23">
        <v>0</v>
      </c>
      <c r="IX23">
        <v>0</v>
      </c>
      <c r="IY23">
        <v>0</v>
      </c>
      <c r="IZ23">
        <v>0</v>
      </c>
      <c r="JA23">
        <v>6000</v>
      </c>
      <c r="JB23">
        <v>0</v>
      </c>
      <c r="JC23">
        <v>0</v>
      </c>
      <c r="JD23">
        <v>0</v>
      </c>
      <c r="JE23">
        <v>0</v>
      </c>
      <c r="JF23">
        <v>0</v>
      </c>
      <c r="JG23">
        <v>0</v>
      </c>
      <c r="JH23">
        <v>0</v>
      </c>
      <c r="JI23">
        <v>0</v>
      </c>
      <c r="JJ23">
        <v>0</v>
      </c>
      <c r="JK23">
        <v>0</v>
      </c>
      <c r="JL23">
        <v>0</v>
      </c>
      <c r="JM23">
        <v>0</v>
      </c>
      <c r="JN23">
        <v>0</v>
      </c>
      <c r="JO23">
        <v>6000</v>
      </c>
      <c r="JP23">
        <v>0</v>
      </c>
      <c r="JQ23">
        <v>0</v>
      </c>
      <c r="JR23">
        <v>0</v>
      </c>
      <c r="JS23">
        <v>0</v>
      </c>
      <c r="JT23">
        <v>0</v>
      </c>
      <c r="JU23">
        <v>0</v>
      </c>
      <c r="JV23">
        <v>0</v>
      </c>
      <c r="JW23">
        <v>0</v>
      </c>
      <c r="JX23">
        <v>0</v>
      </c>
      <c r="JY23">
        <v>0</v>
      </c>
      <c r="JZ23">
        <v>0</v>
      </c>
      <c r="KA23">
        <v>0</v>
      </c>
      <c r="KB23">
        <v>0</v>
      </c>
      <c r="KC23">
        <v>6000</v>
      </c>
      <c r="KD23">
        <v>0</v>
      </c>
      <c r="KE23">
        <v>0</v>
      </c>
      <c r="KF23">
        <v>0</v>
      </c>
      <c r="KG23">
        <v>0</v>
      </c>
      <c r="KH23">
        <v>0</v>
      </c>
      <c r="KI23">
        <v>0</v>
      </c>
      <c r="KJ23">
        <v>0</v>
      </c>
      <c r="KK23">
        <v>0</v>
      </c>
      <c r="KL23">
        <v>0</v>
      </c>
      <c r="KM23">
        <v>0</v>
      </c>
      <c r="KN23">
        <v>0</v>
      </c>
      <c r="KO23">
        <v>0</v>
      </c>
      <c r="KP23">
        <v>0</v>
      </c>
      <c r="KQ23">
        <v>6000</v>
      </c>
      <c r="KR23">
        <v>0</v>
      </c>
      <c r="KS23">
        <v>0</v>
      </c>
      <c r="KT23">
        <v>0</v>
      </c>
      <c r="KU23">
        <v>0</v>
      </c>
      <c r="KV23">
        <v>0</v>
      </c>
      <c r="KW23">
        <v>0</v>
      </c>
      <c r="KX23">
        <v>0</v>
      </c>
      <c r="KY23">
        <v>0</v>
      </c>
      <c r="KZ23">
        <v>0</v>
      </c>
      <c r="LA23">
        <v>0</v>
      </c>
      <c r="LB23">
        <v>0</v>
      </c>
      <c r="LC23">
        <v>0</v>
      </c>
      <c r="LD23">
        <v>0</v>
      </c>
      <c r="LE23">
        <v>6000</v>
      </c>
      <c r="LF23">
        <v>0</v>
      </c>
      <c r="LG23">
        <v>0</v>
      </c>
      <c r="LH23">
        <v>0</v>
      </c>
      <c r="LI23">
        <v>0</v>
      </c>
      <c r="LJ23">
        <v>0</v>
      </c>
      <c r="LK23">
        <v>0</v>
      </c>
      <c r="LL23">
        <v>0</v>
      </c>
      <c r="LM23">
        <v>0</v>
      </c>
      <c r="LN23">
        <v>0</v>
      </c>
      <c r="LO23">
        <v>0</v>
      </c>
      <c r="LP23">
        <v>0</v>
      </c>
      <c r="LQ23">
        <v>0</v>
      </c>
      <c r="LR23">
        <v>0</v>
      </c>
      <c r="LS23">
        <v>6000</v>
      </c>
      <c r="LT23">
        <v>0</v>
      </c>
      <c r="LU23">
        <v>0</v>
      </c>
      <c r="LV23">
        <v>0</v>
      </c>
      <c r="LW23">
        <v>0</v>
      </c>
      <c r="LX23">
        <v>0</v>
      </c>
      <c r="LY23">
        <v>0</v>
      </c>
      <c r="LZ23">
        <v>0</v>
      </c>
      <c r="MA23">
        <v>0</v>
      </c>
      <c r="MB23">
        <v>0</v>
      </c>
      <c r="MC23">
        <v>0</v>
      </c>
      <c r="MD23">
        <v>0</v>
      </c>
      <c r="ME23">
        <v>0</v>
      </c>
      <c r="MF23">
        <v>0</v>
      </c>
      <c r="MG23">
        <v>6000</v>
      </c>
      <c r="MH23">
        <v>0</v>
      </c>
      <c r="MI23">
        <v>0</v>
      </c>
      <c r="MJ23">
        <v>0</v>
      </c>
      <c r="MK23">
        <v>0</v>
      </c>
      <c r="ML23">
        <v>0</v>
      </c>
      <c r="MM23">
        <v>0</v>
      </c>
      <c r="MN23">
        <v>0</v>
      </c>
      <c r="MO23">
        <v>0</v>
      </c>
      <c r="MP23">
        <v>0</v>
      </c>
      <c r="MQ23">
        <v>0</v>
      </c>
      <c r="MR23">
        <v>0</v>
      </c>
      <c r="MS23">
        <v>0</v>
      </c>
      <c r="MT23">
        <v>0</v>
      </c>
      <c r="MU23">
        <v>6000</v>
      </c>
      <c r="MV23">
        <v>0</v>
      </c>
      <c r="MW23">
        <v>0</v>
      </c>
      <c r="MX23">
        <v>0</v>
      </c>
      <c r="MY23">
        <v>0</v>
      </c>
      <c r="MZ23">
        <v>0</v>
      </c>
      <c r="NA23">
        <v>0</v>
      </c>
      <c r="NB23">
        <v>0</v>
      </c>
      <c r="NC23">
        <v>0</v>
      </c>
      <c r="ND23">
        <v>0</v>
      </c>
      <c r="NE23">
        <v>0</v>
      </c>
      <c r="NF23">
        <v>0</v>
      </c>
      <c r="NG23">
        <v>0</v>
      </c>
      <c r="NH23">
        <v>0</v>
      </c>
      <c r="NI23">
        <v>6000</v>
      </c>
    </row>
    <row r="24" spans="1:373" x14ac:dyDescent="0.25">
      <c r="A24" t="s">
        <v>228</v>
      </c>
      <c r="B24" s="207">
        <v>-4500</v>
      </c>
      <c r="C24" s="208" t="s">
        <v>144</v>
      </c>
      <c r="D24" s="209">
        <v>37261</v>
      </c>
      <c r="E24" s="209">
        <v>48579</v>
      </c>
      <c r="G24" t="s">
        <v>228</v>
      </c>
      <c r="H24">
        <v>-54000</v>
      </c>
      <c r="I24">
        <v>0</v>
      </c>
      <c r="J24">
        <v>0</v>
      </c>
      <c r="K24">
        <v>0</v>
      </c>
      <c r="L24">
        <v>0</v>
      </c>
      <c r="M24">
        <v>-4500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-4500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-4500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-4500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-4500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-4500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-4500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-4500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-4500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-4500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-4500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-4500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row>
    <row r="25" spans="1:373" x14ac:dyDescent="0.25">
      <c r="A25" t="s">
        <v>229</v>
      </c>
      <c r="B25" s="207">
        <v>-2000</v>
      </c>
      <c r="C25" s="208" t="s">
        <v>230</v>
      </c>
      <c r="D25" s="209">
        <v>37257</v>
      </c>
      <c r="E25" s="209"/>
      <c r="G25" t="s">
        <v>229</v>
      </c>
      <c r="H25">
        <v>-4000</v>
      </c>
      <c r="I25">
        <v>-2000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-2000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row>
    <row r="26" spans="1:373" x14ac:dyDescent="0.25">
      <c r="A26" t="s">
        <v>234</v>
      </c>
      <c r="B26" s="207">
        <v>-500</v>
      </c>
      <c r="C26" s="208" t="s">
        <v>233</v>
      </c>
      <c r="D26" s="209">
        <v>46032</v>
      </c>
      <c r="E26" s="209"/>
      <c r="G26" t="s">
        <v>234</v>
      </c>
      <c r="H26">
        <v>-2000</v>
      </c>
      <c r="I26">
        <v>0</v>
      </c>
      <c r="J26">
        <v>0</v>
      </c>
      <c r="K26">
        <v>0</v>
      </c>
      <c r="L26">
        <v>0</v>
      </c>
      <c r="M26">
        <v>0</v>
      </c>
      <c r="N26">
        <v>0</v>
      </c>
      <c r="O26">
        <v>0</v>
      </c>
      <c r="P26">
        <v>0</v>
      </c>
      <c r="Q26">
        <v>0</v>
      </c>
      <c r="R26">
        <v>-500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-500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-500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-500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row>
    <row r="27" spans="1:373" x14ac:dyDescent="0.25">
      <c r="A27" t="s">
        <v>232</v>
      </c>
      <c r="B27" s="207">
        <v>-75</v>
      </c>
      <c r="C27" s="208" t="s">
        <v>231</v>
      </c>
      <c r="D27" s="209">
        <v>46025</v>
      </c>
      <c r="E27" s="209"/>
      <c r="G27" t="s">
        <v>232</v>
      </c>
      <c r="H27">
        <v>-3900</v>
      </c>
      <c r="I27">
        <v>0</v>
      </c>
      <c r="J27">
        <v>0</v>
      </c>
      <c r="K27">
        <v>-75</v>
      </c>
      <c r="L27">
        <v>0</v>
      </c>
      <c r="M27">
        <v>0</v>
      </c>
      <c r="N27">
        <v>0</v>
      </c>
      <c r="O27">
        <v>0</v>
      </c>
      <c r="P27">
        <v>0</v>
      </c>
      <c r="Q27">
        <v>0</v>
      </c>
      <c r="R27">
        <v>-75</v>
      </c>
      <c r="S27">
        <v>0</v>
      </c>
      <c r="T27">
        <v>0</v>
      </c>
      <c r="U27">
        <v>0</v>
      </c>
      <c r="V27">
        <v>0</v>
      </c>
      <c r="W27">
        <v>0</v>
      </c>
      <c r="X27">
        <v>0</v>
      </c>
      <c r="Y27">
        <v>-75</v>
      </c>
      <c r="Z27">
        <v>0</v>
      </c>
      <c r="AA27">
        <v>0</v>
      </c>
      <c r="AB27">
        <v>0</v>
      </c>
      <c r="AC27">
        <v>0</v>
      </c>
      <c r="AD27">
        <v>0</v>
      </c>
      <c r="AE27">
        <v>0</v>
      </c>
      <c r="AF27">
        <v>-75</v>
      </c>
      <c r="AG27">
        <v>0</v>
      </c>
      <c r="AH27">
        <v>0</v>
      </c>
      <c r="AI27">
        <v>0</v>
      </c>
      <c r="AJ27">
        <v>0</v>
      </c>
      <c r="AK27">
        <v>0</v>
      </c>
      <c r="AL27">
        <v>0</v>
      </c>
      <c r="AM27">
        <v>-75</v>
      </c>
      <c r="AN27">
        <v>0</v>
      </c>
      <c r="AO27">
        <v>0</v>
      </c>
      <c r="AP27">
        <v>0</v>
      </c>
      <c r="AQ27">
        <v>0</v>
      </c>
      <c r="AR27">
        <v>0</v>
      </c>
      <c r="AS27">
        <v>0</v>
      </c>
      <c r="AT27">
        <v>-75</v>
      </c>
      <c r="AU27">
        <v>0</v>
      </c>
      <c r="AV27">
        <v>0</v>
      </c>
      <c r="AW27">
        <v>0</v>
      </c>
      <c r="AX27">
        <v>0</v>
      </c>
      <c r="AY27">
        <v>0</v>
      </c>
      <c r="AZ27">
        <v>0</v>
      </c>
      <c r="BA27">
        <v>-75</v>
      </c>
      <c r="BB27">
        <v>0</v>
      </c>
      <c r="BC27">
        <v>0</v>
      </c>
      <c r="BD27">
        <v>0</v>
      </c>
      <c r="BE27">
        <v>0</v>
      </c>
      <c r="BF27">
        <v>0</v>
      </c>
      <c r="BG27">
        <v>0</v>
      </c>
      <c r="BH27">
        <v>-75</v>
      </c>
      <c r="BI27">
        <v>0</v>
      </c>
      <c r="BJ27">
        <v>0</v>
      </c>
      <c r="BK27">
        <v>0</v>
      </c>
      <c r="BL27">
        <v>0</v>
      </c>
      <c r="BM27">
        <v>0</v>
      </c>
      <c r="BN27">
        <v>0</v>
      </c>
      <c r="BO27">
        <v>-75</v>
      </c>
      <c r="BP27">
        <v>0</v>
      </c>
      <c r="BQ27">
        <v>0</v>
      </c>
      <c r="BR27">
        <v>0</v>
      </c>
      <c r="BS27">
        <v>0</v>
      </c>
      <c r="BT27">
        <v>0</v>
      </c>
      <c r="BU27">
        <v>0</v>
      </c>
      <c r="BV27">
        <v>-75</v>
      </c>
      <c r="BW27">
        <v>0</v>
      </c>
      <c r="BX27">
        <v>0</v>
      </c>
      <c r="BY27">
        <v>0</v>
      </c>
      <c r="BZ27">
        <v>0</v>
      </c>
      <c r="CA27">
        <v>0</v>
      </c>
      <c r="CB27">
        <v>0</v>
      </c>
      <c r="CC27">
        <v>-75</v>
      </c>
      <c r="CD27">
        <v>0</v>
      </c>
      <c r="CE27">
        <v>0</v>
      </c>
      <c r="CF27">
        <v>0</v>
      </c>
      <c r="CG27">
        <v>0</v>
      </c>
      <c r="CH27">
        <v>0</v>
      </c>
      <c r="CI27">
        <v>0</v>
      </c>
      <c r="CJ27">
        <v>-75</v>
      </c>
      <c r="CK27">
        <v>0</v>
      </c>
      <c r="CL27">
        <v>0</v>
      </c>
      <c r="CM27">
        <v>0</v>
      </c>
      <c r="CN27">
        <v>0</v>
      </c>
      <c r="CO27">
        <v>0</v>
      </c>
      <c r="CP27">
        <v>0</v>
      </c>
      <c r="CQ27">
        <v>-75</v>
      </c>
      <c r="CR27">
        <v>0</v>
      </c>
      <c r="CS27">
        <v>0</v>
      </c>
      <c r="CT27">
        <v>0</v>
      </c>
      <c r="CU27">
        <v>0</v>
      </c>
      <c r="CV27">
        <v>0</v>
      </c>
      <c r="CW27">
        <v>0</v>
      </c>
      <c r="CX27">
        <v>-75</v>
      </c>
      <c r="CY27">
        <v>0</v>
      </c>
      <c r="CZ27">
        <v>0</v>
      </c>
      <c r="DA27">
        <v>0</v>
      </c>
      <c r="DB27">
        <v>0</v>
      </c>
      <c r="DC27">
        <v>0</v>
      </c>
      <c r="DD27">
        <v>0</v>
      </c>
      <c r="DE27">
        <v>-75</v>
      </c>
      <c r="DF27">
        <v>0</v>
      </c>
      <c r="DG27">
        <v>0</v>
      </c>
      <c r="DH27">
        <v>0</v>
      </c>
      <c r="DI27">
        <v>0</v>
      </c>
      <c r="DJ27">
        <v>0</v>
      </c>
      <c r="DK27">
        <v>0</v>
      </c>
      <c r="DL27">
        <v>-75</v>
      </c>
      <c r="DM27">
        <v>0</v>
      </c>
      <c r="DN27">
        <v>0</v>
      </c>
      <c r="DO27">
        <v>0</v>
      </c>
      <c r="DP27">
        <v>0</v>
      </c>
      <c r="DQ27">
        <v>0</v>
      </c>
      <c r="DR27">
        <v>0</v>
      </c>
      <c r="DS27">
        <v>-75</v>
      </c>
      <c r="DT27">
        <v>0</v>
      </c>
      <c r="DU27">
        <v>0</v>
      </c>
      <c r="DV27">
        <v>0</v>
      </c>
      <c r="DW27">
        <v>0</v>
      </c>
      <c r="DX27">
        <v>0</v>
      </c>
      <c r="DY27">
        <v>0</v>
      </c>
      <c r="DZ27">
        <v>-75</v>
      </c>
      <c r="EA27">
        <v>0</v>
      </c>
      <c r="EB27">
        <v>0</v>
      </c>
      <c r="EC27">
        <v>0</v>
      </c>
      <c r="ED27">
        <v>0</v>
      </c>
      <c r="EE27">
        <v>0</v>
      </c>
      <c r="EF27">
        <v>0</v>
      </c>
      <c r="EG27">
        <v>-75</v>
      </c>
      <c r="EH27">
        <v>0</v>
      </c>
      <c r="EI27">
        <v>0</v>
      </c>
      <c r="EJ27">
        <v>0</v>
      </c>
      <c r="EK27">
        <v>0</v>
      </c>
      <c r="EL27">
        <v>0</v>
      </c>
      <c r="EM27">
        <v>0</v>
      </c>
      <c r="EN27">
        <v>-75</v>
      </c>
      <c r="EO27">
        <v>0</v>
      </c>
      <c r="EP27">
        <v>0</v>
      </c>
      <c r="EQ27">
        <v>0</v>
      </c>
      <c r="ER27">
        <v>0</v>
      </c>
      <c r="ES27">
        <v>0</v>
      </c>
      <c r="ET27">
        <v>0</v>
      </c>
      <c r="EU27">
        <v>-75</v>
      </c>
      <c r="EV27">
        <v>0</v>
      </c>
      <c r="EW27">
        <v>0</v>
      </c>
      <c r="EX27">
        <v>0</v>
      </c>
      <c r="EY27">
        <v>0</v>
      </c>
      <c r="EZ27">
        <v>0</v>
      </c>
      <c r="FA27">
        <v>0</v>
      </c>
      <c r="FB27">
        <v>-75</v>
      </c>
      <c r="FC27">
        <v>0</v>
      </c>
      <c r="FD27">
        <v>0</v>
      </c>
      <c r="FE27">
        <v>0</v>
      </c>
      <c r="FF27">
        <v>0</v>
      </c>
      <c r="FG27">
        <v>0</v>
      </c>
      <c r="FH27">
        <v>0</v>
      </c>
      <c r="FI27">
        <v>-75</v>
      </c>
      <c r="FJ27">
        <v>0</v>
      </c>
      <c r="FK27">
        <v>0</v>
      </c>
      <c r="FL27">
        <v>0</v>
      </c>
      <c r="FM27">
        <v>0</v>
      </c>
      <c r="FN27">
        <v>0</v>
      </c>
      <c r="FO27">
        <v>0</v>
      </c>
      <c r="FP27">
        <v>-75</v>
      </c>
      <c r="FQ27">
        <v>0</v>
      </c>
      <c r="FR27">
        <v>0</v>
      </c>
      <c r="FS27">
        <v>0</v>
      </c>
      <c r="FT27">
        <v>0</v>
      </c>
      <c r="FU27">
        <v>0</v>
      </c>
      <c r="FV27">
        <v>0</v>
      </c>
      <c r="FW27">
        <v>-75</v>
      </c>
      <c r="FX27">
        <v>0</v>
      </c>
      <c r="FY27">
        <v>0</v>
      </c>
      <c r="FZ27">
        <v>0</v>
      </c>
      <c r="GA27">
        <v>0</v>
      </c>
      <c r="GB27">
        <v>0</v>
      </c>
      <c r="GC27">
        <v>0</v>
      </c>
      <c r="GD27">
        <v>-75</v>
      </c>
      <c r="GE27">
        <v>0</v>
      </c>
      <c r="GF27">
        <v>0</v>
      </c>
      <c r="GG27">
        <v>0</v>
      </c>
      <c r="GH27">
        <v>0</v>
      </c>
      <c r="GI27">
        <v>0</v>
      </c>
      <c r="GJ27">
        <v>0</v>
      </c>
      <c r="GK27">
        <v>-75</v>
      </c>
      <c r="GL27">
        <v>0</v>
      </c>
      <c r="GM27">
        <v>0</v>
      </c>
      <c r="GN27">
        <v>0</v>
      </c>
      <c r="GO27">
        <v>0</v>
      </c>
      <c r="GP27">
        <v>0</v>
      </c>
      <c r="GQ27">
        <v>0</v>
      </c>
      <c r="GR27">
        <v>-75</v>
      </c>
      <c r="GS27">
        <v>0</v>
      </c>
      <c r="GT27">
        <v>0</v>
      </c>
      <c r="GU27">
        <v>0</v>
      </c>
      <c r="GV27">
        <v>0</v>
      </c>
      <c r="GW27">
        <v>0</v>
      </c>
      <c r="GX27">
        <v>0</v>
      </c>
      <c r="GY27">
        <v>-75</v>
      </c>
      <c r="GZ27">
        <v>0</v>
      </c>
      <c r="HA27">
        <v>0</v>
      </c>
      <c r="HB27">
        <v>0</v>
      </c>
      <c r="HC27">
        <v>0</v>
      </c>
      <c r="HD27">
        <v>0</v>
      </c>
      <c r="HE27">
        <v>0</v>
      </c>
      <c r="HF27">
        <v>-75</v>
      </c>
      <c r="HG27">
        <v>0</v>
      </c>
      <c r="HH27">
        <v>0</v>
      </c>
      <c r="HI27">
        <v>0</v>
      </c>
      <c r="HJ27">
        <v>0</v>
      </c>
      <c r="HK27">
        <v>0</v>
      </c>
      <c r="HL27">
        <v>0</v>
      </c>
      <c r="HM27">
        <v>-75</v>
      </c>
      <c r="HN27">
        <v>0</v>
      </c>
      <c r="HO27">
        <v>0</v>
      </c>
      <c r="HP27">
        <v>0</v>
      </c>
      <c r="HQ27">
        <v>0</v>
      </c>
      <c r="HR27">
        <v>0</v>
      </c>
      <c r="HS27">
        <v>0</v>
      </c>
      <c r="HT27">
        <v>-75</v>
      </c>
      <c r="HU27">
        <v>0</v>
      </c>
      <c r="HV27">
        <v>0</v>
      </c>
      <c r="HW27">
        <v>0</v>
      </c>
      <c r="HX27">
        <v>0</v>
      </c>
      <c r="HY27">
        <v>0</v>
      </c>
      <c r="HZ27">
        <v>0</v>
      </c>
      <c r="IA27">
        <v>-75</v>
      </c>
      <c r="IB27">
        <v>0</v>
      </c>
      <c r="IC27">
        <v>0</v>
      </c>
      <c r="ID27">
        <v>0</v>
      </c>
      <c r="IE27">
        <v>0</v>
      </c>
      <c r="IF27">
        <v>0</v>
      </c>
      <c r="IG27">
        <v>0</v>
      </c>
      <c r="IH27">
        <v>-75</v>
      </c>
      <c r="II27">
        <v>0</v>
      </c>
      <c r="IJ27">
        <v>0</v>
      </c>
      <c r="IK27">
        <v>0</v>
      </c>
      <c r="IL27">
        <v>0</v>
      </c>
      <c r="IM27">
        <v>0</v>
      </c>
      <c r="IN27">
        <v>0</v>
      </c>
      <c r="IO27">
        <v>-75</v>
      </c>
      <c r="IP27">
        <v>0</v>
      </c>
      <c r="IQ27">
        <v>0</v>
      </c>
      <c r="IR27">
        <v>0</v>
      </c>
      <c r="IS27">
        <v>0</v>
      </c>
      <c r="IT27">
        <v>0</v>
      </c>
      <c r="IU27">
        <v>0</v>
      </c>
      <c r="IV27">
        <v>-75</v>
      </c>
      <c r="IW27">
        <v>0</v>
      </c>
      <c r="IX27">
        <v>0</v>
      </c>
      <c r="IY27">
        <v>0</v>
      </c>
      <c r="IZ27">
        <v>0</v>
      </c>
      <c r="JA27">
        <v>0</v>
      </c>
      <c r="JB27">
        <v>0</v>
      </c>
      <c r="JC27">
        <v>-75</v>
      </c>
      <c r="JD27">
        <v>0</v>
      </c>
      <c r="JE27">
        <v>0</v>
      </c>
      <c r="JF27">
        <v>0</v>
      </c>
      <c r="JG27">
        <v>0</v>
      </c>
      <c r="JH27">
        <v>0</v>
      </c>
      <c r="JI27">
        <v>0</v>
      </c>
      <c r="JJ27">
        <v>-75</v>
      </c>
      <c r="JK27">
        <v>0</v>
      </c>
      <c r="JL27">
        <v>0</v>
      </c>
      <c r="JM27">
        <v>0</v>
      </c>
      <c r="JN27">
        <v>0</v>
      </c>
      <c r="JO27">
        <v>0</v>
      </c>
      <c r="JP27">
        <v>0</v>
      </c>
      <c r="JQ27">
        <v>-75</v>
      </c>
      <c r="JR27">
        <v>0</v>
      </c>
      <c r="JS27">
        <v>0</v>
      </c>
      <c r="JT27">
        <v>0</v>
      </c>
      <c r="JU27">
        <v>0</v>
      </c>
      <c r="JV27">
        <v>0</v>
      </c>
      <c r="JW27">
        <v>0</v>
      </c>
      <c r="JX27">
        <v>-75</v>
      </c>
      <c r="JY27">
        <v>0</v>
      </c>
      <c r="JZ27">
        <v>0</v>
      </c>
      <c r="KA27">
        <v>0</v>
      </c>
      <c r="KB27">
        <v>0</v>
      </c>
      <c r="KC27">
        <v>0</v>
      </c>
      <c r="KD27">
        <v>0</v>
      </c>
      <c r="KE27">
        <v>-75</v>
      </c>
      <c r="KF27">
        <v>0</v>
      </c>
      <c r="KG27">
        <v>0</v>
      </c>
      <c r="KH27">
        <v>0</v>
      </c>
      <c r="KI27">
        <v>0</v>
      </c>
      <c r="KJ27">
        <v>0</v>
      </c>
      <c r="KK27">
        <v>0</v>
      </c>
      <c r="KL27">
        <v>-75</v>
      </c>
      <c r="KM27">
        <v>0</v>
      </c>
      <c r="KN27">
        <v>0</v>
      </c>
      <c r="KO27">
        <v>0</v>
      </c>
      <c r="KP27">
        <v>0</v>
      </c>
      <c r="KQ27">
        <v>0</v>
      </c>
      <c r="KR27">
        <v>0</v>
      </c>
      <c r="KS27">
        <v>-75</v>
      </c>
      <c r="KT27">
        <v>0</v>
      </c>
      <c r="KU27">
        <v>0</v>
      </c>
      <c r="KV27">
        <v>0</v>
      </c>
      <c r="KW27">
        <v>0</v>
      </c>
      <c r="KX27">
        <v>0</v>
      </c>
      <c r="KY27">
        <v>0</v>
      </c>
      <c r="KZ27">
        <v>-75</v>
      </c>
      <c r="LA27">
        <v>0</v>
      </c>
      <c r="LB27">
        <v>0</v>
      </c>
      <c r="LC27">
        <v>0</v>
      </c>
      <c r="LD27">
        <v>0</v>
      </c>
      <c r="LE27">
        <v>0</v>
      </c>
      <c r="LF27">
        <v>0</v>
      </c>
      <c r="LG27">
        <v>-75</v>
      </c>
      <c r="LH27">
        <v>0</v>
      </c>
      <c r="LI27">
        <v>0</v>
      </c>
      <c r="LJ27">
        <v>0</v>
      </c>
      <c r="LK27">
        <v>0</v>
      </c>
      <c r="LL27">
        <v>0</v>
      </c>
      <c r="LM27">
        <v>0</v>
      </c>
      <c r="LN27">
        <v>-75</v>
      </c>
      <c r="LO27">
        <v>0</v>
      </c>
      <c r="LP27">
        <v>0</v>
      </c>
      <c r="LQ27">
        <v>0</v>
      </c>
      <c r="LR27">
        <v>0</v>
      </c>
      <c r="LS27">
        <v>0</v>
      </c>
      <c r="LT27">
        <v>0</v>
      </c>
      <c r="LU27">
        <v>-75</v>
      </c>
      <c r="LV27">
        <v>0</v>
      </c>
      <c r="LW27">
        <v>0</v>
      </c>
      <c r="LX27">
        <v>0</v>
      </c>
      <c r="LY27">
        <v>0</v>
      </c>
      <c r="LZ27">
        <v>0</v>
      </c>
      <c r="MA27">
        <v>0</v>
      </c>
      <c r="MB27">
        <v>-75</v>
      </c>
      <c r="MC27">
        <v>0</v>
      </c>
      <c r="MD27">
        <v>0</v>
      </c>
      <c r="ME27">
        <v>0</v>
      </c>
      <c r="MF27">
        <v>0</v>
      </c>
      <c r="MG27">
        <v>0</v>
      </c>
      <c r="MH27">
        <v>0</v>
      </c>
      <c r="MI27">
        <v>-75</v>
      </c>
      <c r="MJ27">
        <v>0</v>
      </c>
      <c r="MK27">
        <v>0</v>
      </c>
      <c r="ML27">
        <v>0</v>
      </c>
      <c r="MM27">
        <v>0</v>
      </c>
      <c r="MN27">
        <v>0</v>
      </c>
      <c r="MO27">
        <v>0</v>
      </c>
      <c r="MP27">
        <v>-75</v>
      </c>
      <c r="MQ27">
        <v>0</v>
      </c>
      <c r="MR27">
        <v>0</v>
      </c>
      <c r="MS27">
        <v>0</v>
      </c>
      <c r="MT27">
        <v>0</v>
      </c>
      <c r="MU27">
        <v>0</v>
      </c>
      <c r="MV27">
        <v>0</v>
      </c>
      <c r="MW27">
        <v>-75</v>
      </c>
      <c r="MX27">
        <v>0</v>
      </c>
      <c r="MY27">
        <v>0</v>
      </c>
      <c r="MZ27">
        <v>0</v>
      </c>
      <c r="NA27">
        <v>0</v>
      </c>
      <c r="NB27">
        <v>0</v>
      </c>
      <c r="NC27">
        <v>0</v>
      </c>
      <c r="ND27">
        <v>-75</v>
      </c>
      <c r="NE27">
        <v>0</v>
      </c>
      <c r="NF27">
        <v>0</v>
      </c>
      <c r="NG27">
        <v>0</v>
      </c>
      <c r="NH27">
        <v>0</v>
      </c>
      <c r="NI27">
        <v>0</v>
      </c>
    </row>
    <row r="28" spans="1:373" x14ac:dyDescent="0.25">
      <c r="A28" t="s">
        <v>235</v>
      </c>
      <c r="B28" s="207">
        <v>-19</v>
      </c>
      <c r="C28" s="208" t="s">
        <v>226</v>
      </c>
      <c r="D28" s="209">
        <v>46023</v>
      </c>
      <c r="E28" s="209"/>
      <c r="G28" t="s">
        <v>235</v>
      </c>
      <c r="H28">
        <v>-4959</v>
      </c>
      <c r="I28">
        <v>-19</v>
      </c>
      <c r="J28">
        <v>-19</v>
      </c>
      <c r="K28">
        <v>-19</v>
      </c>
      <c r="L28">
        <v>-19</v>
      </c>
      <c r="M28">
        <v>-19</v>
      </c>
      <c r="N28">
        <v>0</v>
      </c>
      <c r="O28">
        <v>0</v>
      </c>
      <c r="P28">
        <v>-19</v>
      </c>
      <c r="Q28">
        <v>-19</v>
      </c>
      <c r="R28">
        <v>-19</v>
      </c>
      <c r="S28">
        <v>-19</v>
      </c>
      <c r="T28">
        <v>-19</v>
      </c>
      <c r="U28">
        <v>0</v>
      </c>
      <c r="V28">
        <v>0</v>
      </c>
      <c r="W28">
        <v>-19</v>
      </c>
      <c r="X28">
        <v>-19</v>
      </c>
      <c r="Y28">
        <v>-19</v>
      </c>
      <c r="Z28">
        <v>-19</v>
      </c>
      <c r="AA28">
        <v>-19</v>
      </c>
      <c r="AB28">
        <v>0</v>
      </c>
      <c r="AC28">
        <v>0</v>
      </c>
      <c r="AD28">
        <v>-19</v>
      </c>
      <c r="AE28">
        <v>-19</v>
      </c>
      <c r="AF28">
        <v>-19</v>
      </c>
      <c r="AG28">
        <v>-19</v>
      </c>
      <c r="AH28">
        <v>-19</v>
      </c>
      <c r="AI28">
        <v>0</v>
      </c>
      <c r="AJ28">
        <v>0</v>
      </c>
      <c r="AK28">
        <v>-19</v>
      </c>
      <c r="AL28">
        <v>-19</v>
      </c>
      <c r="AM28">
        <v>-19</v>
      </c>
      <c r="AN28">
        <v>-19</v>
      </c>
      <c r="AO28">
        <v>-19</v>
      </c>
      <c r="AP28">
        <v>0</v>
      </c>
      <c r="AQ28">
        <v>0</v>
      </c>
      <c r="AR28">
        <v>-19</v>
      </c>
      <c r="AS28">
        <v>-19</v>
      </c>
      <c r="AT28">
        <v>-19</v>
      </c>
      <c r="AU28">
        <v>-19</v>
      </c>
      <c r="AV28">
        <v>-19</v>
      </c>
      <c r="AW28">
        <v>0</v>
      </c>
      <c r="AX28">
        <v>0</v>
      </c>
      <c r="AY28">
        <v>-19</v>
      </c>
      <c r="AZ28">
        <v>-19</v>
      </c>
      <c r="BA28">
        <v>-19</v>
      </c>
      <c r="BB28">
        <v>-19</v>
      </c>
      <c r="BC28">
        <v>-19</v>
      </c>
      <c r="BD28">
        <v>0</v>
      </c>
      <c r="BE28">
        <v>0</v>
      </c>
      <c r="BF28">
        <v>-19</v>
      </c>
      <c r="BG28">
        <v>-19</v>
      </c>
      <c r="BH28">
        <v>-19</v>
      </c>
      <c r="BI28">
        <v>-19</v>
      </c>
      <c r="BJ28">
        <v>-19</v>
      </c>
      <c r="BK28">
        <v>0</v>
      </c>
      <c r="BL28">
        <v>0</v>
      </c>
      <c r="BM28">
        <v>-19</v>
      </c>
      <c r="BN28">
        <v>-19</v>
      </c>
      <c r="BO28">
        <v>-19</v>
      </c>
      <c r="BP28">
        <v>-19</v>
      </c>
      <c r="BQ28">
        <v>-19</v>
      </c>
      <c r="BR28">
        <v>0</v>
      </c>
      <c r="BS28">
        <v>0</v>
      </c>
      <c r="BT28">
        <v>-19</v>
      </c>
      <c r="BU28">
        <v>-19</v>
      </c>
      <c r="BV28">
        <v>-19</v>
      </c>
      <c r="BW28">
        <v>-19</v>
      </c>
      <c r="BX28">
        <v>-19</v>
      </c>
      <c r="BY28">
        <v>0</v>
      </c>
      <c r="BZ28">
        <v>0</v>
      </c>
      <c r="CA28">
        <v>-19</v>
      </c>
      <c r="CB28">
        <v>-19</v>
      </c>
      <c r="CC28">
        <v>-19</v>
      </c>
      <c r="CD28">
        <v>-19</v>
      </c>
      <c r="CE28">
        <v>-19</v>
      </c>
      <c r="CF28">
        <v>0</v>
      </c>
      <c r="CG28">
        <v>0</v>
      </c>
      <c r="CH28">
        <v>-19</v>
      </c>
      <c r="CI28">
        <v>-19</v>
      </c>
      <c r="CJ28">
        <v>-19</v>
      </c>
      <c r="CK28">
        <v>-19</v>
      </c>
      <c r="CL28">
        <v>-19</v>
      </c>
      <c r="CM28">
        <v>0</v>
      </c>
      <c r="CN28">
        <v>0</v>
      </c>
      <c r="CO28">
        <v>-19</v>
      </c>
      <c r="CP28">
        <v>-19</v>
      </c>
      <c r="CQ28">
        <v>-19</v>
      </c>
      <c r="CR28">
        <v>-19</v>
      </c>
      <c r="CS28">
        <v>-19</v>
      </c>
      <c r="CT28">
        <v>0</v>
      </c>
      <c r="CU28">
        <v>0</v>
      </c>
      <c r="CV28">
        <v>-19</v>
      </c>
      <c r="CW28">
        <v>-19</v>
      </c>
      <c r="CX28">
        <v>-19</v>
      </c>
      <c r="CY28">
        <v>-19</v>
      </c>
      <c r="CZ28">
        <v>-19</v>
      </c>
      <c r="DA28">
        <v>0</v>
      </c>
      <c r="DB28">
        <v>0</v>
      </c>
      <c r="DC28">
        <v>-19</v>
      </c>
      <c r="DD28">
        <v>-19</v>
      </c>
      <c r="DE28">
        <v>-19</v>
      </c>
      <c r="DF28">
        <v>-19</v>
      </c>
      <c r="DG28">
        <v>-19</v>
      </c>
      <c r="DH28">
        <v>0</v>
      </c>
      <c r="DI28">
        <v>0</v>
      </c>
      <c r="DJ28">
        <v>-19</v>
      </c>
      <c r="DK28">
        <v>-19</v>
      </c>
      <c r="DL28">
        <v>-19</v>
      </c>
      <c r="DM28">
        <v>-19</v>
      </c>
      <c r="DN28">
        <v>-19</v>
      </c>
      <c r="DO28">
        <v>0</v>
      </c>
      <c r="DP28">
        <v>0</v>
      </c>
      <c r="DQ28">
        <v>-19</v>
      </c>
      <c r="DR28">
        <v>-19</v>
      </c>
      <c r="DS28">
        <v>-19</v>
      </c>
      <c r="DT28">
        <v>-19</v>
      </c>
      <c r="DU28">
        <v>-19</v>
      </c>
      <c r="DV28">
        <v>0</v>
      </c>
      <c r="DW28">
        <v>0</v>
      </c>
      <c r="DX28">
        <v>-19</v>
      </c>
      <c r="DY28">
        <v>-19</v>
      </c>
      <c r="DZ28">
        <v>-19</v>
      </c>
      <c r="EA28">
        <v>-19</v>
      </c>
      <c r="EB28">
        <v>-19</v>
      </c>
      <c r="EC28">
        <v>0</v>
      </c>
      <c r="ED28">
        <v>0</v>
      </c>
      <c r="EE28">
        <v>-19</v>
      </c>
      <c r="EF28">
        <v>-19</v>
      </c>
      <c r="EG28">
        <v>-19</v>
      </c>
      <c r="EH28">
        <v>-19</v>
      </c>
      <c r="EI28">
        <v>-19</v>
      </c>
      <c r="EJ28">
        <v>0</v>
      </c>
      <c r="EK28">
        <v>0</v>
      </c>
      <c r="EL28">
        <v>-19</v>
      </c>
      <c r="EM28">
        <v>-19</v>
      </c>
      <c r="EN28">
        <v>-19</v>
      </c>
      <c r="EO28">
        <v>-19</v>
      </c>
      <c r="EP28">
        <v>-19</v>
      </c>
      <c r="EQ28">
        <v>0</v>
      </c>
      <c r="ER28">
        <v>0</v>
      </c>
      <c r="ES28">
        <v>-19</v>
      </c>
      <c r="ET28">
        <v>-19</v>
      </c>
      <c r="EU28">
        <v>-19</v>
      </c>
      <c r="EV28">
        <v>-19</v>
      </c>
      <c r="EW28">
        <v>-19</v>
      </c>
      <c r="EX28">
        <v>0</v>
      </c>
      <c r="EY28">
        <v>0</v>
      </c>
      <c r="EZ28">
        <v>-19</v>
      </c>
      <c r="FA28">
        <v>-19</v>
      </c>
      <c r="FB28">
        <v>-19</v>
      </c>
      <c r="FC28">
        <v>-19</v>
      </c>
      <c r="FD28">
        <v>-19</v>
      </c>
      <c r="FE28">
        <v>0</v>
      </c>
      <c r="FF28">
        <v>0</v>
      </c>
      <c r="FG28">
        <v>-19</v>
      </c>
      <c r="FH28">
        <v>-19</v>
      </c>
      <c r="FI28">
        <v>-19</v>
      </c>
      <c r="FJ28">
        <v>-19</v>
      </c>
      <c r="FK28">
        <v>-19</v>
      </c>
      <c r="FL28">
        <v>0</v>
      </c>
      <c r="FM28">
        <v>0</v>
      </c>
      <c r="FN28">
        <v>-19</v>
      </c>
      <c r="FO28">
        <v>-19</v>
      </c>
      <c r="FP28">
        <v>-19</v>
      </c>
      <c r="FQ28">
        <v>-19</v>
      </c>
      <c r="FR28">
        <v>-19</v>
      </c>
      <c r="FS28">
        <v>0</v>
      </c>
      <c r="FT28">
        <v>0</v>
      </c>
      <c r="FU28">
        <v>-19</v>
      </c>
      <c r="FV28">
        <v>-19</v>
      </c>
      <c r="FW28">
        <v>-19</v>
      </c>
      <c r="FX28">
        <v>-19</v>
      </c>
      <c r="FY28">
        <v>-19</v>
      </c>
      <c r="FZ28">
        <v>0</v>
      </c>
      <c r="GA28">
        <v>0</v>
      </c>
      <c r="GB28">
        <v>-19</v>
      </c>
      <c r="GC28">
        <v>-19</v>
      </c>
      <c r="GD28">
        <v>-19</v>
      </c>
      <c r="GE28">
        <v>-19</v>
      </c>
      <c r="GF28">
        <v>-19</v>
      </c>
      <c r="GG28">
        <v>0</v>
      </c>
      <c r="GH28">
        <v>0</v>
      </c>
      <c r="GI28">
        <v>-19</v>
      </c>
      <c r="GJ28">
        <v>-19</v>
      </c>
      <c r="GK28">
        <v>-19</v>
      </c>
      <c r="GL28">
        <v>-19</v>
      </c>
      <c r="GM28">
        <v>-19</v>
      </c>
      <c r="GN28">
        <v>0</v>
      </c>
      <c r="GO28">
        <v>0</v>
      </c>
      <c r="GP28">
        <v>-19</v>
      </c>
      <c r="GQ28">
        <v>-19</v>
      </c>
      <c r="GR28">
        <v>-19</v>
      </c>
      <c r="GS28">
        <v>-19</v>
      </c>
      <c r="GT28">
        <v>-19</v>
      </c>
      <c r="GU28">
        <v>0</v>
      </c>
      <c r="GV28">
        <v>0</v>
      </c>
      <c r="GW28">
        <v>-19</v>
      </c>
      <c r="GX28">
        <v>-19</v>
      </c>
      <c r="GY28">
        <v>-19</v>
      </c>
      <c r="GZ28">
        <v>-19</v>
      </c>
      <c r="HA28">
        <v>-19</v>
      </c>
      <c r="HB28">
        <v>0</v>
      </c>
      <c r="HC28">
        <v>0</v>
      </c>
      <c r="HD28">
        <v>-19</v>
      </c>
      <c r="HE28">
        <v>-19</v>
      </c>
      <c r="HF28">
        <v>-19</v>
      </c>
      <c r="HG28">
        <v>-19</v>
      </c>
      <c r="HH28">
        <v>-19</v>
      </c>
      <c r="HI28">
        <v>0</v>
      </c>
      <c r="HJ28">
        <v>0</v>
      </c>
      <c r="HK28">
        <v>-19</v>
      </c>
      <c r="HL28">
        <v>-19</v>
      </c>
      <c r="HM28">
        <v>-19</v>
      </c>
      <c r="HN28">
        <v>-19</v>
      </c>
      <c r="HO28">
        <v>-19</v>
      </c>
      <c r="HP28">
        <v>0</v>
      </c>
      <c r="HQ28">
        <v>0</v>
      </c>
      <c r="HR28">
        <v>-19</v>
      </c>
      <c r="HS28">
        <v>-19</v>
      </c>
      <c r="HT28">
        <v>-19</v>
      </c>
      <c r="HU28">
        <v>-19</v>
      </c>
      <c r="HV28">
        <v>-19</v>
      </c>
      <c r="HW28">
        <v>0</v>
      </c>
      <c r="HX28">
        <v>0</v>
      </c>
      <c r="HY28">
        <v>-19</v>
      </c>
      <c r="HZ28">
        <v>-19</v>
      </c>
      <c r="IA28">
        <v>-19</v>
      </c>
      <c r="IB28">
        <v>-19</v>
      </c>
      <c r="IC28">
        <v>-19</v>
      </c>
      <c r="ID28">
        <v>0</v>
      </c>
      <c r="IE28">
        <v>0</v>
      </c>
      <c r="IF28">
        <v>-19</v>
      </c>
      <c r="IG28">
        <v>-19</v>
      </c>
      <c r="IH28">
        <v>-19</v>
      </c>
      <c r="II28">
        <v>-19</v>
      </c>
      <c r="IJ28">
        <v>-19</v>
      </c>
      <c r="IK28">
        <v>0</v>
      </c>
      <c r="IL28">
        <v>0</v>
      </c>
      <c r="IM28">
        <v>-19</v>
      </c>
      <c r="IN28">
        <v>-19</v>
      </c>
      <c r="IO28">
        <v>-19</v>
      </c>
      <c r="IP28">
        <v>-19</v>
      </c>
      <c r="IQ28">
        <v>-19</v>
      </c>
      <c r="IR28">
        <v>0</v>
      </c>
      <c r="IS28">
        <v>0</v>
      </c>
      <c r="IT28">
        <v>-19</v>
      </c>
      <c r="IU28">
        <v>-19</v>
      </c>
      <c r="IV28">
        <v>-19</v>
      </c>
      <c r="IW28">
        <v>-19</v>
      </c>
      <c r="IX28">
        <v>-19</v>
      </c>
      <c r="IY28">
        <v>0</v>
      </c>
      <c r="IZ28">
        <v>0</v>
      </c>
      <c r="JA28">
        <v>-19</v>
      </c>
      <c r="JB28">
        <v>-19</v>
      </c>
      <c r="JC28">
        <v>-19</v>
      </c>
      <c r="JD28">
        <v>-19</v>
      </c>
      <c r="JE28">
        <v>-19</v>
      </c>
      <c r="JF28">
        <v>0</v>
      </c>
      <c r="JG28">
        <v>0</v>
      </c>
      <c r="JH28">
        <v>-19</v>
      </c>
      <c r="JI28">
        <v>-19</v>
      </c>
      <c r="JJ28">
        <v>-19</v>
      </c>
      <c r="JK28">
        <v>-19</v>
      </c>
      <c r="JL28">
        <v>-19</v>
      </c>
      <c r="JM28">
        <v>0</v>
      </c>
      <c r="JN28">
        <v>0</v>
      </c>
      <c r="JO28">
        <v>-19</v>
      </c>
      <c r="JP28">
        <v>-19</v>
      </c>
      <c r="JQ28">
        <v>-19</v>
      </c>
      <c r="JR28">
        <v>-19</v>
      </c>
      <c r="JS28">
        <v>-19</v>
      </c>
      <c r="JT28">
        <v>0</v>
      </c>
      <c r="JU28">
        <v>0</v>
      </c>
      <c r="JV28">
        <v>-19</v>
      </c>
      <c r="JW28">
        <v>-19</v>
      </c>
      <c r="JX28">
        <v>-19</v>
      </c>
      <c r="JY28">
        <v>-19</v>
      </c>
      <c r="JZ28">
        <v>-19</v>
      </c>
      <c r="KA28">
        <v>0</v>
      </c>
      <c r="KB28">
        <v>0</v>
      </c>
      <c r="KC28">
        <v>-19</v>
      </c>
      <c r="KD28">
        <v>-19</v>
      </c>
      <c r="KE28">
        <v>-19</v>
      </c>
      <c r="KF28">
        <v>-19</v>
      </c>
      <c r="KG28">
        <v>-19</v>
      </c>
      <c r="KH28">
        <v>0</v>
      </c>
      <c r="KI28">
        <v>0</v>
      </c>
      <c r="KJ28">
        <v>-19</v>
      </c>
      <c r="KK28">
        <v>-19</v>
      </c>
      <c r="KL28">
        <v>-19</v>
      </c>
      <c r="KM28">
        <v>-19</v>
      </c>
      <c r="KN28">
        <v>-19</v>
      </c>
      <c r="KO28">
        <v>0</v>
      </c>
      <c r="KP28">
        <v>0</v>
      </c>
      <c r="KQ28">
        <v>-19</v>
      </c>
      <c r="KR28">
        <v>-19</v>
      </c>
      <c r="KS28">
        <v>-19</v>
      </c>
      <c r="KT28">
        <v>-19</v>
      </c>
      <c r="KU28">
        <v>-19</v>
      </c>
      <c r="KV28">
        <v>0</v>
      </c>
      <c r="KW28">
        <v>0</v>
      </c>
      <c r="KX28">
        <v>-19</v>
      </c>
      <c r="KY28">
        <v>-19</v>
      </c>
      <c r="KZ28">
        <v>-19</v>
      </c>
      <c r="LA28">
        <v>-19</v>
      </c>
      <c r="LB28">
        <v>-19</v>
      </c>
      <c r="LC28">
        <v>0</v>
      </c>
      <c r="LD28">
        <v>0</v>
      </c>
      <c r="LE28">
        <v>-19</v>
      </c>
      <c r="LF28">
        <v>-19</v>
      </c>
      <c r="LG28">
        <v>-19</v>
      </c>
      <c r="LH28">
        <v>-19</v>
      </c>
      <c r="LI28">
        <v>-19</v>
      </c>
      <c r="LJ28">
        <v>0</v>
      </c>
      <c r="LK28">
        <v>0</v>
      </c>
      <c r="LL28">
        <v>-19</v>
      </c>
      <c r="LM28">
        <v>-19</v>
      </c>
      <c r="LN28">
        <v>-19</v>
      </c>
      <c r="LO28">
        <v>-19</v>
      </c>
      <c r="LP28">
        <v>-19</v>
      </c>
      <c r="LQ28">
        <v>0</v>
      </c>
      <c r="LR28">
        <v>0</v>
      </c>
      <c r="LS28">
        <v>-19</v>
      </c>
      <c r="LT28">
        <v>-19</v>
      </c>
      <c r="LU28">
        <v>-19</v>
      </c>
      <c r="LV28">
        <v>-19</v>
      </c>
      <c r="LW28">
        <v>-19</v>
      </c>
      <c r="LX28">
        <v>0</v>
      </c>
      <c r="LY28">
        <v>0</v>
      </c>
      <c r="LZ28">
        <v>-19</v>
      </c>
      <c r="MA28">
        <v>-19</v>
      </c>
      <c r="MB28">
        <v>-19</v>
      </c>
      <c r="MC28">
        <v>-19</v>
      </c>
      <c r="MD28">
        <v>-19</v>
      </c>
      <c r="ME28">
        <v>0</v>
      </c>
      <c r="MF28">
        <v>0</v>
      </c>
      <c r="MG28">
        <v>-19</v>
      </c>
      <c r="MH28">
        <v>-19</v>
      </c>
      <c r="MI28">
        <v>-19</v>
      </c>
      <c r="MJ28">
        <v>-19</v>
      </c>
      <c r="MK28">
        <v>-19</v>
      </c>
      <c r="ML28">
        <v>0</v>
      </c>
      <c r="MM28">
        <v>0</v>
      </c>
      <c r="MN28">
        <v>-19</v>
      </c>
      <c r="MO28">
        <v>-19</v>
      </c>
      <c r="MP28">
        <v>-19</v>
      </c>
      <c r="MQ28">
        <v>-19</v>
      </c>
      <c r="MR28">
        <v>-19</v>
      </c>
      <c r="MS28">
        <v>0</v>
      </c>
      <c r="MT28">
        <v>0</v>
      </c>
      <c r="MU28">
        <v>-19</v>
      </c>
      <c r="MV28">
        <v>-19</v>
      </c>
      <c r="MW28">
        <v>-19</v>
      </c>
      <c r="MX28">
        <v>-19</v>
      </c>
      <c r="MY28">
        <v>-19</v>
      </c>
      <c r="MZ28">
        <v>0</v>
      </c>
      <c r="NA28">
        <v>0</v>
      </c>
      <c r="NB28">
        <v>-19</v>
      </c>
      <c r="NC28">
        <v>-19</v>
      </c>
      <c r="ND28">
        <v>-19</v>
      </c>
      <c r="NE28">
        <v>-19</v>
      </c>
      <c r="NF28">
        <v>-19</v>
      </c>
      <c r="NG28">
        <v>0</v>
      </c>
      <c r="NH28">
        <v>0</v>
      </c>
      <c r="NI28">
        <v>-19</v>
      </c>
    </row>
    <row r="32" spans="1:373" x14ac:dyDescent="0.25">
      <c r="G32" s="149" t="s">
        <v>320</v>
      </c>
      <c r="H32" s="155" t="s">
        <v>247</v>
      </c>
      <c r="I32" s="156" cm="1">
        <f t="array" ref="I32:T32">nabla.d.Timelineλ("1/1/2026", 12, "M")</f>
        <v>45292</v>
      </c>
      <c r="J32" s="156">
        <v>46054</v>
      </c>
      <c r="K32" s="156">
        <v>46082</v>
      </c>
      <c r="L32" s="156">
        <v>46113</v>
      </c>
      <c r="M32" s="156">
        <v>46143</v>
      </c>
      <c r="N32" s="156">
        <v>46174</v>
      </c>
      <c r="O32" s="156">
        <v>46204</v>
      </c>
      <c r="P32" s="156">
        <v>46235</v>
      </c>
      <c r="Q32" s="156">
        <v>46266</v>
      </c>
      <c r="R32" s="156">
        <v>46296</v>
      </c>
      <c r="S32" s="156">
        <v>46327</v>
      </c>
      <c r="T32" s="156">
        <v>46357</v>
      </c>
    </row>
    <row r="33" spans="7:20" x14ac:dyDescent="0.25">
      <c r="G33" t="s">
        <v>227</v>
      </c>
      <c r="H33" cm="1">
        <f t="array" ref="H33:H38">nabla.e.SumRowsλ(_xlfn.ANCHORARRAY(I33))</f>
        <v>162000</v>
      </c>
      <c r="I33" s="162" cm="1">
        <f t="array" ref="I33:T38">nabla.f.SumPeriodsλ(_xlfn.ANCHORARRAY(I23),_xlfn.ANCHORARRAY(I22),_xlfn.ANCHORARRAY( I32))</f>
        <v>18000</v>
      </c>
      <c r="J33">
        <v>12000</v>
      </c>
      <c r="K33">
        <v>12000</v>
      </c>
      <c r="L33">
        <v>12000</v>
      </c>
      <c r="M33">
        <v>12000</v>
      </c>
      <c r="N33">
        <v>12000</v>
      </c>
      <c r="O33">
        <v>18000</v>
      </c>
      <c r="P33">
        <v>12000</v>
      </c>
      <c r="Q33">
        <v>12000</v>
      </c>
      <c r="R33">
        <v>12000</v>
      </c>
      <c r="S33">
        <v>12000</v>
      </c>
      <c r="T33">
        <v>18000</v>
      </c>
    </row>
    <row r="34" spans="7:20" x14ac:dyDescent="0.25">
      <c r="G34" t="s">
        <v>228</v>
      </c>
      <c r="H34">
        <v>-54000</v>
      </c>
      <c r="I34">
        <v>-4500</v>
      </c>
      <c r="J34">
        <v>-4500</v>
      </c>
      <c r="K34">
        <v>-4500</v>
      </c>
      <c r="L34">
        <v>-4500</v>
      </c>
      <c r="M34">
        <v>-4500</v>
      </c>
      <c r="N34">
        <v>-4500</v>
      </c>
      <c r="O34">
        <v>-4500</v>
      </c>
      <c r="P34">
        <v>-4500</v>
      </c>
      <c r="Q34">
        <v>-4500</v>
      </c>
      <c r="R34">
        <v>-4500</v>
      </c>
      <c r="S34">
        <v>-4500</v>
      </c>
      <c r="T34">
        <v>-4500</v>
      </c>
    </row>
    <row r="35" spans="7:20" x14ac:dyDescent="0.25">
      <c r="G35" t="s">
        <v>229</v>
      </c>
      <c r="H35">
        <v>-4000</v>
      </c>
      <c r="I35">
        <v>-2000</v>
      </c>
      <c r="J35">
        <v>0</v>
      </c>
      <c r="K35">
        <v>0</v>
      </c>
      <c r="L35">
        <v>0</v>
      </c>
      <c r="M35">
        <v>0</v>
      </c>
      <c r="N35">
        <v>0</v>
      </c>
      <c r="O35">
        <v>-2000</v>
      </c>
      <c r="P35">
        <v>0</v>
      </c>
      <c r="Q35">
        <v>0</v>
      </c>
      <c r="R35">
        <v>0</v>
      </c>
      <c r="S35">
        <v>0</v>
      </c>
      <c r="T35">
        <v>0</v>
      </c>
    </row>
    <row r="36" spans="7:20" x14ac:dyDescent="0.25">
      <c r="G36" t="s">
        <v>234</v>
      </c>
      <c r="H36">
        <v>-2000</v>
      </c>
      <c r="I36">
        <v>-500</v>
      </c>
      <c r="J36">
        <v>0</v>
      </c>
      <c r="K36">
        <v>0</v>
      </c>
      <c r="L36">
        <v>-500</v>
      </c>
      <c r="M36">
        <v>0</v>
      </c>
      <c r="N36">
        <v>0</v>
      </c>
      <c r="O36">
        <v>-500</v>
      </c>
      <c r="P36">
        <v>0</v>
      </c>
      <c r="Q36">
        <v>0</v>
      </c>
      <c r="R36">
        <v>-500</v>
      </c>
      <c r="S36">
        <v>0</v>
      </c>
      <c r="T36">
        <v>0</v>
      </c>
    </row>
    <row r="37" spans="7:20" x14ac:dyDescent="0.25">
      <c r="G37" t="s">
        <v>232</v>
      </c>
      <c r="H37">
        <v>-3900</v>
      </c>
      <c r="I37">
        <v>-375</v>
      </c>
      <c r="J37">
        <v>-300</v>
      </c>
      <c r="K37">
        <v>-300</v>
      </c>
      <c r="L37">
        <v>-300</v>
      </c>
      <c r="M37">
        <v>-375</v>
      </c>
      <c r="N37">
        <v>-300</v>
      </c>
      <c r="O37">
        <v>-375</v>
      </c>
      <c r="P37">
        <v>-300</v>
      </c>
      <c r="Q37">
        <v>-300</v>
      </c>
      <c r="R37">
        <v>-375</v>
      </c>
      <c r="S37">
        <v>-300</v>
      </c>
      <c r="T37">
        <v>-300</v>
      </c>
    </row>
    <row r="38" spans="7:20" x14ac:dyDescent="0.25">
      <c r="G38" t="s">
        <v>235</v>
      </c>
      <c r="H38">
        <v>-4959</v>
      </c>
      <c r="I38">
        <v>-437</v>
      </c>
      <c r="J38">
        <v>-399</v>
      </c>
      <c r="K38">
        <v>-399</v>
      </c>
      <c r="L38">
        <v>-418</v>
      </c>
      <c r="M38">
        <v>-437</v>
      </c>
      <c r="N38">
        <v>-380</v>
      </c>
      <c r="O38">
        <v>-437</v>
      </c>
      <c r="P38">
        <v>-418</v>
      </c>
      <c r="Q38">
        <v>-399</v>
      </c>
      <c r="R38">
        <v>-437</v>
      </c>
      <c r="S38">
        <v>-399</v>
      </c>
      <c r="T38">
        <v>-399</v>
      </c>
    </row>
  </sheetData>
  <mergeCells count="3">
    <mergeCell ref="A1:Q1"/>
    <mergeCell ref="A21:E21"/>
    <mergeCell ref="A2:O2"/>
  </mergeCells>
  <hyperlinks>
    <hyperlink ref="A1" location="'TOC'!$A$1" display="'TOC'!$A$1" xr:uid="{B9933F6E-8B86-46EB-9647-C53B5EC99776}"/>
  </hyperlinks>
  <pageMargins left="0.7" right="0.7" top="0.75" bottom="0.75" header="0.3" footer="0.3"/>
  <customProperties>
    <customPr name="Description" r:id="rId1"/>
  </customPropertie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69834-D98E-4C78-ACB6-F486EBFA6B03}">
  <sheetPr codeName="Sheet58">
    <tabColor rgb="FF157A5F"/>
  </sheetPr>
  <dimension ref="A1:NC25"/>
  <sheetViews>
    <sheetView showGridLines="0" workbookViewId="0">
      <selection activeCell="A1" sqref="A1"/>
    </sheetView>
  </sheetViews>
  <sheetFormatPr defaultRowHeight="15" x14ac:dyDescent="0.25"/>
  <cols>
    <col min="1" max="1" width="12.7109375" bestFit="1" customWidth="1"/>
    <col min="2" max="2" width="7.7109375" customWidth="1"/>
    <col min="3" max="3" width="10.140625" bestFit="1" customWidth="1"/>
    <col min="4" max="4" width="10.28515625" bestFit="1" customWidth="1"/>
    <col min="5" max="5" width="10.7109375" bestFit="1" customWidth="1"/>
    <col min="6" max="6" width="10.28515625" bestFit="1" customWidth="1"/>
    <col min="7" max="7" width="11.140625" bestFit="1" customWidth="1"/>
    <col min="8" max="8" width="10.28515625" bestFit="1" customWidth="1"/>
    <col min="9" max="9" width="9.5703125" bestFit="1" customWidth="1"/>
    <col min="10" max="10" width="10.7109375" bestFit="1" customWidth="1"/>
    <col min="11" max="11" width="10.42578125" bestFit="1" customWidth="1"/>
    <col min="12" max="12" width="10.28515625" bestFit="1" customWidth="1"/>
    <col min="13" max="13" width="10.7109375" bestFit="1" customWidth="1"/>
    <col min="14" max="14" width="10.42578125" bestFit="1" customWidth="1"/>
    <col min="15" max="15" width="10.140625" bestFit="1" customWidth="1"/>
    <col min="16" max="16" width="10.28515625" bestFit="1" customWidth="1"/>
    <col min="17" max="17" width="10.7109375" bestFit="1" customWidth="1"/>
    <col min="18" max="18" width="10.28515625" bestFit="1" customWidth="1"/>
    <col min="19" max="19" width="11.140625" bestFit="1" customWidth="1"/>
    <col min="20" max="20" width="10.28515625" bestFit="1" customWidth="1"/>
    <col min="21" max="21" width="9.5703125" bestFit="1" customWidth="1"/>
    <col min="22" max="22" width="10.7109375" bestFit="1" customWidth="1"/>
    <col min="23" max="23" width="10.42578125" bestFit="1" customWidth="1"/>
    <col min="24" max="24" width="10.28515625" bestFit="1" customWidth="1"/>
    <col min="25" max="25" width="10.7109375" bestFit="1" customWidth="1"/>
    <col min="26" max="26" width="10.42578125" bestFit="1" customWidth="1"/>
    <col min="27" max="27" width="10.140625" bestFit="1" customWidth="1"/>
    <col min="28" max="28" width="10.28515625" bestFit="1" customWidth="1"/>
    <col min="29" max="29" width="10.7109375" bestFit="1" customWidth="1"/>
    <col min="30" max="30" width="10.28515625" bestFit="1" customWidth="1"/>
    <col min="31" max="31" width="11.140625" bestFit="1" customWidth="1"/>
    <col min="32" max="32" width="10.28515625" bestFit="1" customWidth="1"/>
    <col min="33" max="33" width="9.5703125" bestFit="1" customWidth="1"/>
    <col min="34" max="34" width="10.7109375" bestFit="1" customWidth="1"/>
    <col min="35" max="35" width="10.42578125" bestFit="1" customWidth="1"/>
    <col min="36" max="36" width="10.28515625" bestFit="1" customWidth="1"/>
    <col min="37" max="37" width="10.7109375" bestFit="1" customWidth="1"/>
    <col min="38" max="38" width="10.42578125" bestFit="1" customWidth="1"/>
    <col min="39" max="39" width="10.140625" bestFit="1" customWidth="1"/>
    <col min="40" max="40" width="10.28515625" bestFit="1" customWidth="1"/>
    <col min="41" max="41" width="10.7109375" bestFit="1" customWidth="1"/>
    <col min="42" max="42" width="10.28515625" bestFit="1" customWidth="1"/>
    <col min="43" max="43" width="11.140625" bestFit="1" customWidth="1"/>
    <col min="44" max="44" width="10.28515625" bestFit="1" customWidth="1"/>
    <col min="45" max="45" width="9.5703125" bestFit="1" customWidth="1"/>
    <col min="46" max="46" width="10.7109375" bestFit="1" customWidth="1"/>
    <col min="47" max="47" width="10.42578125" bestFit="1" customWidth="1"/>
    <col min="48" max="48" width="10.28515625" bestFit="1" customWidth="1"/>
    <col min="49" max="49" width="10.7109375" bestFit="1" customWidth="1"/>
    <col min="50" max="50" width="10.42578125" bestFit="1" customWidth="1"/>
    <col min="51" max="51" width="10.140625" bestFit="1" customWidth="1"/>
    <col min="52" max="52" width="10.28515625" bestFit="1" customWidth="1"/>
    <col min="53" max="53" width="10.7109375" bestFit="1" customWidth="1"/>
    <col min="54" max="54" width="10.28515625" bestFit="1" customWidth="1"/>
    <col min="55" max="55" width="11.140625" bestFit="1" customWidth="1"/>
    <col min="56" max="56" width="10.28515625" bestFit="1" customWidth="1"/>
    <col min="57" max="57" width="9.5703125" bestFit="1" customWidth="1"/>
    <col min="58" max="58" width="10.7109375" bestFit="1" customWidth="1"/>
    <col min="59" max="59" width="10.42578125" bestFit="1" customWidth="1"/>
    <col min="60" max="60" width="10.28515625" bestFit="1" customWidth="1"/>
    <col min="61" max="61" width="10.7109375" bestFit="1" customWidth="1"/>
    <col min="62" max="62" width="10.42578125" bestFit="1" customWidth="1"/>
    <col min="63" max="63" width="10.140625" bestFit="1" customWidth="1"/>
    <col min="64" max="64" width="10.28515625" bestFit="1" customWidth="1"/>
    <col min="65" max="65" width="10.7109375" bestFit="1" customWidth="1"/>
    <col min="66" max="66" width="10.28515625" bestFit="1" customWidth="1"/>
    <col min="67" max="67" width="11.140625" bestFit="1" customWidth="1"/>
    <col min="68" max="68" width="10.28515625" bestFit="1" customWidth="1"/>
    <col min="69" max="69" width="9.5703125" bestFit="1" customWidth="1"/>
    <col min="70" max="70" width="10.7109375" bestFit="1" customWidth="1"/>
    <col min="71" max="71" width="10.42578125" bestFit="1" customWidth="1"/>
    <col min="72" max="72" width="10.28515625" bestFit="1" customWidth="1"/>
    <col min="73" max="73" width="10.7109375" bestFit="1" customWidth="1"/>
    <col min="74" max="74" width="10.42578125" bestFit="1" customWidth="1"/>
    <col min="75" max="75" width="10.140625" bestFit="1" customWidth="1"/>
    <col min="76" max="76" width="10.28515625" bestFit="1" customWidth="1"/>
    <col min="77" max="77" width="10.7109375" bestFit="1" customWidth="1"/>
    <col min="78" max="78" width="10.28515625" bestFit="1" customWidth="1"/>
    <col min="79" max="79" width="11.140625" bestFit="1" customWidth="1"/>
    <col min="80" max="80" width="10.28515625" bestFit="1" customWidth="1"/>
    <col min="81" max="81" width="9.5703125" bestFit="1" customWidth="1"/>
    <col min="82" max="82" width="10.7109375" bestFit="1" customWidth="1"/>
    <col min="83" max="83" width="10.42578125" bestFit="1" customWidth="1"/>
    <col min="84" max="84" width="10.28515625" bestFit="1" customWidth="1"/>
    <col min="85" max="85" width="10.7109375" bestFit="1" customWidth="1"/>
    <col min="86" max="86" width="10.42578125" bestFit="1" customWidth="1"/>
    <col min="87" max="87" width="10.140625" bestFit="1" customWidth="1"/>
    <col min="88" max="88" width="10.28515625" bestFit="1" customWidth="1"/>
    <col min="89" max="89" width="10.7109375" bestFit="1" customWidth="1"/>
    <col min="90" max="90" width="10.28515625" bestFit="1" customWidth="1"/>
    <col min="91" max="91" width="11.140625" bestFit="1" customWidth="1"/>
    <col min="92" max="92" width="10.28515625" bestFit="1" customWidth="1"/>
    <col min="93" max="93" width="9.5703125" bestFit="1" customWidth="1"/>
    <col min="94" max="94" width="10.7109375" bestFit="1" customWidth="1"/>
    <col min="95" max="95" width="10.42578125" bestFit="1" customWidth="1"/>
    <col min="96" max="96" width="10.28515625" bestFit="1" customWidth="1"/>
    <col min="97" max="97" width="10.7109375" bestFit="1" customWidth="1"/>
    <col min="98" max="98" width="10.42578125" bestFit="1" customWidth="1"/>
    <col min="99" max="99" width="10.140625" bestFit="1" customWidth="1"/>
    <col min="100" max="100" width="10.28515625" bestFit="1" customWidth="1"/>
    <col min="101" max="101" width="10.7109375" bestFit="1" customWidth="1"/>
    <col min="102" max="102" width="10.28515625" bestFit="1" customWidth="1"/>
    <col min="103" max="103" width="11.140625" bestFit="1" customWidth="1"/>
    <col min="104" max="104" width="10.28515625" bestFit="1" customWidth="1"/>
    <col min="105" max="105" width="9.5703125" bestFit="1" customWidth="1"/>
    <col min="106" max="106" width="10.7109375" bestFit="1" customWidth="1"/>
    <col min="107" max="107" width="10.42578125" bestFit="1" customWidth="1"/>
    <col min="108" max="108" width="10.28515625" bestFit="1" customWidth="1"/>
    <col min="109" max="109" width="10.7109375" bestFit="1" customWidth="1"/>
    <col min="110" max="110" width="10.42578125" bestFit="1" customWidth="1"/>
    <col min="111" max="111" width="10.140625" bestFit="1" customWidth="1"/>
    <col min="112" max="112" width="10.28515625" bestFit="1" customWidth="1"/>
    <col min="113" max="113" width="10.7109375" bestFit="1" customWidth="1"/>
    <col min="114" max="114" width="10.28515625" bestFit="1" customWidth="1"/>
    <col min="115" max="115" width="11.140625" bestFit="1" customWidth="1"/>
    <col min="116" max="116" width="10.28515625" bestFit="1" customWidth="1"/>
    <col min="117" max="117" width="9.5703125" bestFit="1" customWidth="1"/>
    <col min="118" max="118" width="10.7109375" bestFit="1" customWidth="1"/>
    <col min="119" max="119" width="10.42578125" bestFit="1" customWidth="1"/>
    <col min="120" max="120" width="10.28515625" bestFit="1" customWidth="1"/>
    <col min="121" max="121" width="10.7109375" bestFit="1" customWidth="1"/>
    <col min="122" max="122" width="10.42578125" bestFit="1" customWidth="1"/>
    <col min="123" max="123" width="10.140625" bestFit="1" customWidth="1"/>
    <col min="124" max="124" width="10.28515625" bestFit="1" customWidth="1"/>
    <col min="125" max="125" width="10.7109375" bestFit="1" customWidth="1"/>
    <col min="126" max="126" width="10.28515625" bestFit="1" customWidth="1"/>
    <col min="127" max="127" width="11.140625" bestFit="1" customWidth="1"/>
    <col min="128" max="128" width="10.28515625" bestFit="1" customWidth="1"/>
    <col min="129" max="129" width="9.5703125" bestFit="1" customWidth="1"/>
    <col min="130" max="130" width="10.7109375" bestFit="1" customWidth="1"/>
    <col min="131" max="131" width="10.42578125" bestFit="1" customWidth="1"/>
    <col min="132" max="132" width="10.28515625" bestFit="1" customWidth="1"/>
    <col min="133" max="133" width="10.7109375" bestFit="1" customWidth="1"/>
    <col min="134" max="134" width="10.42578125" bestFit="1" customWidth="1"/>
    <col min="135" max="135" width="10.140625" bestFit="1" customWidth="1"/>
    <col min="136" max="136" width="10.28515625" bestFit="1" customWidth="1"/>
    <col min="137" max="137" width="10.7109375" bestFit="1" customWidth="1"/>
    <col min="138" max="138" width="10.28515625" bestFit="1" customWidth="1"/>
    <col min="139" max="139" width="11.140625" bestFit="1" customWidth="1"/>
    <col min="140" max="140" width="10.28515625" bestFit="1" customWidth="1"/>
    <col min="141" max="141" width="9.5703125" bestFit="1" customWidth="1"/>
    <col min="142" max="142" width="10.7109375" bestFit="1" customWidth="1"/>
    <col min="143" max="143" width="10.42578125" bestFit="1" customWidth="1"/>
    <col min="144" max="144" width="10.28515625" bestFit="1" customWidth="1"/>
    <col min="145" max="145" width="10.7109375" bestFit="1" customWidth="1"/>
    <col min="146" max="146" width="10.42578125" bestFit="1" customWidth="1"/>
    <col min="147" max="147" width="10.140625" bestFit="1" customWidth="1"/>
    <col min="148" max="148" width="10.28515625" bestFit="1" customWidth="1"/>
    <col min="149" max="149" width="10.7109375" bestFit="1" customWidth="1"/>
    <col min="150" max="150" width="10.28515625" bestFit="1" customWidth="1"/>
    <col min="151" max="151" width="11.140625" bestFit="1" customWidth="1"/>
    <col min="152" max="152" width="10.28515625" bestFit="1" customWidth="1"/>
    <col min="153" max="153" width="9.5703125" bestFit="1" customWidth="1"/>
    <col min="154" max="154" width="10.7109375" bestFit="1" customWidth="1"/>
    <col min="155" max="155" width="10.42578125" bestFit="1" customWidth="1"/>
    <col min="156" max="156" width="10.28515625" bestFit="1" customWidth="1"/>
    <col min="157" max="157" width="10.7109375" bestFit="1" customWidth="1"/>
    <col min="158" max="158" width="10.42578125" bestFit="1" customWidth="1"/>
    <col min="159" max="159" width="10.140625" bestFit="1" customWidth="1"/>
    <col min="160" max="160" width="10.28515625" bestFit="1" customWidth="1"/>
    <col min="161" max="161" width="10.7109375" bestFit="1" customWidth="1"/>
    <col min="162" max="162" width="10.28515625" bestFit="1" customWidth="1"/>
    <col min="163" max="163" width="11.140625" bestFit="1" customWidth="1"/>
    <col min="164" max="164" width="10.28515625" bestFit="1" customWidth="1"/>
    <col min="165" max="165" width="9.5703125" bestFit="1" customWidth="1"/>
    <col min="166" max="166" width="10.7109375" bestFit="1" customWidth="1"/>
    <col min="167" max="167" width="10.42578125" bestFit="1" customWidth="1"/>
    <col min="168" max="168" width="10.28515625" bestFit="1" customWidth="1"/>
    <col min="169" max="169" width="10.7109375" bestFit="1" customWidth="1"/>
    <col min="170" max="170" width="10.42578125" bestFit="1" customWidth="1"/>
    <col min="171" max="171" width="10.140625" bestFit="1" customWidth="1"/>
    <col min="172" max="172" width="10.28515625" bestFit="1" customWidth="1"/>
    <col min="173" max="173" width="10.7109375" bestFit="1" customWidth="1"/>
    <col min="174" max="174" width="10.28515625" bestFit="1" customWidth="1"/>
    <col min="175" max="175" width="11.140625" bestFit="1" customWidth="1"/>
    <col min="176" max="176" width="10.28515625" bestFit="1" customWidth="1"/>
    <col min="177" max="177" width="9.5703125" bestFit="1" customWidth="1"/>
    <col min="178" max="178" width="10.7109375" bestFit="1" customWidth="1"/>
    <col min="179" max="179" width="10.42578125" bestFit="1" customWidth="1"/>
    <col min="180" max="180" width="10.28515625" bestFit="1" customWidth="1"/>
    <col min="181" max="181" width="10.7109375" bestFit="1" customWidth="1"/>
    <col min="182" max="182" width="10.42578125" bestFit="1" customWidth="1"/>
    <col min="183" max="183" width="10.140625" bestFit="1" customWidth="1"/>
    <col min="184" max="184" width="10.28515625" bestFit="1" customWidth="1"/>
    <col min="185" max="185" width="10.7109375" bestFit="1" customWidth="1"/>
    <col min="186" max="186" width="10.28515625" bestFit="1" customWidth="1"/>
    <col min="187" max="187" width="11.140625" bestFit="1" customWidth="1"/>
    <col min="188" max="188" width="10.28515625" bestFit="1" customWidth="1"/>
    <col min="189" max="189" width="9.5703125" bestFit="1" customWidth="1"/>
    <col min="190" max="190" width="10.7109375" bestFit="1" customWidth="1"/>
    <col min="191" max="191" width="10.42578125" bestFit="1" customWidth="1"/>
    <col min="192" max="192" width="10.28515625" bestFit="1" customWidth="1"/>
    <col min="193" max="193" width="10.7109375" bestFit="1" customWidth="1"/>
    <col min="194" max="194" width="10.42578125" bestFit="1" customWidth="1"/>
    <col min="195" max="195" width="10.140625" bestFit="1" customWidth="1"/>
    <col min="196" max="196" width="10.28515625" bestFit="1" customWidth="1"/>
    <col min="197" max="197" width="10.7109375" bestFit="1" customWidth="1"/>
    <col min="198" max="198" width="10.28515625" bestFit="1" customWidth="1"/>
    <col min="199" max="199" width="11.140625" bestFit="1" customWidth="1"/>
    <col min="200" max="200" width="10.28515625" bestFit="1" customWidth="1"/>
    <col min="201" max="201" width="9.5703125" bestFit="1" customWidth="1"/>
    <col min="202" max="202" width="10.7109375" bestFit="1" customWidth="1"/>
    <col min="203" max="203" width="10.42578125" bestFit="1" customWidth="1"/>
    <col min="204" max="204" width="10.28515625" bestFit="1" customWidth="1"/>
    <col min="205" max="205" width="10.7109375" bestFit="1" customWidth="1"/>
    <col min="206" max="206" width="10.42578125" bestFit="1" customWidth="1"/>
    <col min="207" max="207" width="10.140625" bestFit="1" customWidth="1"/>
    <col min="208" max="208" width="10.28515625" bestFit="1" customWidth="1"/>
    <col min="209" max="209" width="10.7109375" bestFit="1" customWidth="1"/>
    <col min="210" max="210" width="10.28515625" bestFit="1" customWidth="1"/>
    <col min="211" max="211" width="11.140625" bestFit="1" customWidth="1"/>
    <col min="212" max="212" width="10.28515625" bestFit="1" customWidth="1"/>
    <col min="213" max="213" width="9.5703125" bestFit="1" customWidth="1"/>
    <col min="214" max="214" width="10.7109375" bestFit="1" customWidth="1"/>
    <col min="215" max="215" width="10.42578125" bestFit="1" customWidth="1"/>
    <col min="216" max="216" width="10.28515625" bestFit="1" customWidth="1"/>
    <col min="217" max="217" width="10.7109375" bestFit="1" customWidth="1"/>
    <col min="218" max="218" width="10.42578125" bestFit="1" customWidth="1"/>
    <col min="219" max="219" width="10.140625" bestFit="1" customWidth="1"/>
    <col min="220" max="220" width="10.28515625" bestFit="1" customWidth="1"/>
    <col min="221" max="221" width="10.7109375" bestFit="1" customWidth="1"/>
    <col min="222" max="222" width="10.28515625" bestFit="1" customWidth="1"/>
    <col min="223" max="223" width="11.140625" bestFit="1" customWidth="1"/>
    <col min="224" max="224" width="10.28515625" bestFit="1" customWidth="1"/>
    <col min="225" max="225" width="9.5703125" bestFit="1" customWidth="1"/>
    <col min="226" max="226" width="10.7109375" bestFit="1" customWidth="1"/>
    <col min="227" max="227" width="10.42578125" bestFit="1" customWidth="1"/>
    <col min="228" max="228" width="10.28515625" bestFit="1" customWidth="1"/>
    <col min="229" max="229" width="10.7109375" bestFit="1" customWidth="1"/>
    <col min="230" max="230" width="10.42578125" bestFit="1" customWidth="1"/>
    <col min="231" max="231" width="10.140625" bestFit="1" customWidth="1"/>
    <col min="232" max="232" width="10.28515625" bestFit="1" customWidth="1"/>
    <col min="233" max="233" width="10.7109375" bestFit="1" customWidth="1"/>
    <col min="234" max="234" width="10.28515625" bestFit="1" customWidth="1"/>
    <col min="235" max="235" width="11.140625" bestFit="1" customWidth="1"/>
    <col min="236" max="236" width="10.28515625" bestFit="1" customWidth="1"/>
    <col min="237" max="237" width="9.5703125" bestFit="1" customWidth="1"/>
    <col min="238" max="238" width="10.7109375" bestFit="1" customWidth="1"/>
    <col min="239" max="239" width="10.42578125" bestFit="1" customWidth="1"/>
    <col min="240" max="240" width="10.28515625" bestFit="1" customWidth="1"/>
    <col min="241" max="241" width="10.7109375" bestFit="1" customWidth="1"/>
    <col min="242" max="242" width="10.42578125" bestFit="1" customWidth="1"/>
    <col min="243" max="243" width="10.140625" bestFit="1" customWidth="1"/>
    <col min="244" max="244" width="10.28515625" bestFit="1" customWidth="1"/>
    <col min="245" max="245" width="10.7109375" bestFit="1" customWidth="1"/>
    <col min="246" max="246" width="10.28515625" bestFit="1" customWidth="1"/>
    <col min="247" max="247" width="11.140625" bestFit="1" customWidth="1"/>
    <col min="248" max="248" width="10.28515625" bestFit="1" customWidth="1"/>
    <col min="249" max="249" width="9.5703125" bestFit="1" customWidth="1"/>
    <col min="250" max="250" width="10.7109375" bestFit="1" customWidth="1"/>
    <col min="251" max="251" width="10.42578125" bestFit="1" customWidth="1"/>
    <col min="252" max="252" width="10.28515625" bestFit="1" customWidth="1"/>
    <col min="253" max="253" width="10.7109375" bestFit="1" customWidth="1"/>
    <col min="254" max="254" width="10.42578125" bestFit="1" customWidth="1"/>
    <col min="255" max="255" width="10.140625" bestFit="1" customWidth="1"/>
    <col min="256" max="256" width="10.28515625" bestFit="1" customWidth="1"/>
    <col min="257" max="257" width="10.7109375" bestFit="1" customWidth="1"/>
    <col min="258" max="258" width="10.28515625" bestFit="1" customWidth="1"/>
    <col min="259" max="259" width="11.140625" bestFit="1" customWidth="1"/>
    <col min="260" max="260" width="10.28515625" bestFit="1" customWidth="1"/>
    <col min="261" max="261" width="9.5703125" bestFit="1" customWidth="1"/>
    <col min="262" max="262" width="10.7109375" bestFit="1" customWidth="1"/>
    <col min="263" max="263" width="10.42578125" bestFit="1" customWidth="1"/>
    <col min="264" max="264" width="10.28515625" bestFit="1" customWidth="1"/>
    <col min="265" max="265" width="10.7109375" bestFit="1" customWidth="1"/>
    <col min="266" max="266" width="10.42578125" bestFit="1" customWidth="1"/>
    <col min="267" max="267" width="10.140625" bestFit="1" customWidth="1"/>
    <col min="268" max="268" width="10.28515625" bestFit="1" customWidth="1"/>
    <col min="269" max="269" width="10.7109375" bestFit="1" customWidth="1"/>
    <col min="270" max="270" width="10.28515625" bestFit="1" customWidth="1"/>
    <col min="271" max="271" width="11.140625" bestFit="1" customWidth="1"/>
    <col min="272" max="272" width="10.28515625" bestFit="1" customWidth="1"/>
    <col min="273" max="273" width="9.5703125" bestFit="1" customWidth="1"/>
    <col min="274" max="274" width="10.7109375" bestFit="1" customWidth="1"/>
    <col min="275" max="275" width="10.42578125" bestFit="1" customWidth="1"/>
    <col min="276" max="276" width="10.28515625" bestFit="1" customWidth="1"/>
    <col min="277" max="277" width="10.7109375" bestFit="1" customWidth="1"/>
    <col min="278" max="278" width="10.42578125" bestFit="1" customWidth="1"/>
    <col min="279" max="279" width="10.140625" bestFit="1" customWidth="1"/>
    <col min="280" max="280" width="10.28515625" bestFit="1" customWidth="1"/>
    <col min="281" max="281" width="10.7109375" bestFit="1" customWidth="1"/>
    <col min="282" max="282" width="10.28515625" bestFit="1" customWidth="1"/>
    <col min="283" max="283" width="11.140625" bestFit="1" customWidth="1"/>
    <col min="284" max="284" width="10.28515625" bestFit="1" customWidth="1"/>
    <col min="285" max="285" width="9.5703125" bestFit="1" customWidth="1"/>
    <col min="286" max="286" width="10.7109375" bestFit="1" customWidth="1"/>
    <col min="287" max="287" width="10.42578125" bestFit="1" customWidth="1"/>
    <col min="288" max="288" width="10.28515625" bestFit="1" customWidth="1"/>
    <col min="289" max="289" width="10.7109375" bestFit="1" customWidth="1"/>
    <col min="290" max="290" width="10.42578125" bestFit="1" customWidth="1"/>
    <col min="291" max="291" width="10.140625" bestFit="1" customWidth="1"/>
    <col min="292" max="292" width="10.28515625" bestFit="1" customWidth="1"/>
    <col min="293" max="293" width="10.7109375" bestFit="1" customWidth="1"/>
    <col min="294" max="294" width="10.28515625" bestFit="1" customWidth="1"/>
    <col min="295" max="295" width="11.140625" bestFit="1" customWidth="1"/>
    <col min="296" max="296" width="10.28515625" bestFit="1" customWidth="1"/>
    <col min="297" max="297" width="9.5703125" bestFit="1" customWidth="1"/>
    <col min="298" max="298" width="10.7109375" bestFit="1" customWidth="1"/>
    <col min="299" max="299" width="10.42578125" bestFit="1" customWidth="1"/>
    <col min="300" max="300" width="10.28515625" bestFit="1" customWidth="1"/>
    <col min="301" max="301" width="10.7109375" bestFit="1" customWidth="1"/>
    <col min="302" max="302" width="10.42578125" bestFit="1" customWidth="1"/>
    <col min="303" max="303" width="10.140625" bestFit="1" customWidth="1"/>
    <col min="304" max="304" width="10.28515625" bestFit="1" customWidth="1"/>
    <col min="305" max="305" width="10.7109375" bestFit="1" customWidth="1"/>
    <col min="306" max="306" width="10.28515625" bestFit="1" customWidth="1"/>
    <col min="307" max="307" width="11.140625" bestFit="1" customWidth="1"/>
    <col min="308" max="308" width="10.28515625" bestFit="1" customWidth="1"/>
    <col min="309" max="309" width="9.5703125" bestFit="1" customWidth="1"/>
    <col min="310" max="310" width="10.7109375" bestFit="1" customWidth="1"/>
    <col min="311" max="311" width="10.42578125" bestFit="1" customWidth="1"/>
    <col min="312" max="312" width="10.28515625" bestFit="1" customWidth="1"/>
    <col min="313" max="313" width="10.7109375" bestFit="1" customWidth="1"/>
    <col min="314" max="314" width="10.42578125" bestFit="1" customWidth="1"/>
    <col min="315" max="315" width="10.140625" bestFit="1" customWidth="1"/>
    <col min="316" max="316" width="10.28515625" bestFit="1" customWidth="1"/>
    <col min="317" max="317" width="10.7109375" bestFit="1" customWidth="1"/>
    <col min="318" max="318" width="10.28515625" bestFit="1" customWidth="1"/>
    <col min="319" max="319" width="11.140625" bestFit="1" customWidth="1"/>
    <col min="320" max="320" width="10.28515625" bestFit="1" customWidth="1"/>
    <col min="321" max="321" width="9.5703125" bestFit="1" customWidth="1"/>
    <col min="322" max="322" width="10.7109375" bestFit="1" customWidth="1"/>
    <col min="323" max="323" width="10.42578125" bestFit="1" customWidth="1"/>
    <col min="324" max="324" width="10.28515625" bestFit="1" customWidth="1"/>
    <col min="325" max="325" width="10.7109375" bestFit="1" customWidth="1"/>
    <col min="326" max="326" width="10.42578125" bestFit="1" customWidth="1"/>
    <col min="327" max="327" width="10.140625" bestFit="1" customWidth="1"/>
    <col min="328" max="328" width="10.28515625" bestFit="1" customWidth="1"/>
    <col min="329" max="329" width="10.7109375" bestFit="1" customWidth="1"/>
    <col min="330" max="330" width="10.28515625" bestFit="1" customWidth="1"/>
    <col min="331" max="331" width="11.140625" bestFit="1" customWidth="1"/>
    <col min="332" max="332" width="10.28515625" bestFit="1" customWidth="1"/>
    <col min="333" max="333" width="9.5703125" bestFit="1" customWidth="1"/>
    <col min="334" max="334" width="10.7109375" bestFit="1" customWidth="1"/>
    <col min="335" max="335" width="10.42578125" bestFit="1" customWidth="1"/>
    <col min="336" max="336" width="10.28515625" bestFit="1" customWidth="1"/>
    <col min="337" max="337" width="10.7109375" bestFit="1" customWidth="1"/>
    <col min="338" max="338" width="10.42578125" bestFit="1" customWidth="1"/>
    <col min="339" max="339" width="10.140625" bestFit="1" customWidth="1"/>
    <col min="340" max="340" width="10.28515625" bestFit="1" customWidth="1"/>
    <col min="341" max="341" width="10.7109375" bestFit="1" customWidth="1"/>
    <col min="342" max="342" width="10.28515625" bestFit="1" customWidth="1"/>
    <col min="343" max="343" width="11.140625" bestFit="1" customWidth="1"/>
    <col min="344" max="344" width="10.28515625" bestFit="1" customWidth="1"/>
    <col min="345" max="345" width="9.5703125" bestFit="1" customWidth="1"/>
    <col min="346" max="346" width="10.7109375" bestFit="1" customWidth="1"/>
    <col min="347" max="347" width="10.42578125" bestFit="1" customWidth="1"/>
    <col min="348" max="348" width="10.28515625" bestFit="1" customWidth="1"/>
    <col min="349" max="349" width="10.7109375" bestFit="1" customWidth="1"/>
    <col min="350" max="350" width="10.42578125" bestFit="1" customWidth="1"/>
    <col min="351" max="351" width="10.140625" bestFit="1" customWidth="1"/>
    <col min="352" max="352" width="10.28515625" bestFit="1" customWidth="1"/>
    <col min="353" max="353" width="10.7109375" bestFit="1" customWidth="1"/>
    <col min="354" max="354" width="10.28515625" bestFit="1" customWidth="1"/>
    <col min="355" max="355" width="11.140625" bestFit="1" customWidth="1"/>
    <col min="356" max="356" width="10.28515625" bestFit="1" customWidth="1"/>
    <col min="357" max="357" width="9.5703125" bestFit="1" customWidth="1"/>
    <col min="358" max="358" width="10.7109375" bestFit="1" customWidth="1"/>
    <col min="359" max="359" width="10.42578125" bestFit="1" customWidth="1"/>
    <col min="360" max="360" width="10.28515625" bestFit="1" customWidth="1"/>
    <col min="361" max="361" width="10.7109375" bestFit="1" customWidth="1"/>
    <col min="362" max="362" width="10.42578125" bestFit="1" customWidth="1"/>
    <col min="363" max="363" width="10.140625" bestFit="1" customWidth="1"/>
    <col min="364" max="364" width="10.28515625" bestFit="1" customWidth="1"/>
    <col min="365" max="365" width="10.7109375" bestFit="1" customWidth="1"/>
    <col min="366" max="366" width="10.28515625" bestFit="1" customWidth="1"/>
    <col min="367" max="367" width="11.140625" bestFit="1" customWidth="1"/>
    <col min="368" max="368" width="10.7109375" bestFit="1" customWidth="1"/>
    <col min="369" max="369" width="10.42578125" bestFit="1" customWidth="1"/>
    <col min="370" max="370" width="10.140625" bestFit="1" customWidth="1"/>
    <col min="371" max="371" width="10.28515625" bestFit="1" customWidth="1"/>
    <col min="372" max="372" width="10.7109375" bestFit="1" customWidth="1"/>
    <col min="373" max="373" width="10.28515625" bestFit="1" customWidth="1"/>
    <col min="374" max="374" width="11.140625" bestFit="1" customWidth="1"/>
  </cols>
  <sheetData>
    <row r="1" spans="1:18" ht="45.75" x14ac:dyDescent="0.65">
      <c r="A1" s="270" t="str">
        <f>_xlfn.TEXTAFTER(CELL("filename",A1),"]")</f>
        <v>nabla.f.TimelineOffsetλ</v>
      </c>
      <c r="B1" s="270"/>
      <c r="C1" s="270"/>
      <c r="D1" s="270"/>
      <c r="E1" s="270"/>
      <c r="F1" s="270"/>
      <c r="G1" s="270"/>
      <c r="H1" s="270"/>
      <c r="I1" s="270"/>
      <c r="J1" s="270"/>
      <c r="K1" s="270"/>
      <c r="L1" s="270"/>
      <c r="M1" s="270"/>
      <c r="N1" s="270"/>
      <c r="O1" s="270"/>
      <c r="P1" s="270"/>
    </row>
    <row r="2" spans="1:18" x14ac:dyDescent="0.25">
      <c r="A2" s="273" t="s">
        <v>217</v>
      </c>
      <c r="B2" s="274"/>
      <c r="C2" s="274"/>
      <c r="D2" s="274"/>
      <c r="E2" s="274"/>
      <c r="F2" s="274"/>
      <c r="G2" s="274"/>
      <c r="H2" s="274"/>
      <c r="I2" s="274"/>
      <c r="J2" s="274"/>
      <c r="K2" s="274"/>
      <c r="L2" s="274"/>
      <c r="M2" s="274"/>
      <c r="N2" s="274"/>
      <c r="O2" s="274"/>
      <c r="P2" s="274"/>
      <c r="Q2" s="274"/>
      <c r="R2" s="274"/>
    </row>
    <row r="3" spans="1:18" x14ac:dyDescent="0.25">
      <c r="A3" s="104"/>
      <c r="B3" s="104"/>
      <c r="C3" s="104"/>
      <c r="D3" s="104"/>
      <c r="E3" s="104"/>
      <c r="F3" s="104"/>
      <c r="G3" s="104"/>
      <c r="H3" s="104"/>
      <c r="I3" s="104"/>
      <c r="J3" s="104"/>
      <c r="K3" s="104"/>
      <c r="L3" s="104"/>
      <c r="M3" s="104"/>
      <c r="N3" s="104"/>
      <c r="O3" s="104"/>
      <c r="P3" s="104"/>
    </row>
    <row r="4" spans="1:18" x14ac:dyDescent="0.25">
      <c r="A4" s="162" t="str" cm="1">
        <f t="array" ref="A4:B14">nabla.f.TimelineOffsetλ()</f>
        <v>FUNCTION:</v>
      </c>
      <c r="B4" t="str">
        <v>TimelineOffsetλ(ArrayStart, Timeline)</v>
      </c>
    </row>
    <row r="5" spans="1:18" x14ac:dyDescent="0.25">
      <c r="A5" t="str">
        <v>DESCRIPTION:</v>
      </c>
      <c r="B5" t="str">
        <v>Determines in which period, relative to the timeline's start and interval,</v>
      </c>
    </row>
    <row r="6" spans="1:18" x14ac:dyDescent="0.25">
      <c r="A6" s="193" t="str">
        <v/>
      </c>
      <c r="B6" t="str">
        <v>a date falls within.</v>
      </c>
    </row>
    <row r="7" spans="1:18" x14ac:dyDescent="0.25">
      <c r="A7" t="str">
        <v>WEBPAGE:</v>
      </c>
      <c r="B7" t="str">
        <v>https://github.com/ryanduguid/Nabla</v>
      </c>
    </row>
    <row r="8" spans="1:18" x14ac:dyDescent="0.25">
      <c r="A8" t="str">
        <v>VERSION:</v>
      </c>
      <c r="B8" t="str">
        <v>18 Aug 2026</v>
      </c>
    </row>
    <row r="9" spans="1:18" x14ac:dyDescent="0.25">
      <c r="A9" t="str">
        <v>PARAMETERS:</v>
      </c>
      <c r="B9" t="str">
        <v/>
      </c>
    </row>
    <row r="10" spans="1:18" x14ac:dyDescent="0.25">
      <c r="A10" t="str">
        <v>Date</v>
      </c>
      <c r="B10" t="str">
        <v>(Required) A starting date</v>
      </c>
    </row>
    <row r="11" spans="1:18" x14ac:dyDescent="0.25">
      <c r="A11" t="str">
        <v>Timeline</v>
      </c>
      <c r="B11" t="str">
        <v>(Required) A model's timline (Row of period start dates)</v>
      </c>
    </row>
    <row r="12" spans="1:18" x14ac:dyDescent="0.25">
      <c r="A12" t="str">
        <v>EXAMPLES:</v>
      </c>
      <c r="B12" t="str">
        <v/>
      </c>
    </row>
    <row r="13" spans="1:18" x14ac:dyDescent="0.25">
      <c r="A13" t="str">
        <v>Result</v>
      </c>
      <c r="B13" t="str">
        <v>Formula (nabla.f is assumed to be the module's name)</v>
      </c>
    </row>
    <row r="14" spans="1:18" x14ac:dyDescent="0.25">
      <c r="A14" t="str">
        <v/>
      </c>
      <c r="B14" t="str">
        <v>=nabla.f.TimelineOffsetλ("15/2/2024", EDATE("1/1/2025", SEQUENCE( , 12, 0)</v>
      </c>
    </row>
    <row r="17" spans="1:367" x14ac:dyDescent="0.25">
      <c r="C17" s="230" t="s">
        <v>149</v>
      </c>
    </row>
    <row r="18" spans="1:367" x14ac:dyDescent="0.25">
      <c r="A18" s="161" t="s">
        <v>322</v>
      </c>
      <c r="B18" s="155" t="s">
        <v>323</v>
      </c>
      <c r="C18" s="156" cm="1">
        <f t="array" ref="C18:NC18">nabla.d.Timelineλ("1/1/2026", 365, "M")</f>
        <v>45292</v>
      </c>
      <c r="D18" s="156">
        <v>46054</v>
      </c>
      <c r="E18" s="156">
        <v>46082</v>
      </c>
      <c r="F18" s="156">
        <v>46113</v>
      </c>
      <c r="G18" s="156">
        <v>46143</v>
      </c>
      <c r="H18" s="156">
        <v>46174</v>
      </c>
      <c r="I18" s="156">
        <v>46204</v>
      </c>
      <c r="J18" s="156">
        <v>46235</v>
      </c>
      <c r="K18" s="156">
        <v>46266</v>
      </c>
      <c r="L18" s="156">
        <v>46296</v>
      </c>
      <c r="M18" s="156">
        <v>46327</v>
      </c>
      <c r="N18" s="156">
        <v>46357</v>
      </c>
      <c r="O18" s="156">
        <v>46388</v>
      </c>
      <c r="P18" s="156">
        <v>46419</v>
      </c>
      <c r="Q18" s="156">
        <v>46447</v>
      </c>
      <c r="R18" s="156">
        <v>46478</v>
      </c>
      <c r="S18" s="156">
        <v>46508</v>
      </c>
      <c r="T18" s="156">
        <v>46539</v>
      </c>
      <c r="U18" s="156">
        <v>46569</v>
      </c>
      <c r="V18" s="156">
        <v>46600</v>
      </c>
      <c r="W18" s="156">
        <v>46631</v>
      </c>
      <c r="X18" s="156">
        <v>46661</v>
      </c>
      <c r="Y18" s="156">
        <v>46692</v>
      </c>
      <c r="Z18" s="156">
        <v>46722</v>
      </c>
      <c r="AA18" s="156">
        <v>46753</v>
      </c>
      <c r="AB18" s="156">
        <v>46784</v>
      </c>
      <c r="AC18" s="156">
        <v>46813</v>
      </c>
      <c r="AD18" s="156">
        <v>46844</v>
      </c>
      <c r="AE18" s="156">
        <v>46874</v>
      </c>
      <c r="AF18" s="156">
        <v>46905</v>
      </c>
      <c r="AG18" s="156">
        <v>46935</v>
      </c>
      <c r="AH18" s="156">
        <v>46966</v>
      </c>
      <c r="AI18" s="156">
        <v>46997</v>
      </c>
      <c r="AJ18" s="156">
        <v>47027</v>
      </c>
      <c r="AK18" s="156">
        <v>47058</v>
      </c>
      <c r="AL18" s="156">
        <v>47088</v>
      </c>
      <c r="AM18" s="156">
        <v>47119</v>
      </c>
      <c r="AN18" s="156">
        <v>47150</v>
      </c>
      <c r="AO18" s="156">
        <v>47178</v>
      </c>
      <c r="AP18" s="156">
        <v>47209</v>
      </c>
      <c r="AQ18" s="156">
        <v>47239</v>
      </c>
      <c r="AR18" s="156">
        <v>47270</v>
      </c>
      <c r="AS18" s="156">
        <v>47300</v>
      </c>
      <c r="AT18" s="156">
        <v>47331</v>
      </c>
      <c r="AU18" s="156">
        <v>47362</v>
      </c>
      <c r="AV18" s="156">
        <v>47392</v>
      </c>
      <c r="AW18" s="156">
        <v>47423</v>
      </c>
      <c r="AX18" s="156">
        <v>47453</v>
      </c>
      <c r="AY18" s="156">
        <v>47484</v>
      </c>
      <c r="AZ18" s="156">
        <v>47515</v>
      </c>
      <c r="BA18" s="156">
        <v>47543</v>
      </c>
      <c r="BB18" s="156">
        <v>47574</v>
      </c>
      <c r="BC18" s="156">
        <v>47604</v>
      </c>
      <c r="BD18" s="156">
        <v>47635</v>
      </c>
      <c r="BE18" s="156">
        <v>47665</v>
      </c>
      <c r="BF18" s="156">
        <v>47696</v>
      </c>
      <c r="BG18" s="156">
        <v>47727</v>
      </c>
      <c r="BH18" s="156">
        <v>47757</v>
      </c>
      <c r="BI18" s="156">
        <v>47788</v>
      </c>
      <c r="BJ18" s="156">
        <v>47818</v>
      </c>
      <c r="BK18" s="156">
        <v>47849</v>
      </c>
      <c r="BL18" s="156">
        <v>47880</v>
      </c>
      <c r="BM18" s="156">
        <v>47908</v>
      </c>
      <c r="BN18" s="156">
        <v>47939</v>
      </c>
      <c r="BO18" s="156">
        <v>47969</v>
      </c>
      <c r="BP18" s="156">
        <v>48000</v>
      </c>
      <c r="BQ18" s="156">
        <v>48030</v>
      </c>
      <c r="BR18" s="156">
        <v>48061</v>
      </c>
      <c r="BS18" s="156">
        <v>48092</v>
      </c>
      <c r="BT18" s="156">
        <v>48122</v>
      </c>
      <c r="BU18" s="156">
        <v>48153</v>
      </c>
      <c r="BV18" s="156">
        <v>48183</v>
      </c>
      <c r="BW18" s="156">
        <v>48214</v>
      </c>
      <c r="BX18" s="156">
        <v>48245</v>
      </c>
      <c r="BY18" s="156">
        <v>48274</v>
      </c>
      <c r="BZ18" s="156">
        <v>48305</v>
      </c>
      <c r="CA18" s="156">
        <v>48335</v>
      </c>
      <c r="CB18" s="156">
        <v>48366</v>
      </c>
      <c r="CC18" s="156">
        <v>48396</v>
      </c>
      <c r="CD18" s="156">
        <v>48427</v>
      </c>
      <c r="CE18" s="156">
        <v>48458</v>
      </c>
      <c r="CF18" s="156">
        <v>48488</v>
      </c>
      <c r="CG18" s="156">
        <v>48519</v>
      </c>
      <c r="CH18" s="156">
        <v>48549</v>
      </c>
      <c r="CI18" s="156">
        <v>48580</v>
      </c>
      <c r="CJ18" s="156">
        <v>48611</v>
      </c>
      <c r="CK18" s="156">
        <v>48639</v>
      </c>
      <c r="CL18" s="156">
        <v>48670</v>
      </c>
      <c r="CM18" s="156">
        <v>48700</v>
      </c>
      <c r="CN18" s="156">
        <v>48731</v>
      </c>
      <c r="CO18" s="156">
        <v>48761</v>
      </c>
      <c r="CP18" s="156">
        <v>48792</v>
      </c>
      <c r="CQ18" s="156">
        <v>48823</v>
      </c>
      <c r="CR18" s="156">
        <v>48853</v>
      </c>
      <c r="CS18" s="156">
        <v>48884</v>
      </c>
      <c r="CT18" s="156">
        <v>48914</v>
      </c>
      <c r="CU18" s="156">
        <v>48945</v>
      </c>
      <c r="CV18" s="156">
        <v>48976</v>
      </c>
      <c r="CW18" s="156">
        <v>49004</v>
      </c>
      <c r="CX18" s="156">
        <v>49035</v>
      </c>
      <c r="CY18" s="156">
        <v>49065</v>
      </c>
      <c r="CZ18" s="156">
        <v>49096</v>
      </c>
      <c r="DA18" s="156">
        <v>49126</v>
      </c>
      <c r="DB18" s="156">
        <v>49157</v>
      </c>
      <c r="DC18" s="156">
        <v>49188</v>
      </c>
      <c r="DD18" s="156">
        <v>49218</v>
      </c>
      <c r="DE18" s="156">
        <v>49249</v>
      </c>
      <c r="DF18" s="156">
        <v>49279</v>
      </c>
      <c r="DG18" s="156">
        <v>49310</v>
      </c>
      <c r="DH18" s="156">
        <v>49341</v>
      </c>
      <c r="DI18" s="156">
        <v>49369</v>
      </c>
      <c r="DJ18" s="156">
        <v>49400</v>
      </c>
      <c r="DK18" s="156">
        <v>49430</v>
      </c>
      <c r="DL18" s="156">
        <v>49461</v>
      </c>
      <c r="DM18" s="156">
        <v>49491</v>
      </c>
      <c r="DN18" s="156">
        <v>49522</v>
      </c>
      <c r="DO18" s="156">
        <v>49553</v>
      </c>
      <c r="DP18" s="156">
        <v>49583</v>
      </c>
      <c r="DQ18" s="156">
        <v>49614</v>
      </c>
      <c r="DR18" s="156">
        <v>49644</v>
      </c>
      <c r="DS18" s="156">
        <v>49675</v>
      </c>
      <c r="DT18" s="156">
        <v>49706</v>
      </c>
      <c r="DU18" s="156">
        <v>49735</v>
      </c>
      <c r="DV18" s="156">
        <v>49766</v>
      </c>
      <c r="DW18" s="156">
        <v>49796</v>
      </c>
      <c r="DX18" s="156">
        <v>49827</v>
      </c>
      <c r="DY18" s="156">
        <v>49857</v>
      </c>
      <c r="DZ18" s="156">
        <v>49888</v>
      </c>
      <c r="EA18" s="156">
        <v>49919</v>
      </c>
      <c r="EB18" s="156">
        <v>49949</v>
      </c>
      <c r="EC18" s="156">
        <v>49980</v>
      </c>
      <c r="ED18" s="156">
        <v>50010</v>
      </c>
      <c r="EE18" s="156">
        <v>50041</v>
      </c>
      <c r="EF18" s="156">
        <v>50072</v>
      </c>
      <c r="EG18" s="156">
        <v>50100</v>
      </c>
      <c r="EH18" s="156">
        <v>50131</v>
      </c>
      <c r="EI18" s="156">
        <v>50161</v>
      </c>
      <c r="EJ18" s="156">
        <v>50192</v>
      </c>
      <c r="EK18" s="156">
        <v>50222</v>
      </c>
      <c r="EL18" s="156">
        <v>50253</v>
      </c>
      <c r="EM18" s="156">
        <v>50284</v>
      </c>
      <c r="EN18" s="156">
        <v>50314</v>
      </c>
      <c r="EO18" s="156">
        <v>50345</v>
      </c>
      <c r="EP18" s="156">
        <v>50375</v>
      </c>
      <c r="EQ18" s="156">
        <v>50406</v>
      </c>
      <c r="ER18" s="156">
        <v>50437</v>
      </c>
      <c r="ES18" s="156">
        <v>50465</v>
      </c>
      <c r="ET18" s="156">
        <v>50496</v>
      </c>
      <c r="EU18" s="156">
        <v>50526</v>
      </c>
      <c r="EV18" s="156">
        <v>50557</v>
      </c>
      <c r="EW18" s="156">
        <v>50587</v>
      </c>
      <c r="EX18" s="156">
        <v>50618</v>
      </c>
      <c r="EY18" s="156">
        <v>50649</v>
      </c>
      <c r="EZ18" s="156">
        <v>50679</v>
      </c>
      <c r="FA18" s="156">
        <v>50710</v>
      </c>
      <c r="FB18" s="156">
        <v>50740</v>
      </c>
      <c r="FC18" s="156">
        <v>50771</v>
      </c>
      <c r="FD18" s="156">
        <v>50802</v>
      </c>
      <c r="FE18" s="156">
        <v>50830</v>
      </c>
      <c r="FF18" s="156">
        <v>50861</v>
      </c>
      <c r="FG18" s="156">
        <v>50891</v>
      </c>
      <c r="FH18" s="156">
        <v>50922</v>
      </c>
      <c r="FI18" s="156">
        <v>50952</v>
      </c>
      <c r="FJ18" s="156">
        <v>50983</v>
      </c>
      <c r="FK18" s="156">
        <v>51014</v>
      </c>
      <c r="FL18" s="156">
        <v>51044</v>
      </c>
      <c r="FM18" s="156">
        <v>51075</v>
      </c>
      <c r="FN18" s="156">
        <v>51105</v>
      </c>
      <c r="FO18" s="156">
        <v>51136</v>
      </c>
      <c r="FP18" s="156">
        <v>51167</v>
      </c>
      <c r="FQ18" s="156">
        <v>51196</v>
      </c>
      <c r="FR18" s="156">
        <v>51227</v>
      </c>
      <c r="FS18" s="156">
        <v>51257</v>
      </c>
      <c r="FT18" s="156">
        <v>51288</v>
      </c>
      <c r="FU18" s="156">
        <v>51318</v>
      </c>
      <c r="FV18" s="156">
        <v>51349</v>
      </c>
      <c r="FW18" s="156">
        <v>51380</v>
      </c>
      <c r="FX18" s="156">
        <v>51410</v>
      </c>
      <c r="FY18" s="156">
        <v>51441</v>
      </c>
      <c r="FZ18" s="156">
        <v>51471</v>
      </c>
      <c r="GA18" s="156">
        <v>51502</v>
      </c>
      <c r="GB18" s="156">
        <v>51533</v>
      </c>
      <c r="GC18" s="156">
        <v>51561</v>
      </c>
      <c r="GD18" s="156">
        <v>51592</v>
      </c>
      <c r="GE18" s="156">
        <v>51622</v>
      </c>
      <c r="GF18" s="156">
        <v>51653</v>
      </c>
      <c r="GG18" s="156">
        <v>51683</v>
      </c>
      <c r="GH18" s="156">
        <v>51714</v>
      </c>
      <c r="GI18" s="156">
        <v>51745</v>
      </c>
      <c r="GJ18" s="156">
        <v>51775</v>
      </c>
      <c r="GK18" s="156">
        <v>51806</v>
      </c>
      <c r="GL18" s="156">
        <v>51836</v>
      </c>
      <c r="GM18" s="156">
        <v>51867</v>
      </c>
      <c r="GN18" s="156">
        <v>51898</v>
      </c>
      <c r="GO18" s="156">
        <v>51926</v>
      </c>
      <c r="GP18" s="156">
        <v>51957</v>
      </c>
      <c r="GQ18" s="156">
        <v>51987</v>
      </c>
      <c r="GR18" s="156">
        <v>52018</v>
      </c>
      <c r="GS18" s="156">
        <v>52048</v>
      </c>
      <c r="GT18" s="156">
        <v>52079</v>
      </c>
      <c r="GU18" s="156">
        <v>52110</v>
      </c>
      <c r="GV18" s="156">
        <v>52140</v>
      </c>
      <c r="GW18" s="156">
        <v>52171</v>
      </c>
      <c r="GX18" s="156">
        <v>52201</v>
      </c>
      <c r="GY18" s="156">
        <v>52232</v>
      </c>
      <c r="GZ18" s="156">
        <v>52263</v>
      </c>
      <c r="HA18" s="156">
        <v>52291</v>
      </c>
      <c r="HB18" s="156">
        <v>52322</v>
      </c>
      <c r="HC18" s="156">
        <v>52352</v>
      </c>
      <c r="HD18" s="156">
        <v>52383</v>
      </c>
      <c r="HE18" s="156">
        <v>52413</v>
      </c>
      <c r="HF18" s="156">
        <v>52444</v>
      </c>
      <c r="HG18" s="156">
        <v>52475</v>
      </c>
      <c r="HH18" s="156">
        <v>52505</v>
      </c>
      <c r="HI18" s="156">
        <v>52536</v>
      </c>
      <c r="HJ18" s="156">
        <v>52566</v>
      </c>
      <c r="HK18" s="156">
        <v>52597</v>
      </c>
      <c r="HL18" s="156">
        <v>52628</v>
      </c>
      <c r="HM18" s="156">
        <v>52657</v>
      </c>
      <c r="HN18" s="156">
        <v>52688</v>
      </c>
      <c r="HO18" s="156">
        <v>52718</v>
      </c>
      <c r="HP18" s="156">
        <v>52749</v>
      </c>
      <c r="HQ18" s="156">
        <v>52779</v>
      </c>
      <c r="HR18" s="156">
        <v>52810</v>
      </c>
      <c r="HS18" s="156">
        <v>52841</v>
      </c>
      <c r="HT18" s="156">
        <v>52871</v>
      </c>
      <c r="HU18" s="156">
        <v>52902</v>
      </c>
      <c r="HV18" s="156">
        <v>52932</v>
      </c>
      <c r="HW18" s="156">
        <v>52963</v>
      </c>
      <c r="HX18" s="156">
        <v>52994</v>
      </c>
      <c r="HY18" s="156">
        <v>53022</v>
      </c>
      <c r="HZ18" s="156">
        <v>53053</v>
      </c>
      <c r="IA18" s="156">
        <v>53083</v>
      </c>
      <c r="IB18" s="156">
        <v>53114</v>
      </c>
      <c r="IC18" s="156">
        <v>53144</v>
      </c>
      <c r="ID18" s="156">
        <v>53175</v>
      </c>
      <c r="IE18" s="156">
        <v>53206</v>
      </c>
      <c r="IF18" s="156">
        <v>53236</v>
      </c>
      <c r="IG18" s="156">
        <v>53267</v>
      </c>
      <c r="IH18" s="156">
        <v>53297</v>
      </c>
      <c r="II18" s="156">
        <v>53328</v>
      </c>
      <c r="IJ18" s="156">
        <v>53359</v>
      </c>
      <c r="IK18" s="156">
        <v>53387</v>
      </c>
      <c r="IL18" s="156">
        <v>53418</v>
      </c>
      <c r="IM18" s="156">
        <v>53448</v>
      </c>
      <c r="IN18" s="156">
        <v>53479</v>
      </c>
      <c r="IO18" s="156">
        <v>53509</v>
      </c>
      <c r="IP18" s="156">
        <v>53540</v>
      </c>
      <c r="IQ18" s="156">
        <v>53571</v>
      </c>
      <c r="IR18" s="156">
        <v>53601</v>
      </c>
      <c r="IS18" s="156">
        <v>53632</v>
      </c>
      <c r="IT18" s="156">
        <v>53662</v>
      </c>
      <c r="IU18" s="156">
        <v>53693</v>
      </c>
      <c r="IV18" s="156">
        <v>53724</v>
      </c>
      <c r="IW18" s="156">
        <v>53752</v>
      </c>
      <c r="IX18" s="156">
        <v>53783</v>
      </c>
      <c r="IY18" s="156">
        <v>53813</v>
      </c>
      <c r="IZ18" s="156">
        <v>53844</v>
      </c>
      <c r="JA18" s="156">
        <v>53874</v>
      </c>
      <c r="JB18" s="156">
        <v>53905</v>
      </c>
      <c r="JC18" s="156">
        <v>53936</v>
      </c>
      <c r="JD18" s="156">
        <v>53966</v>
      </c>
      <c r="JE18" s="156">
        <v>53997</v>
      </c>
      <c r="JF18" s="156">
        <v>54027</v>
      </c>
      <c r="JG18" s="156">
        <v>54058</v>
      </c>
      <c r="JH18" s="156">
        <v>54089</v>
      </c>
      <c r="JI18" s="156">
        <v>54118</v>
      </c>
      <c r="JJ18" s="156">
        <v>54149</v>
      </c>
      <c r="JK18" s="156">
        <v>54179</v>
      </c>
      <c r="JL18" s="156">
        <v>54210</v>
      </c>
      <c r="JM18" s="156">
        <v>54240</v>
      </c>
      <c r="JN18" s="156">
        <v>54271</v>
      </c>
      <c r="JO18" s="156">
        <v>54302</v>
      </c>
      <c r="JP18" s="156">
        <v>54332</v>
      </c>
      <c r="JQ18" s="156">
        <v>54363</v>
      </c>
      <c r="JR18" s="156">
        <v>54393</v>
      </c>
      <c r="JS18" s="156">
        <v>54424</v>
      </c>
      <c r="JT18" s="156">
        <v>54455</v>
      </c>
      <c r="JU18" s="156">
        <v>54483</v>
      </c>
      <c r="JV18" s="156">
        <v>54514</v>
      </c>
      <c r="JW18" s="156">
        <v>54544</v>
      </c>
      <c r="JX18" s="156">
        <v>54575</v>
      </c>
      <c r="JY18" s="156">
        <v>54605</v>
      </c>
      <c r="JZ18" s="156">
        <v>54636</v>
      </c>
      <c r="KA18" s="156">
        <v>54667</v>
      </c>
      <c r="KB18" s="156">
        <v>54697</v>
      </c>
      <c r="KC18" s="156">
        <v>54728</v>
      </c>
      <c r="KD18" s="156">
        <v>54758</v>
      </c>
      <c r="KE18" s="156">
        <v>54789</v>
      </c>
      <c r="KF18" s="156">
        <v>54820</v>
      </c>
      <c r="KG18" s="156">
        <v>54848</v>
      </c>
      <c r="KH18" s="156">
        <v>54879</v>
      </c>
      <c r="KI18" s="156">
        <v>54909</v>
      </c>
      <c r="KJ18" s="156">
        <v>54940</v>
      </c>
      <c r="KK18" s="156">
        <v>54970</v>
      </c>
      <c r="KL18" s="156">
        <v>55001</v>
      </c>
      <c r="KM18" s="156">
        <v>55032</v>
      </c>
      <c r="KN18" s="156">
        <v>55062</v>
      </c>
      <c r="KO18" s="156">
        <v>55093</v>
      </c>
      <c r="KP18" s="156">
        <v>55123</v>
      </c>
      <c r="KQ18" s="156">
        <v>55154</v>
      </c>
      <c r="KR18" s="156">
        <v>55185</v>
      </c>
      <c r="KS18" s="156">
        <v>55213</v>
      </c>
      <c r="KT18" s="156">
        <v>55244</v>
      </c>
      <c r="KU18" s="156">
        <v>55274</v>
      </c>
      <c r="KV18" s="156">
        <v>55305</v>
      </c>
      <c r="KW18" s="156">
        <v>55335</v>
      </c>
      <c r="KX18" s="156">
        <v>55366</v>
      </c>
      <c r="KY18" s="156">
        <v>55397</v>
      </c>
      <c r="KZ18" s="156">
        <v>55427</v>
      </c>
      <c r="LA18" s="156">
        <v>55458</v>
      </c>
      <c r="LB18" s="156">
        <v>55488</v>
      </c>
      <c r="LC18" s="156">
        <v>55519</v>
      </c>
      <c r="LD18" s="156">
        <v>55550</v>
      </c>
      <c r="LE18" s="156">
        <v>55579</v>
      </c>
      <c r="LF18" s="156">
        <v>55610</v>
      </c>
      <c r="LG18" s="156">
        <v>55640</v>
      </c>
      <c r="LH18" s="156">
        <v>55671</v>
      </c>
      <c r="LI18" s="156">
        <v>55701</v>
      </c>
      <c r="LJ18" s="156">
        <v>55732</v>
      </c>
      <c r="LK18" s="156">
        <v>55763</v>
      </c>
      <c r="LL18" s="156">
        <v>55793</v>
      </c>
      <c r="LM18" s="156">
        <v>55824</v>
      </c>
      <c r="LN18" s="156">
        <v>55854</v>
      </c>
      <c r="LO18" s="156">
        <v>55885</v>
      </c>
      <c r="LP18" s="156">
        <v>55916</v>
      </c>
      <c r="LQ18" s="156">
        <v>55944</v>
      </c>
      <c r="LR18" s="156">
        <v>55975</v>
      </c>
      <c r="LS18" s="156">
        <v>56005</v>
      </c>
      <c r="LT18" s="156">
        <v>56036</v>
      </c>
      <c r="LU18" s="156">
        <v>56066</v>
      </c>
      <c r="LV18" s="156">
        <v>56097</v>
      </c>
      <c r="LW18" s="156">
        <v>56128</v>
      </c>
      <c r="LX18" s="156">
        <v>56158</v>
      </c>
      <c r="LY18" s="156">
        <v>56189</v>
      </c>
      <c r="LZ18" s="156">
        <v>56219</v>
      </c>
      <c r="MA18" s="156">
        <v>56250</v>
      </c>
      <c r="MB18" s="156">
        <v>56281</v>
      </c>
      <c r="MC18" s="156">
        <v>56309</v>
      </c>
      <c r="MD18" s="156">
        <v>56340</v>
      </c>
      <c r="ME18" s="156">
        <v>56370</v>
      </c>
      <c r="MF18" s="156">
        <v>56401</v>
      </c>
      <c r="MG18" s="156">
        <v>56431</v>
      </c>
      <c r="MH18" s="156">
        <v>56462</v>
      </c>
      <c r="MI18" s="156">
        <v>56493</v>
      </c>
      <c r="MJ18" s="156">
        <v>56523</v>
      </c>
      <c r="MK18" s="156">
        <v>56554</v>
      </c>
      <c r="ML18" s="156">
        <v>56584</v>
      </c>
      <c r="MM18" s="156">
        <v>56615</v>
      </c>
      <c r="MN18" s="156">
        <v>56646</v>
      </c>
      <c r="MO18" s="156">
        <v>56674</v>
      </c>
      <c r="MP18" s="156">
        <v>56705</v>
      </c>
      <c r="MQ18" s="156">
        <v>56735</v>
      </c>
      <c r="MR18" s="156">
        <v>56766</v>
      </c>
      <c r="MS18" s="156">
        <v>56796</v>
      </c>
      <c r="MT18" s="156">
        <v>56827</v>
      </c>
      <c r="MU18" s="156">
        <v>56858</v>
      </c>
      <c r="MV18" s="156">
        <v>56888</v>
      </c>
      <c r="MW18" s="156">
        <v>56919</v>
      </c>
      <c r="MX18" s="156">
        <v>56949</v>
      </c>
      <c r="MY18" s="156">
        <v>56980</v>
      </c>
      <c r="MZ18" s="156">
        <v>57011</v>
      </c>
      <c r="NA18" s="156">
        <v>57040</v>
      </c>
      <c r="NB18" s="156">
        <v>57071</v>
      </c>
      <c r="NC18" s="156">
        <v>57101</v>
      </c>
    </row>
    <row r="19" spans="1:367" x14ac:dyDescent="0.25">
      <c r="A19" s="141">
        <v>46023</v>
      </c>
      <c r="B19" s="162" cm="1">
        <f t="array" ref="B19">nabla.f.TimelineOffsetλ(A19,_xlfn.ANCHORARRAY( $C$18))</f>
        <v>6</v>
      </c>
      <c r="C19" cm="1">
        <f t="array" ref="C19:NC19">N(_xlfn.ANCHORARRAY($C$18)=INDEX(_xlfn.ANCHORARRAY($C$18),B19+1))</f>
        <v>0</v>
      </c>
      <c r="D19">
        <f/>
        <v>0</v>
      </c>
      <c r="E19">
        <f/>
        <v>0</v>
      </c>
      <c r="F19">
        <f/>
        <v>0</v>
      </c>
      <c r="G19">
        <f/>
        <v>0</v>
      </c>
      <c r="H19">
        <f/>
        <v>0</v>
      </c>
      <c r="I19">
        <f/>
        <v>1</v>
      </c>
      <c r="J19">
        <f/>
        <v>0</v>
      </c>
      <c r="K19">
        <f/>
        <v>0</v>
      </c>
      <c r="L19">
        <f/>
        <v>0</v>
      </c>
      <c r="M19">
        <f/>
        <v>0</v>
      </c>
      <c r="N19">
        <f/>
        <v>0</v>
      </c>
      <c r="O19">
        <f/>
        <v>0</v>
      </c>
      <c r="P19">
        <f/>
        <v>0</v>
      </c>
      <c r="Q19">
        <f/>
        <v>0</v>
      </c>
      <c r="R19">
        <f/>
        <v>0</v>
      </c>
      <c r="S19">
        <f/>
        <v>0</v>
      </c>
      <c r="T19">
        <f/>
        <v>0</v>
      </c>
      <c r="U19">
        <f/>
        <v>0</v>
      </c>
      <c r="V19">
        <f/>
        <v>0</v>
      </c>
      <c r="W19">
        <f/>
        <v>0</v>
      </c>
      <c r="X19">
        <f/>
        <v>0</v>
      </c>
      <c r="Y19">
        <f/>
        <v>0</v>
      </c>
      <c r="Z19">
        <f/>
        <v>0</v>
      </c>
      <c r="AA19">
        <f/>
        <v>0</v>
      </c>
      <c r="AB19">
        <f/>
        <v>0</v>
      </c>
      <c r="AC19">
        <f/>
        <v>0</v>
      </c>
      <c r="AD19">
        <f/>
        <v>0</v>
      </c>
      <c r="AE19">
        <f/>
        <v>0</v>
      </c>
      <c r="AF19">
        <f/>
        <v>0</v>
      </c>
      <c r="AG19">
        <f/>
        <v>0</v>
      </c>
      <c r="AH19">
        <f/>
        <v>0</v>
      </c>
      <c r="AI19">
        <f/>
        <v>0</v>
      </c>
      <c r="AJ19">
        <f/>
        <v>0</v>
      </c>
      <c r="AK19">
        <f/>
        <v>0</v>
      </c>
      <c r="AL19">
        <f/>
        <v>0</v>
      </c>
      <c r="AM19">
        <f/>
        <v>0</v>
      </c>
      <c r="AN19">
        <f/>
        <v>0</v>
      </c>
      <c r="AO19">
        <f/>
        <v>0</v>
      </c>
      <c r="AP19">
        <f/>
        <v>0</v>
      </c>
      <c r="AQ19">
        <f/>
        <v>0</v>
      </c>
      <c r="AR19">
        <f/>
        <v>0</v>
      </c>
      <c r="AS19">
        <f/>
        <v>0</v>
      </c>
      <c r="AT19">
        <f/>
        <v>0</v>
      </c>
      <c r="AU19">
        <f/>
        <v>0</v>
      </c>
      <c r="AV19">
        <f/>
        <v>0</v>
      </c>
      <c r="AW19">
        <f/>
        <v>0</v>
      </c>
      <c r="AX19">
        <f/>
        <v>0</v>
      </c>
      <c r="AY19">
        <f/>
        <v>0</v>
      </c>
      <c r="AZ19">
        <f/>
        <v>0</v>
      </c>
      <c r="BA19">
        <f/>
        <v>0</v>
      </c>
      <c r="BB19">
        <f/>
        <v>0</v>
      </c>
      <c r="BC19">
        <f/>
        <v>0</v>
      </c>
      <c r="BD19">
        <f/>
        <v>0</v>
      </c>
      <c r="BE19">
        <f/>
        <v>0</v>
      </c>
      <c r="BF19">
        <f/>
        <v>0</v>
      </c>
      <c r="BG19">
        <f/>
        <v>0</v>
      </c>
      <c r="BH19">
        <f/>
        <v>0</v>
      </c>
      <c r="BI19">
        <f/>
        <v>0</v>
      </c>
      <c r="BJ19">
        <f/>
        <v>0</v>
      </c>
      <c r="BK19">
        <f/>
        <v>0</v>
      </c>
      <c r="BL19">
        <f/>
        <v>0</v>
      </c>
      <c r="BM19">
        <f/>
        <v>0</v>
      </c>
      <c r="BN19">
        <f/>
        <v>0</v>
      </c>
      <c r="BO19">
        <f/>
        <v>0</v>
      </c>
      <c r="BP19">
        <f/>
        <v>0</v>
      </c>
      <c r="BQ19">
        <f/>
        <v>0</v>
      </c>
      <c r="BR19">
        <f/>
        <v>0</v>
      </c>
      <c r="BS19">
        <f/>
        <v>0</v>
      </c>
      <c r="BT19">
        <f/>
        <v>0</v>
      </c>
      <c r="BU19">
        <f/>
        <v>0</v>
      </c>
      <c r="BV19">
        <f/>
        <v>0</v>
      </c>
      <c r="BW19">
        <f/>
        <v>0</v>
      </c>
      <c r="BX19">
        <f/>
        <v>0</v>
      </c>
      <c r="BY19">
        <f/>
        <v>0</v>
      </c>
      <c r="BZ19">
        <f/>
        <v>0</v>
      </c>
      <c r="CA19">
        <f/>
        <v>0</v>
      </c>
      <c r="CB19">
        <f/>
        <v>0</v>
      </c>
      <c r="CC19">
        <f/>
        <v>0</v>
      </c>
      <c r="CD19">
        <f/>
        <v>0</v>
      </c>
      <c r="CE19">
        <f/>
        <v>0</v>
      </c>
      <c r="CF19">
        <f/>
        <v>0</v>
      </c>
      <c r="CG19">
        <f/>
        <v>0</v>
      </c>
      <c r="CH19">
        <f/>
        <v>0</v>
      </c>
      <c r="CI19">
        <f/>
        <v>0</v>
      </c>
      <c r="CJ19">
        <f/>
        <v>0</v>
      </c>
      <c r="CK19">
        <f/>
        <v>0</v>
      </c>
      <c r="CL19">
        <f/>
        <v>0</v>
      </c>
      <c r="CM19">
        <f/>
        <v>0</v>
      </c>
      <c r="CN19">
        <f/>
        <v>0</v>
      </c>
      <c r="CO19">
        <f/>
        <v>0</v>
      </c>
      <c r="CP19">
        <f/>
        <v>0</v>
      </c>
      <c r="CQ19">
        <f/>
        <v>0</v>
      </c>
      <c r="CR19">
        <f/>
        <v>0</v>
      </c>
      <c r="CS19">
        <f/>
        <v>0</v>
      </c>
      <c r="CT19">
        <f/>
        <v>0</v>
      </c>
      <c r="CU19">
        <f/>
        <v>0</v>
      </c>
      <c r="CV19">
        <f/>
        <v>0</v>
      </c>
      <c r="CW19">
        <f/>
        <v>0</v>
      </c>
      <c r="CX19">
        <f/>
        <v>0</v>
      </c>
      <c r="CY19">
        <f/>
        <v>0</v>
      </c>
      <c r="CZ19">
        <f/>
        <v>0</v>
      </c>
      <c r="DA19">
        <f/>
        <v>0</v>
      </c>
      <c r="DB19">
        <f/>
        <v>0</v>
      </c>
      <c r="DC19">
        <f/>
        <v>0</v>
      </c>
      <c r="DD19">
        <f/>
        <v>0</v>
      </c>
      <c r="DE19">
        <f/>
        <v>0</v>
      </c>
      <c r="DF19">
        <f/>
        <v>0</v>
      </c>
      <c r="DG19">
        <f/>
        <v>0</v>
      </c>
      <c r="DH19">
        <f/>
        <v>0</v>
      </c>
      <c r="DI19">
        <f/>
        <v>0</v>
      </c>
      <c r="DJ19">
        <f/>
        <v>0</v>
      </c>
      <c r="DK19">
        <f/>
        <v>0</v>
      </c>
      <c r="DL19">
        <f/>
        <v>0</v>
      </c>
      <c r="DM19">
        <f/>
        <v>0</v>
      </c>
      <c r="DN19">
        <f/>
        <v>0</v>
      </c>
      <c r="DO19">
        <f/>
        <v>0</v>
      </c>
      <c r="DP19">
        <f/>
        <v>0</v>
      </c>
      <c r="DQ19">
        <f/>
        <v>0</v>
      </c>
      <c r="DR19">
        <f/>
        <v>0</v>
      </c>
      <c r="DS19">
        <f/>
        <v>0</v>
      </c>
      <c r="DT19">
        <f/>
        <v>0</v>
      </c>
      <c r="DU19">
        <f/>
        <v>0</v>
      </c>
      <c r="DV19">
        <f/>
        <v>0</v>
      </c>
      <c r="DW19">
        <f/>
        <v>0</v>
      </c>
      <c r="DX19">
        <f/>
        <v>0</v>
      </c>
      <c r="DY19">
        <f/>
        <v>0</v>
      </c>
      <c r="DZ19">
        <f/>
        <v>0</v>
      </c>
      <c r="EA19">
        <f/>
        <v>0</v>
      </c>
      <c r="EB19">
        <f/>
        <v>0</v>
      </c>
      <c r="EC19">
        <f/>
        <v>0</v>
      </c>
      <c r="ED19">
        <f/>
        <v>0</v>
      </c>
      <c r="EE19">
        <f/>
        <v>0</v>
      </c>
      <c r="EF19">
        <f/>
        <v>0</v>
      </c>
      <c r="EG19">
        <f/>
        <v>0</v>
      </c>
      <c r="EH19">
        <f/>
        <v>0</v>
      </c>
      <c r="EI19">
        <f/>
        <v>0</v>
      </c>
      <c r="EJ19">
        <f/>
        <v>0</v>
      </c>
      <c r="EK19">
        <f/>
        <v>0</v>
      </c>
      <c r="EL19">
        <f/>
        <v>0</v>
      </c>
      <c r="EM19">
        <f/>
        <v>0</v>
      </c>
      <c r="EN19">
        <f/>
        <v>0</v>
      </c>
      <c r="EO19">
        <f/>
        <v>0</v>
      </c>
      <c r="EP19">
        <f/>
        <v>0</v>
      </c>
      <c r="EQ19">
        <f/>
        <v>0</v>
      </c>
      <c r="ER19">
        <f/>
        <v>0</v>
      </c>
      <c r="ES19">
        <f/>
        <v>0</v>
      </c>
      <c r="ET19">
        <f/>
        <v>0</v>
      </c>
      <c r="EU19">
        <f/>
        <v>0</v>
      </c>
      <c r="EV19">
        <f/>
        <v>0</v>
      </c>
      <c r="EW19">
        <f/>
        <v>0</v>
      </c>
      <c r="EX19">
        <f/>
        <v>0</v>
      </c>
      <c r="EY19">
        <f/>
        <v>0</v>
      </c>
      <c r="EZ19">
        <f/>
        <v>0</v>
      </c>
      <c r="FA19">
        <f/>
        <v>0</v>
      </c>
      <c r="FB19">
        <f/>
        <v>0</v>
      </c>
      <c r="FC19">
        <f/>
        <v>0</v>
      </c>
      <c r="FD19">
        <f/>
        <v>0</v>
      </c>
      <c r="FE19">
        <f/>
        <v>0</v>
      </c>
      <c r="FF19">
        <f/>
        <v>0</v>
      </c>
      <c r="FG19">
        <f/>
        <v>0</v>
      </c>
      <c r="FH19">
        <f/>
        <v>0</v>
      </c>
      <c r="FI19">
        <f/>
        <v>0</v>
      </c>
      <c r="FJ19">
        <f/>
        <v>0</v>
      </c>
      <c r="FK19">
        <f/>
        <v>0</v>
      </c>
      <c r="FL19">
        <f/>
        <v>0</v>
      </c>
      <c r="FM19">
        <f/>
        <v>0</v>
      </c>
      <c r="FN19">
        <f/>
        <v>0</v>
      </c>
      <c r="FO19">
        <f/>
        <v>0</v>
      </c>
      <c r="FP19">
        <f/>
        <v>0</v>
      </c>
      <c r="FQ19">
        <f/>
        <v>0</v>
      </c>
      <c r="FR19">
        <f/>
        <v>0</v>
      </c>
      <c r="FS19">
        <f/>
        <v>0</v>
      </c>
      <c r="FT19">
        <f/>
        <v>0</v>
      </c>
      <c r="FU19">
        <f/>
        <v>0</v>
      </c>
      <c r="FV19">
        <f/>
        <v>0</v>
      </c>
      <c r="FW19">
        <f/>
        <v>0</v>
      </c>
      <c r="FX19">
        <f/>
        <v>0</v>
      </c>
      <c r="FY19">
        <f/>
        <v>0</v>
      </c>
      <c r="FZ19">
        <f/>
        <v>0</v>
      </c>
      <c r="GA19">
        <f/>
        <v>0</v>
      </c>
      <c r="GB19">
        <f/>
        <v>0</v>
      </c>
      <c r="GC19">
        <f/>
        <v>0</v>
      </c>
      <c r="GD19">
        <f/>
        <v>0</v>
      </c>
      <c r="GE19">
        <f/>
        <v>0</v>
      </c>
      <c r="GF19">
        <f/>
        <v>0</v>
      </c>
      <c r="GG19">
        <f/>
        <v>0</v>
      </c>
      <c r="GH19">
        <f/>
        <v>0</v>
      </c>
      <c r="GI19">
        <f/>
        <v>0</v>
      </c>
      <c r="GJ19">
        <f/>
        <v>0</v>
      </c>
      <c r="GK19">
        <f/>
        <v>0</v>
      </c>
      <c r="GL19">
        <f/>
        <v>0</v>
      </c>
      <c r="GM19">
        <f/>
        <v>0</v>
      </c>
      <c r="GN19">
        <f/>
        <v>0</v>
      </c>
      <c r="GO19">
        <f/>
        <v>0</v>
      </c>
      <c r="GP19">
        <f/>
        <v>0</v>
      </c>
      <c r="GQ19">
        <f/>
        <v>0</v>
      </c>
      <c r="GR19">
        <f/>
        <v>0</v>
      </c>
      <c r="GS19">
        <f/>
        <v>0</v>
      </c>
      <c r="GT19">
        <f/>
        <v>0</v>
      </c>
      <c r="GU19">
        <f/>
        <v>0</v>
      </c>
      <c r="GV19">
        <f/>
        <v>0</v>
      </c>
      <c r="GW19">
        <f/>
        <v>0</v>
      </c>
      <c r="GX19">
        <f/>
        <v>0</v>
      </c>
      <c r="GY19">
        <f/>
        <v>0</v>
      </c>
      <c r="GZ19">
        <f/>
        <v>0</v>
      </c>
      <c r="HA19">
        <f/>
        <v>0</v>
      </c>
      <c r="HB19">
        <f/>
        <v>0</v>
      </c>
      <c r="HC19">
        <f/>
        <v>0</v>
      </c>
      <c r="HD19">
        <f/>
        <v>0</v>
      </c>
      <c r="HE19">
        <f/>
        <v>0</v>
      </c>
      <c r="HF19">
        <f/>
        <v>0</v>
      </c>
      <c r="HG19">
        <f/>
        <v>0</v>
      </c>
      <c r="HH19">
        <f/>
        <v>0</v>
      </c>
      <c r="HI19">
        <f/>
        <v>0</v>
      </c>
      <c r="HJ19">
        <f/>
        <v>0</v>
      </c>
      <c r="HK19">
        <f/>
        <v>0</v>
      </c>
      <c r="HL19">
        <f/>
        <v>0</v>
      </c>
      <c r="HM19">
        <f/>
        <v>0</v>
      </c>
      <c r="HN19">
        <f/>
        <v>0</v>
      </c>
      <c r="HO19">
        <f/>
        <v>0</v>
      </c>
      <c r="HP19">
        <f/>
        <v>0</v>
      </c>
      <c r="HQ19">
        <f/>
        <v>0</v>
      </c>
      <c r="HR19">
        <f/>
        <v>0</v>
      </c>
      <c r="HS19">
        <f/>
        <v>0</v>
      </c>
      <c r="HT19">
        <f/>
        <v>0</v>
      </c>
      <c r="HU19">
        <f/>
        <v>0</v>
      </c>
      <c r="HV19">
        <f/>
        <v>0</v>
      </c>
      <c r="HW19">
        <f/>
        <v>0</v>
      </c>
      <c r="HX19">
        <f/>
        <v>0</v>
      </c>
      <c r="HY19">
        <f/>
        <v>0</v>
      </c>
      <c r="HZ19">
        <f/>
        <v>0</v>
      </c>
      <c r="IA19">
        <f/>
        <v>0</v>
      </c>
      <c r="IB19">
        <f/>
        <v>0</v>
      </c>
      <c r="IC19">
        <f/>
        <v>0</v>
      </c>
      <c r="ID19">
        <f/>
        <v>0</v>
      </c>
      <c r="IE19">
        <f/>
        <v>0</v>
      </c>
      <c r="IF19">
        <f/>
        <v>0</v>
      </c>
      <c r="IG19">
        <f/>
        <v>0</v>
      </c>
      <c r="IH19">
        <f/>
        <v>0</v>
      </c>
      <c r="II19">
        <f/>
        <v>0</v>
      </c>
      <c r="IJ19">
        <f/>
        <v>0</v>
      </c>
      <c r="IK19">
        <f/>
        <v>0</v>
      </c>
      <c r="IL19">
        <f/>
        <v>0</v>
      </c>
      <c r="IM19">
        <f/>
        <v>0</v>
      </c>
      <c r="IN19">
        <f/>
        <v>0</v>
      </c>
      <c r="IO19">
        <f/>
        <v>0</v>
      </c>
      <c r="IP19">
        <f/>
        <v>0</v>
      </c>
      <c r="IQ19">
        <f/>
        <v>0</v>
      </c>
      <c r="IR19">
        <f/>
        <v>0</v>
      </c>
      <c r="IS19">
        <f/>
        <v>0</v>
      </c>
      <c r="IT19">
        <f/>
        <v>0</v>
      </c>
      <c r="IU19">
        <f/>
        <v>0</v>
      </c>
      <c r="IV19">
        <f/>
        <v>0</v>
      </c>
      <c r="IW19">
        <f/>
        <v>0</v>
      </c>
      <c r="IX19">
        <f/>
        <v>0</v>
      </c>
      <c r="IY19">
        <f/>
        <v>0</v>
      </c>
      <c r="IZ19">
        <f/>
        <v>0</v>
      </c>
      <c r="JA19">
        <f/>
        <v>0</v>
      </c>
      <c r="JB19">
        <f/>
        <v>0</v>
      </c>
      <c r="JC19">
        <f/>
        <v>0</v>
      </c>
      <c r="JD19">
        <f/>
        <v>0</v>
      </c>
      <c r="JE19">
        <f/>
        <v>0</v>
      </c>
      <c r="JF19">
        <f/>
        <v>0</v>
      </c>
      <c r="JG19">
        <f/>
        <v>0</v>
      </c>
      <c r="JH19">
        <f/>
        <v>0</v>
      </c>
      <c r="JI19">
        <f/>
        <v>0</v>
      </c>
      <c r="JJ19">
        <f/>
        <v>0</v>
      </c>
      <c r="JK19">
        <f/>
        <v>0</v>
      </c>
      <c r="JL19">
        <f/>
        <v>0</v>
      </c>
      <c r="JM19">
        <f/>
        <v>0</v>
      </c>
      <c r="JN19">
        <f/>
        <v>0</v>
      </c>
      <c r="JO19">
        <f/>
        <v>0</v>
      </c>
      <c r="JP19">
        <f/>
        <v>0</v>
      </c>
      <c r="JQ19">
        <f/>
        <v>0</v>
      </c>
      <c r="JR19">
        <f/>
        <v>0</v>
      </c>
      <c r="JS19">
        <f/>
        <v>0</v>
      </c>
      <c r="JT19">
        <f/>
        <v>0</v>
      </c>
      <c r="JU19">
        <f/>
        <v>0</v>
      </c>
      <c r="JV19">
        <f/>
        <v>0</v>
      </c>
      <c r="JW19">
        <f/>
        <v>0</v>
      </c>
      <c r="JX19">
        <f/>
        <v>0</v>
      </c>
      <c r="JY19">
        <f/>
        <v>0</v>
      </c>
      <c r="JZ19">
        <f/>
        <v>0</v>
      </c>
      <c r="KA19">
        <f/>
        <v>0</v>
      </c>
      <c r="KB19">
        <f/>
        <v>0</v>
      </c>
      <c r="KC19">
        <f/>
        <v>0</v>
      </c>
      <c r="KD19">
        <f/>
        <v>0</v>
      </c>
      <c r="KE19">
        <f/>
        <v>0</v>
      </c>
      <c r="KF19">
        <f/>
        <v>0</v>
      </c>
      <c r="KG19">
        <f/>
        <v>0</v>
      </c>
      <c r="KH19">
        <f/>
        <v>0</v>
      </c>
      <c r="KI19">
        <f/>
        <v>0</v>
      </c>
      <c r="KJ19">
        <f/>
        <v>0</v>
      </c>
      <c r="KK19">
        <f/>
        <v>0</v>
      </c>
      <c r="KL19">
        <f/>
        <v>0</v>
      </c>
      <c r="KM19">
        <f/>
        <v>0</v>
      </c>
      <c r="KN19">
        <f/>
        <v>0</v>
      </c>
      <c r="KO19">
        <f/>
        <v>0</v>
      </c>
      <c r="KP19">
        <f/>
        <v>0</v>
      </c>
      <c r="KQ19">
        <f/>
        <v>0</v>
      </c>
      <c r="KR19">
        <f/>
        <v>0</v>
      </c>
      <c r="KS19">
        <f/>
        <v>0</v>
      </c>
      <c r="KT19">
        <f/>
        <v>0</v>
      </c>
      <c r="KU19">
        <f/>
        <v>0</v>
      </c>
      <c r="KV19">
        <f/>
        <v>0</v>
      </c>
      <c r="KW19">
        <f/>
        <v>0</v>
      </c>
      <c r="KX19">
        <f/>
        <v>0</v>
      </c>
      <c r="KY19">
        <f/>
        <v>0</v>
      </c>
      <c r="KZ19">
        <f/>
        <v>0</v>
      </c>
      <c r="LA19">
        <f/>
        <v>0</v>
      </c>
      <c r="LB19">
        <f/>
        <v>0</v>
      </c>
      <c r="LC19">
        <f/>
        <v>0</v>
      </c>
      <c r="LD19">
        <f/>
        <v>0</v>
      </c>
      <c r="LE19">
        <f/>
        <v>0</v>
      </c>
      <c r="LF19">
        <f/>
        <v>0</v>
      </c>
      <c r="LG19">
        <f/>
        <v>0</v>
      </c>
      <c r="LH19">
        <f/>
        <v>0</v>
      </c>
      <c r="LI19">
        <f/>
        <v>0</v>
      </c>
      <c r="LJ19">
        <f/>
        <v>0</v>
      </c>
      <c r="LK19">
        <f/>
        <v>0</v>
      </c>
      <c r="LL19">
        <f/>
        <v>0</v>
      </c>
      <c r="LM19">
        <f/>
        <v>0</v>
      </c>
      <c r="LN19">
        <f/>
        <v>0</v>
      </c>
      <c r="LO19">
        <f/>
        <v>0</v>
      </c>
      <c r="LP19">
        <f/>
        <v>0</v>
      </c>
      <c r="LQ19">
        <f/>
        <v>0</v>
      </c>
      <c r="LR19">
        <f/>
        <v>0</v>
      </c>
      <c r="LS19">
        <f/>
        <v>0</v>
      </c>
      <c r="LT19">
        <f/>
        <v>0</v>
      </c>
      <c r="LU19">
        <f/>
        <v>0</v>
      </c>
      <c r="LV19">
        <f/>
        <v>0</v>
      </c>
      <c r="LW19">
        <f/>
        <v>0</v>
      </c>
      <c r="LX19">
        <f/>
        <v>0</v>
      </c>
      <c r="LY19">
        <f/>
        <v>0</v>
      </c>
      <c r="LZ19">
        <f/>
        <v>0</v>
      </c>
      <c r="MA19">
        <f/>
        <v>0</v>
      </c>
      <c r="MB19">
        <f/>
        <v>0</v>
      </c>
      <c r="MC19">
        <f/>
        <v>0</v>
      </c>
      <c r="MD19">
        <f/>
        <v>0</v>
      </c>
      <c r="ME19">
        <f/>
        <v>0</v>
      </c>
      <c r="MF19">
        <f/>
        <v>0</v>
      </c>
      <c r="MG19">
        <f/>
        <v>0</v>
      </c>
      <c r="MH19">
        <f/>
        <v>0</v>
      </c>
      <c r="MI19">
        <f/>
        <v>0</v>
      </c>
      <c r="MJ19">
        <f/>
        <v>0</v>
      </c>
      <c r="MK19">
        <f/>
        <v>0</v>
      </c>
      <c r="ML19">
        <f/>
        <v>0</v>
      </c>
      <c r="MM19">
        <f/>
        <v>0</v>
      </c>
      <c r="MN19">
        <f/>
        <v>0</v>
      </c>
      <c r="MO19">
        <f/>
        <v>0</v>
      </c>
      <c r="MP19">
        <f/>
        <v>0</v>
      </c>
      <c r="MQ19">
        <f/>
        <v>0</v>
      </c>
      <c r="MR19">
        <f/>
        <v>0</v>
      </c>
      <c r="MS19">
        <f/>
        <v>0</v>
      </c>
      <c r="MT19">
        <f/>
        <v>0</v>
      </c>
      <c r="MU19">
        <f/>
        <v>0</v>
      </c>
      <c r="MV19">
        <f/>
        <v>0</v>
      </c>
      <c r="MW19">
        <f/>
        <v>0</v>
      </c>
      <c r="MX19">
        <f/>
        <v>0</v>
      </c>
      <c r="MY19">
        <f/>
        <v>0</v>
      </c>
      <c r="MZ19">
        <f/>
        <v>0</v>
      </c>
      <c r="NA19">
        <f/>
        <v>0</v>
      </c>
      <c r="NB19">
        <f/>
        <v>0</v>
      </c>
      <c r="NC19">
        <f/>
        <v>0</v>
      </c>
    </row>
    <row r="20" spans="1:367" x14ac:dyDescent="0.25">
      <c r="A20" s="141">
        <v>46070</v>
      </c>
      <c r="B20" s="162" cm="1">
        <f t="array" ref="B20">nabla.f.TimelineOffsetλ(A20,_xlfn.ANCHORARRAY( $C$18))</f>
        <v>4</v>
      </c>
      <c r="C20" cm="1">
        <f t="array" ref="C20:NC20">N(_xlfn.ANCHORARRAY($C$18)=INDEX(_xlfn.ANCHORARRAY($C$18),B20+1))</f>
        <v>0</v>
      </c>
      <c r="D20">
        <f/>
        <v>0</v>
      </c>
      <c r="E20">
        <f/>
        <v>0</v>
      </c>
      <c r="F20">
        <f/>
        <v>0</v>
      </c>
      <c r="G20">
        <f/>
        <v>1</v>
      </c>
      <c r="H20">
        <f/>
        <v>0</v>
      </c>
      <c r="I20">
        <f/>
        <v>0</v>
      </c>
      <c r="J20">
        <f/>
        <v>0</v>
      </c>
      <c r="K20">
        <f/>
        <v>0</v>
      </c>
      <c r="L20">
        <f/>
        <v>0</v>
      </c>
      <c r="M20">
        <f/>
        <v>0</v>
      </c>
      <c r="N20">
        <f/>
        <v>0</v>
      </c>
      <c r="O20">
        <f/>
        <v>0</v>
      </c>
      <c r="P20">
        <f/>
        <v>0</v>
      </c>
      <c r="Q20">
        <f/>
        <v>0</v>
      </c>
      <c r="R20">
        <f/>
        <v>0</v>
      </c>
      <c r="S20">
        <f/>
        <v>0</v>
      </c>
      <c r="T20">
        <f/>
        <v>0</v>
      </c>
      <c r="U20">
        <f/>
        <v>0</v>
      </c>
      <c r="V20">
        <f/>
        <v>0</v>
      </c>
      <c r="W20">
        <f/>
        <v>0</v>
      </c>
      <c r="X20">
        <f/>
        <v>0</v>
      </c>
      <c r="Y20">
        <f/>
        <v>0</v>
      </c>
      <c r="Z20">
        <f/>
        <v>0</v>
      </c>
      <c r="AA20">
        <f/>
        <v>0</v>
      </c>
      <c r="AB20">
        <f/>
        <v>0</v>
      </c>
      <c r="AC20">
        <f/>
        <v>0</v>
      </c>
      <c r="AD20">
        <f/>
        <v>0</v>
      </c>
      <c r="AE20">
        <f/>
        <v>0</v>
      </c>
      <c r="AF20">
        <f/>
        <v>0</v>
      </c>
      <c r="AG20">
        <f/>
        <v>0</v>
      </c>
      <c r="AH20">
        <f/>
        <v>0</v>
      </c>
      <c r="AI20">
        <f/>
        <v>0</v>
      </c>
      <c r="AJ20">
        <f/>
        <v>0</v>
      </c>
      <c r="AK20">
        <f/>
        <v>0</v>
      </c>
      <c r="AL20">
        <f/>
        <v>0</v>
      </c>
      <c r="AM20">
        <f/>
        <v>0</v>
      </c>
      <c r="AN20">
        <f/>
        <v>0</v>
      </c>
      <c r="AO20">
        <f/>
        <v>0</v>
      </c>
      <c r="AP20">
        <f/>
        <v>0</v>
      </c>
      <c r="AQ20">
        <f/>
        <v>0</v>
      </c>
      <c r="AR20">
        <f/>
        <v>0</v>
      </c>
      <c r="AS20">
        <f/>
        <v>0</v>
      </c>
      <c r="AT20">
        <f/>
        <v>0</v>
      </c>
      <c r="AU20">
        <f/>
        <v>0</v>
      </c>
      <c r="AV20">
        <f/>
        <v>0</v>
      </c>
      <c r="AW20">
        <f/>
        <v>0</v>
      </c>
      <c r="AX20">
        <f/>
        <v>0</v>
      </c>
      <c r="AY20">
        <f/>
        <v>0</v>
      </c>
      <c r="AZ20">
        <f/>
        <v>0</v>
      </c>
      <c r="BA20">
        <f/>
        <v>0</v>
      </c>
      <c r="BB20">
        <f/>
        <v>0</v>
      </c>
      <c r="BC20">
        <f/>
        <v>0</v>
      </c>
      <c r="BD20">
        <f/>
        <v>0</v>
      </c>
      <c r="BE20">
        <f/>
        <v>0</v>
      </c>
      <c r="BF20">
        <f/>
        <v>0</v>
      </c>
      <c r="BG20">
        <f/>
        <v>0</v>
      </c>
      <c r="BH20">
        <f/>
        <v>0</v>
      </c>
      <c r="BI20">
        <f/>
        <v>0</v>
      </c>
      <c r="BJ20">
        <f/>
        <v>0</v>
      </c>
      <c r="BK20">
        <f/>
        <v>0</v>
      </c>
      <c r="BL20">
        <f/>
        <v>0</v>
      </c>
      <c r="BM20">
        <f/>
        <v>0</v>
      </c>
      <c r="BN20">
        <f/>
        <v>0</v>
      </c>
      <c r="BO20">
        <f/>
        <v>0</v>
      </c>
      <c r="BP20">
        <f/>
        <v>0</v>
      </c>
      <c r="BQ20">
        <f/>
        <v>0</v>
      </c>
      <c r="BR20">
        <f/>
        <v>0</v>
      </c>
      <c r="BS20">
        <f/>
        <v>0</v>
      </c>
      <c r="BT20">
        <f/>
        <v>0</v>
      </c>
      <c r="BU20">
        <f/>
        <v>0</v>
      </c>
      <c r="BV20">
        <f/>
        <v>0</v>
      </c>
      <c r="BW20">
        <f/>
        <v>0</v>
      </c>
      <c r="BX20">
        <f/>
        <v>0</v>
      </c>
      <c r="BY20">
        <f/>
        <v>0</v>
      </c>
      <c r="BZ20">
        <f/>
        <v>0</v>
      </c>
      <c r="CA20">
        <f/>
        <v>0</v>
      </c>
      <c r="CB20">
        <f/>
        <v>0</v>
      </c>
      <c r="CC20">
        <f/>
        <v>0</v>
      </c>
      <c r="CD20">
        <f/>
        <v>0</v>
      </c>
      <c r="CE20">
        <f/>
        <v>0</v>
      </c>
      <c r="CF20">
        <f/>
        <v>0</v>
      </c>
      <c r="CG20">
        <f/>
        <v>0</v>
      </c>
      <c r="CH20">
        <f/>
        <v>0</v>
      </c>
      <c r="CI20">
        <f/>
        <v>0</v>
      </c>
      <c r="CJ20">
        <f/>
        <v>0</v>
      </c>
      <c r="CK20">
        <f/>
        <v>0</v>
      </c>
      <c r="CL20">
        <f/>
        <v>0</v>
      </c>
      <c r="CM20">
        <f/>
        <v>0</v>
      </c>
      <c r="CN20">
        <f/>
        <v>0</v>
      </c>
      <c r="CO20">
        <f/>
        <v>0</v>
      </c>
      <c r="CP20">
        <f/>
        <v>0</v>
      </c>
      <c r="CQ20">
        <f/>
        <v>0</v>
      </c>
      <c r="CR20">
        <f/>
        <v>0</v>
      </c>
      <c r="CS20">
        <f/>
        <v>0</v>
      </c>
      <c r="CT20">
        <f/>
        <v>0</v>
      </c>
      <c r="CU20">
        <f/>
        <v>0</v>
      </c>
      <c r="CV20">
        <f/>
        <v>0</v>
      </c>
      <c r="CW20">
        <f/>
        <v>0</v>
      </c>
      <c r="CX20">
        <f/>
        <v>0</v>
      </c>
      <c r="CY20">
        <f/>
        <v>0</v>
      </c>
      <c r="CZ20">
        <f/>
        <v>0</v>
      </c>
      <c r="DA20">
        <f/>
        <v>0</v>
      </c>
      <c r="DB20">
        <f/>
        <v>0</v>
      </c>
      <c r="DC20">
        <f/>
        <v>0</v>
      </c>
      <c r="DD20">
        <f/>
        <v>0</v>
      </c>
      <c r="DE20">
        <f/>
        <v>0</v>
      </c>
      <c r="DF20">
        <f/>
        <v>0</v>
      </c>
      <c r="DG20">
        <f/>
        <v>0</v>
      </c>
      <c r="DH20">
        <f/>
        <v>0</v>
      </c>
      <c r="DI20">
        <f/>
        <v>0</v>
      </c>
      <c r="DJ20">
        <f/>
        <v>0</v>
      </c>
      <c r="DK20">
        <f/>
        <v>0</v>
      </c>
      <c r="DL20">
        <f/>
        <v>0</v>
      </c>
      <c r="DM20">
        <f/>
        <v>0</v>
      </c>
      <c r="DN20">
        <f/>
        <v>0</v>
      </c>
      <c r="DO20">
        <f/>
        <v>0</v>
      </c>
      <c r="DP20">
        <f/>
        <v>0</v>
      </c>
      <c r="DQ20">
        <f/>
        <v>0</v>
      </c>
      <c r="DR20">
        <f/>
        <v>0</v>
      </c>
      <c r="DS20">
        <f/>
        <v>0</v>
      </c>
      <c r="DT20">
        <f/>
        <v>0</v>
      </c>
      <c r="DU20">
        <f/>
        <v>0</v>
      </c>
      <c r="DV20">
        <f/>
        <v>0</v>
      </c>
      <c r="DW20">
        <f/>
        <v>0</v>
      </c>
      <c r="DX20">
        <f/>
        <v>0</v>
      </c>
      <c r="DY20">
        <f/>
        <v>0</v>
      </c>
      <c r="DZ20">
        <f/>
        <v>0</v>
      </c>
      <c r="EA20">
        <f/>
        <v>0</v>
      </c>
      <c r="EB20">
        <f/>
        <v>0</v>
      </c>
      <c r="EC20">
        <f/>
        <v>0</v>
      </c>
      <c r="ED20">
        <f/>
        <v>0</v>
      </c>
      <c r="EE20">
        <f/>
        <v>0</v>
      </c>
      <c r="EF20">
        <f/>
        <v>0</v>
      </c>
      <c r="EG20">
        <f/>
        <v>0</v>
      </c>
      <c r="EH20">
        <f/>
        <v>0</v>
      </c>
      <c r="EI20">
        <f/>
        <v>0</v>
      </c>
      <c r="EJ20">
        <f/>
        <v>0</v>
      </c>
      <c r="EK20">
        <f/>
        <v>0</v>
      </c>
      <c r="EL20">
        <f/>
        <v>0</v>
      </c>
      <c r="EM20">
        <f/>
        <v>0</v>
      </c>
      <c r="EN20">
        <f/>
        <v>0</v>
      </c>
      <c r="EO20">
        <f/>
        <v>0</v>
      </c>
      <c r="EP20">
        <f/>
        <v>0</v>
      </c>
      <c r="EQ20">
        <f/>
        <v>0</v>
      </c>
      <c r="ER20">
        <f/>
        <v>0</v>
      </c>
      <c r="ES20">
        <f/>
        <v>0</v>
      </c>
      <c r="ET20">
        <f/>
        <v>0</v>
      </c>
      <c r="EU20">
        <f/>
        <v>0</v>
      </c>
      <c r="EV20">
        <f/>
        <v>0</v>
      </c>
      <c r="EW20">
        <f/>
        <v>0</v>
      </c>
      <c r="EX20">
        <f/>
        <v>0</v>
      </c>
      <c r="EY20">
        <f/>
        <v>0</v>
      </c>
      <c r="EZ20">
        <f/>
        <v>0</v>
      </c>
      <c r="FA20">
        <f/>
        <v>0</v>
      </c>
      <c r="FB20">
        <f/>
        <v>0</v>
      </c>
      <c r="FC20">
        <f/>
        <v>0</v>
      </c>
      <c r="FD20">
        <f/>
        <v>0</v>
      </c>
      <c r="FE20">
        <f/>
        <v>0</v>
      </c>
      <c r="FF20">
        <f/>
        <v>0</v>
      </c>
      <c r="FG20">
        <f/>
        <v>0</v>
      </c>
      <c r="FH20">
        <f/>
        <v>0</v>
      </c>
      <c r="FI20">
        <f/>
        <v>0</v>
      </c>
      <c r="FJ20">
        <f/>
        <v>0</v>
      </c>
      <c r="FK20">
        <f/>
        <v>0</v>
      </c>
      <c r="FL20">
        <f/>
        <v>0</v>
      </c>
      <c r="FM20">
        <f/>
        <v>0</v>
      </c>
      <c r="FN20">
        <f/>
        <v>0</v>
      </c>
      <c r="FO20">
        <f/>
        <v>0</v>
      </c>
      <c r="FP20">
        <f/>
        <v>0</v>
      </c>
      <c r="FQ20">
        <f/>
        <v>0</v>
      </c>
      <c r="FR20">
        <f/>
        <v>0</v>
      </c>
      <c r="FS20">
        <f/>
        <v>0</v>
      </c>
      <c r="FT20">
        <f/>
        <v>0</v>
      </c>
      <c r="FU20">
        <f/>
        <v>0</v>
      </c>
      <c r="FV20">
        <f/>
        <v>0</v>
      </c>
      <c r="FW20">
        <f/>
        <v>0</v>
      </c>
      <c r="FX20">
        <f/>
        <v>0</v>
      </c>
      <c r="FY20">
        <f/>
        <v>0</v>
      </c>
      <c r="FZ20">
        <f/>
        <v>0</v>
      </c>
      <c r="GA20">
        <f/>
        <v>0</v>
      </c>
      <c r="GB20">
        <f/>
        <v>0</v>
      </c>
      <c r="GC20">
        <f/>
        <v>0</v>
      </c>
      <c r="GD20">
        <f/>
        <v>0</v>
      </c>
      <c r="GE20">
        <f/>
        <v>0</v>
      </c>
      <c r="GF20">
        <f/>
        <v>0</v>
      </c>
      <c r="GG20">
        <f/>
        <v>0</v>
      </c>
      <c r="GH20">
        <f/>
        <v>0</v>
      </c>
      <c r="GI20">
        <f/>
        <v>0</v>
      </c>
      <c r="GJ20">
        <f/>
        <v>0</v>
      </c>
      <c r="GK20">
        <f/>
        <v>0</v>
      </c>
      <c r="GL20">
        <f/>
        <v>0</v>
      </c>
      <c r="GM20">
        <f/>
        <v>0</v>
      </c>
      <c r="GN20">
        <f/>
        <v>0</v>
      </c>
      <c r="GO20">
        <f/>
        <v>0</v>
      </c>
      <c r="GP20">
        <f/>
        <v>0</v>
      </c>
      <c r="GQ20">
        <f/>
        <v>0</v>
      </c>
      <c r="GR20">
        <f/>
        <v>0</v>
      </c>
      <c r="GS20">
        <f/>
        <v>0</v>
      </c>
      <c r="GT20">
        <f/>
        <v>0</v>
      </c>
      <c r="GU20">
        <f/>
        <v>0</v>
      </c>
      <c r="GV20">
        <f/>
        <v>0</v>
      </c>
      <c r="GW20">
        <f/>
        <v>0</v>
      </c>
      <c r="GX20">
        <f/>
        <v>0</v>
      </c>
      <c r="GY20">
        <f/>
        <v>0</v>
      </c>
      <c r="GZ20">
        <f/>
        <v>0</v>
      </c>
      <c r="HA20">
        <f/>
        <v>0</v>
      </c>
      <c r="HB20">
        <f/>
        <v>0</v>
      </c>
      <c r="HC20">
        <f/>
        <v>0</v>
      </c>
      <c r="HD20">
        <f/>
        <v>0</v>
      </c>
      <c r="HE20">
        <f/>
        <v>0</v>
      </c>
      <c r="HF20">
        <f/>
        <v>0</v>
      </c>
      <c r="HG20">
        <f/>
        <v>0</v>
      </c>
      <c r="HH20">
        <f/>
        <v>0</v>
      </c>
      <c r="HI20">
        <f/>
        <v>0</v>
      </c>
      <c r="HJ20">
        <f/>
        <v>0</v>
      </c>
      <c r="HK20">
        <f/>
        <v>0</v>
      </c>
      <c r="HL20">
        <f/>
        <v>0</v>
      </c>
      <c r="HM20">
        <f/>
        <v>0</v>
      </c>
      <c r="HN20">
        <f/>
        <v>0</v>
      </c>
      <c r="HO20">
        <f/>
        <v>0</v>
      </c>
      <c r="HP20">
        <f/>
        <v>0</v>
      </c>
      <c r="HQ20">
        <f/>
        <v>0</v>
      </c>
      <c r="HR20">
        <f/>
        <v>0</v>
      </c>
      <c r="HS20">
        <f/>
        <v>0</v>
      </c>
      <c r="HT20">
        <f/>
        <v>0</v>
      </c>
      <c r="HU20">
        <f/>
        <v>0</v>
      </c>
      <c r="HV20">
        <f/>
        <v>0</v>
      </c>
      <c r="HW20">
        <f/>
        <v>0</v>
      </c>
      <c r="HX20">
        <f/>
        <v>0</v>
      </c>
      <c r="HY20">
        <f/>
        <v>0</v>
      </c>
      <c r="HZ20">
        <f/>
        <v>0</v>
      </c>
      <c r="IA20">
        <f/>
        <v>0</v>
      </c>
      <c r="IB20">
        <f/>
        <v>0</v>
      </c>
      <c r="IC20">
        <f/>
        <v>0</v>
      </c>
      <c r="ID20">
        <f/>
        <v>0</v>
      </c>
      <c r="IE20">
        <f/>
        <v>0</v>
      </c>
      <c r="IF20">
        <f/>
        <v>0</v>
      </c>
      <c r="IG20">
        <f/>
        <v>0</v>
      </c>
      <c r="IH20">
        <f/>
        <v>0</v>
      </c>
      <c r="II20">
        <f/>
        <v>0</v>
      </c>
      <c r="IJ20">
        <f/>
        <v>0</v>
      </c>
      <c r="IK20">
        <f/>
        <v>0</v>
      </c>
      <c r="IL20">
        <f/>
        <v>0</v>
      </c>
      <c r="IM20">
        <f/>
        <v>0</v>
      </c>
      <c r="IN20">
        <f/>
        <v>0</v>
      </c>
      <c r="IO20">
        <f/>
        <v>0</v>
      </c>
      <c r="IP20">
        <f/>
        <v>0</v>
      </c>
      <c r="IQ20">
        <f/>
        <v>0</v>
      </c>
      <c r="IR20">
        <f/>
        <v>0</v>
      </c>
      <c r="IS20">
        <f/>
        <v>0</v>
      </c>
      <c r="IT20">
        <f/>
        <v>0</v>
      </c>
      <c r="IU20">
        <f/>
        <v>0</v>
      </c>
      <c r="IV20">
        <f/>
        <v>0</v>
      </c>
      <c r="IW20">
        <f/>
        <v>0</v>
      </c>
      <c r="IX20">
        <f/>
        <v>0</v>
      </c>
      <c r="IY20">
        <f/>
        <v>0</v>
      </c>
      <c r="IZ20">
        <f/>
        <v>0</v>
      </c>
      <c r="JA20">
        <f/>
        <v>0</v>
      </c>
      <c r="JB20">
        <f/>
        <v>0</v>
      </c>
      <c r="JC20">
        <f/>
        <v>0</v>
      </c>
      <c r="JD20">
        <f/>
        <v>0</v>
      </c>
      <c r="JE20">
        <f/>
        <v>0</v>
      </c>
      <c r="JF20">
        <f/>
        <v>0</v>
      </c>
      <c r="JG20">
        <f/>
        <v>0</v>
      </c>
      <c r="JH20">
        <f/>
        <v>0</v>
      </c>
      <c r="JI20">
        <f/>
        <v>0</v>
      </c>
      <c r="JJ20">
        <f/>
        <v>0</v>
      </c>
      <c r="JK20">
        <f/>
        <v>0</v>
      </c>
      <c r="JL20">
        <f/>
        <v>0</v>
      </c>
      <c r="JM20">
        <f/>
        <v>0</v>
      </c>
      <c r="JN20">
        <f/>
        <v>0</v>
      </c>
      <c r="JO20">
        <f/>
        <v>0</v>
      </c>
      <c r="JP20">
        <f/>
        <v>0</v>
      </c>
      <c r="JQ20">
        <f/>
        <v>0</v>
      </c>
      <c r="JR20">
        <f/>
        <v>0</v>
      </c>
      <c r="JS20">
        <f/>
        <v>0</v>
      </c>
      <c r="JT20">
        <f/>
        <v>0</v>
      </c>
      <c r="JU20">
        <f/>
        <v>0</v>
      </c>
      <c r="JV20">
        <f/>
        <v>0</v>
      </c>
      <c r="JW20">
        <f/>
        <v>0</v>
      </c>
      <c r="JX20">
        <f/>
        <v>0</v>
      </c>
      <c r="JY20">
        <f/>
        <v>0</v>
      </c>
      <c r="JZ20">
        <f/>
        <v>0</v>
      </c>
      <c r="KA20">
        <f/>
        <v>0</v>
      </c>
      <c r="KB20">
        <f/>
        <v>0</v>
      </c>
      <c r="KC20">
        <f/>
        <v>0</v>
      </c>
      <c r="KD20">
        <f/>
        <v>0</v>
      </c>
      <c r="KE20">
        <f/>
        <v>0</v>
      </c>
      <c r="KF20">
        <f/>
        <v>0</v>
      </c>
      <c r="KG20">
        <f/>
        <v>0</v>
      </c>
      <c r="KH20">
        <f/>
        <v>0</v>
      </c>
      <c r="KI20">
        <f/>
        <v>0</v>
      </c>
      <c r="KJ20">
        <f/>
        <v>0</v>
      </c>
      <c r="KK20">
        <f/>
        <v>0</v>
      </c>
      <c r="KL20">
        <f/>
        <v>0</v>
      </c>
      <c r="KM20">
        <f/>
        <v>0</v>
      </c>
      <c r="KN20">
        <f/>
        <v>0</v>
      </c>
      <c r="KO20">
        <f/>
        <v>0</v>
      </c>
      <c r="KP20">
        <f/>
        <v>0</v>
      </c>
      <c r="KQ20">
        <f/>
        <v>0</v>
      </c>
      <c r="KR20">
        <f/>
        <v>0</v>
      </c>
      <c r="KS20">
        <f/>
        <v>0</v>
      </c>
      <c r="KT20">
        <f/>
        <v>0</v>
      </c>
      <c r="KU20">
        <f/>
        <v>0</v>
      </c>
      <c r="KV20">
        <f/>
        <v>0</v>
      </c>
      <c r="KW20">
        <f/>
        <v>0</v>
      </c>
      <c r="KX20">
        <f/>
        <v>0</v>
      </c>
      <c r="KY20">
        <f/>
        <v>0</v>
      </c>
      <c r="KZ20">
        <f/>
        <v>0</v>
      </c>
      <c r="LA20">
        <f/>
        <v>0</v>
      </c>
      <c r="LB20">
        <f/>
        <v>0</v>
      </c>
      <c r="LC20">
        <f/>
        <v>0</v>
      </c>
      <c r="LD20">
        <f/>
        <v>0</v>
      </c>
      <c r="LE20">
        <f/>
        <v>0</v>
      </c>
      <c r="LF20">
        <f/>
        <v>0</v>
      </c>
      <c r="LG20">
        <f/>
        <v>0</v>
      </c>
      <c r="LH20">
        <f/>
        <v>0</v>
      </c>
      <c r="LI20">
        <f/>
        <v>0</v>
      </c>
      <c r="LJ20">
        <f/>
        <v>0</v>
      </c>
      <c r="LK20">
        <f/>
        <v>0</v>
      </c>
      <c r="LL20">
        <f/>
        <v>0</v>
      </c>
      <c r="LM20">
        <f/>
        <v>0</v>
      </c>
      <c r="LN20">
        <f/>
        <v>0</v>
      </c>
      <c r="LO20">
        <f/>
        <v>0</v>
      </c>
      <c r="LP20">
        <f/>
        <v>0</v>
      </c>
      <c r="LQ20">
        <f/>
        <v>0</v>
      </c>
      <c r="LR20">
        <f/>
        <v>0</v>
      </c>
      <c r="LS20">
        <f/>
        <v>0</v>
      </c>
      <c r="LT20">
        <f/>
        <v>0</v>
      </c>
      <c r="LU20">
        <f/>
        <v>0</v>
      </c>
      <c r="LV20">
        <f/>
        <v>0</v>
      </c>
      <c r="LW20">
        <f/>
        <v>0</v>
      </c>
      <c r="LX20">
        <f/>
        <v>0</v>
      </c>
      <c r="LY20">
        <f/>
        <v>0</v>
      </c>
      <c r="LZ20">
        <f/>
        <v>0</v>
      </c>
      <c r="MA20">
        <f/>
        <v>0</v>
      </c>
      <c r="MB20">
        <f/>
        <v>0</v>
      </c>
      <c r="MC20">
        <f/>
        <v>0</v>
      </c>
      <c r="MD20">
        <f/>
        <v>0</v>
      </c>
      <c r="ME20">
        <f/>
        <v>0</v>
      </c>
      <c r="MF20">
        <f/>
        <v>0</v>
      </c>
      <c r="MG20">
        <f/>
        <v>0</v>
      </c>
      <c r="MH20">
        <f/>
        <v>0</v>
      </c>
      <c r="MI20">
        <f/>
        <v>0</v>
      </c>
      <c r="MJ20">
        <f/>
        <v>0</v>
      </c>
      <c r="MK20">
        <f/>
        <v>0</v>
      </c>
      <c r="ML20">
        <f/>
        <v>0</v>
      </c>
      <c r="MM20">
        <f/>
        <v>0</v>
      </c>
      <c r="MN20">
        <f/>
        <v>0</v>
      </c>
      <c r="MO20">
        <f/>
        <v>0</v>
      </c>
      <c r="MP20">
        <f/>
        <v>0</v>
      </c>
      <c r="MQ20">
        <f/>
        <v>0</v>
      </c>
      <c r="MR20">
        <f/>
        <v>0</v>
      </c>
      <c r="MS20">
        <f/>
        <v>0</v>
      </c>
      <c r="MT20">
        <f/>
        <v>0</v>
      </c>
      <c r="MU20">
        <f/>
        <v>0</v>
      </c>
      <c r="MV20">
        <f/>
        <v>0</v>
      </c>
      <c r="MW20">
        <f/>
        <v>0</v>
      </c>
      <c r="MX20">
        <f/>
        <v>0</v>
      </c>
      <c r="MY20">
        <f/>
        <v>0</v>
      </c>
      <c r="MZ20">
        <f/>
        <v>0</v>
      </c>
      <c r="NA20">
        <f/>
        <v>0</v>
      </c>
      <c r="NB20">
        <f/>
        <v>0</v>
      </c>
      <c r="NC20">
        <f/>
        <v>0</v>
      </c>
    </row>
    <row r="21" spans="1:367" x14ac:dyDescent="0.25">
      <c r="A21" s="141">
        <v>46117</v>
      </c>
      <c r="B21" s="162" cm="1">
        <f t="array" ref="B21">nabla.f.TimelineOffsetλ(A21,_xlfn.ANCHORARRAY( $C$18))</f>
        <v>10</v>
      </c>
      <c r="C21" cm="1">
        <f t="array" ref="C21:NC21">N(_xlfn.ANCHORARRAY($C$18)=INDEX(_xlfn.ANCHORARRAY($C$18),B21+1))</f>
        <v>0</v>
      </c>
      <c r="D21">
        <f/>
        <v>0</v>
      </c>
      <c r="E21">
        <f/>
        <v>0</v>
      </c>
      <c r="F21">
        <f/>
        <v>0</v>
      </c>
      <c r="G21">
        <f/>
        <v>0</v>
      </c>
      <c r="H21">
        <f/>
        <v>0</v>
      </c>
      <c r="I21">
        <f/>
        <v>0</v>
      </c>
      <c r="J21">
        <f/>
        <v>0</v>
      </c>
      <c r="K21">
        <f/>
        <v>0</v>
      </c>
      <c r="L21">
        <f/>
        <v>0</v>
      </c>
      <c r="M21">
        <f/>
        <v>1</v>
      </c>
      <c r="N21">
        <f/>
        <v>0</v>
      </c>
      <c r="O21">
        <f/>
        <v>0</v>
      </c>
      <c r="P21">
        <f/>
        <v>0</v>
      </c>
      <c r="Q21">
        <f/>
        <v>0</v>
      </c>
      <c r="R21">
        <f/>
        <v>0</v>
      </c>
      <c r="S21">
        <f/>
        <v>0</v>
      </c>
      <c r="T21">
        <f/>
        <v>0</v>
      </c>
      <c r="U21">
        <f/>
        <v>0</v>
      </c>
      <c r="V21">
        <f/>
        <v>0</v>
      </c>
      <c r="W21">
        <f/>
        <v>0</v>
      </c>
      <c r="X21">
        <f/>
        <v>0</v>
      </c>
      <c r="Y21">
        <f/>
        <v>0</v>
      </c>
      <c r="Z21">
        <f/>
        <v>0</v>
      </c>
      <c r="AA21">
        <f/>
        <v>0</v>
      </c>
      <c r="AB21">
        <f/>
        <v>0</v>
      </c>
      <c r="AC21">
        <f/>
        <v>0</v>
      </c>
      <c r="AD21">
        <f/>
        <v>0</v>
      </c>
      <c r="AE21">
        <f/>
        <v>0</v>
      </c>
      <c r="AF21">
        <f/>
        <v>0</v>
      </c>
      <c r="AG21">
        <f/>
        <v>0</v>
      </c>
      <c r="AH21">
        <f/>
        <v>0</v>
      </c>
      <c r="AI21">
        <f/>
        <v>0</v>
      </c>
      <c r="AJ21">
        <f/>
        <v>0</v>
      </c>
      <c r="AK21">
        <f/>
        <v>0</v>
      </c>
      <c r="AL21">
        <f/>
        <v>0</v>
      </c>
      <c r="AM21">
        <f/>
        <v>0</v>
      </c>
      <c r="AN21">
        <f/>
        <v>0</v>
      </c>
      <c r="AO21">
        <f/>
        <v>0</v>
      </c>
      <c r="AP21">
        <f/>
        <v>0</v>
      </c>
      <c r="AQ21">
        <f/>
        <v>0</v>
      </c>
      <c r="AR21">
        <f/>
        <v>0</v>
      </c>
      <c r="AS21">
        <f/>
        <v>0</v>
      </c>
      <c r="AT21">
        <f/>
        <v>0</v>
      </c>
      <c r="AU21">
        <f/>
        <v>0</v>
      </c>
      <c r="AV21">
        <f/>
        <v>0</v>
      </c>
      <c r="AW21">
        <f/>
        <v>0</v>
      </c>
      <c r="AX21">
        <f/>
        <v>0</v>
      </c>
      <c r="AY21">
        <f/>
        <v>0</v>
      </c>
      <c r="AZ21">
        <f/>
        <v>0</v>
      </c>
      <c r="BA21">
        <f/>
        <v>0</v>
      </c>
      <c r="BB21">
        <f/>
        <v>0</v>
      </c>
      <c r="BC21">
        <f/>
        <v>0</v>
      </c>
      <c r="BD21">
        <f/>
        <v>0</v>
      </c>
      <c r="BE21">
        <f/>
        <v>0</v>
      </c>
      <c r="BF21">
        <f/>
        <v>0</v>
      </c>
      <c r="BG21">
        <f/>
        <v>0</v>
      </c>
      <c r="BH21">
        <f/>
        <v>0</v>
      </c>
      <c r="BI21">
        <f/>
        <v>0</v>
      </c>
      <c r="BJ21">
        <f/>
        <v>0</v>
      </c>
      <c r="BK21">
        <f/>
        <v>0</v>
      </c>
      <c r="BL21">
        <f/>
        <v>0</v>
      </c>
      <c r="BM21">
        <f/>
        <v>0</v>
      </c>
      <c r="BN21">
        <f/>
        <v>0</v>
      </c>
      <c r="BO21">
        <f/>
        <v>0</v>
      </c>
      <c r="BP21">
        <f/>
        <v>0</v>
      </c>
      <c r="BQ21">
        <f/>
        <v>0</v>
      </c>
      <c r="BR21">
        <f/>
        <v>0</v>
      </c>
      <c r="BS21">
        <f/>
        <v>0</v>
      </c>
      <c r="BT21">
        <f/>
        <v>0</v>
      </c>
      <c r="BU21">
        <f/>
        <v>0</v>
      </c>
      <c r="BV21">
        <f/>
        <v>0</v>
      </c>
      <c r="BW21">
        <f/>
        <v>0</v>
      </c>
      <c r="BX21">
        <f/>
        <v>0</v>
      </c>
      <c r="BY21">
        <f/>
        <v>0</v>
      </c>
      <c r="BZ21">
        <f/>
        <v>0</v>
      </c>
      <c r="CA21">
        <f/>
        <v>0</v>
      </c>
      <c r="CB21">
        <f/>
        <v>0</v>
      </c>
      <c r="CC21">
        <f/>
        <v>0</v>
      </c>
      <c r="CD21">
        <f/>
        <v>0</v>
      </c>
      <c r="CE21">
        <f/>
        <v>0</v>
      </c>
      <c r="CF21">
        <f/>
        <v>0</v>
      </c>
      <c r="CG21">
        <f/>
        <v>0</v>
      </c>
      <c r="CH21">
        <f/>
        <v>0</v>
      </c>
      <c r="CI21">
        <f/>
        <v>0</v>
      </c>
      <c r="CJ21">
        <f/>
        <v>0</v>
      </c>
      <c r="CK21">
        <f/>
        <v>0</v>
      </c>
      <c r="CL21">
        <f/>
        <v>0</v>
      </c>
      <c r="CM21">
        <f/>
        <v>0</v>
      </c>
      <c r="CN21">
        <f/>
        <v>0</v>
      </c>
      <c r="CO21">
        <f/>
        <v>0</v>
      </c>
      <c r="CP21">
        <f/>
        <v>0</v>
      </c>
      <c r="CQ21">
        <f/>
        <v>0</v>
      </c>
      <c r="CR21">
        <f/>
        <v>0</v>
      </c>
      <c r="CS21">
        <f/>
        <v>0</v>
      </c>
      <c r="CT21">
        <f/>
        <v>0</v>
      </c>
      <c r="CU21">
        <f/>
        <v>0</v>
      </c>
      <c r="CV21">
        <f/>
        <v>0</v>
      </c>
      <c r="CW21">
        <f/>
        <v>0</v>
      </c>
      <c r="CX21">
        <f/>
        <v>0</v>
      </c>
      <c r="CY21">
        <f/>
        <v>0</v>
      </c>
      <c r="CZ21">
        <f/>
        <v>0</v>
      </c>
      <c r="DA21">
        <f/>
        <v>0</v>
      </c>
      <c r="DB21">
        <f/>
        <v>0</v>
      </c>
      <c r="DC21">
        <f/>
        <v>0</v>
      </c>
      <c r="DD21">
        <f/>
        <v>0</v>
      </c>
      <c r="DE21">
        <f/>
        <v>0</v>
      </c>
      <c r="DF21">
        <f/>
        <v>0</v>
      </c>
      <c r="DG21">
        <f/>
        <v>0</v>
      </c>
      <c r="DH21">
        <f/>
        <v>0</v>
      </c>
      <c r="DI21">
        <f/>
        <v>0</v>
      </c>
      <c r="DJ21">
        <f/>
        <v>0</v>
      </c>
      <c r="DK21">
        <f/>
        <v>0</v>
      </c>
      <c r="DL21">
        <f/>
        <v>0</v>
      </c>
      <c r="DM21">
        <f/>
        <v>0</v>
      </c>
      <c r="DN21">
        <f/>
        <v>0</v>
      </c>
      <c r="DO21">
        <f/>
        <v>0</v>
      </c>
      <c r="DP21">
        <f/>
        <v>0</v>
      </c>
      <c r="DQ21">
        <f/>
        <v>0</v>
      </c>
      <c r="DR21">
        <f/>
        <v>0</v>
      </c>
      <c r="DS21">
        <f/>
        <v>0</v>
      </c>
      <c r="DT21">
        <f/>
        <v>0</v>
      </c>
      <c r="DU21">
        <f/>
        <v>0</v>
      </c>
      <c r="DV21">
        <f/>
        <v>0</v>
      </c>
      <c r="DW21">
        <f/>
        <v>0</v>
      </c>
      <c r="DX21">
        <f/>
        <v>0</v>
      </c>
      <c r="DY21">
        <f/>
        <v>0</v>
      </c>
      <c r="DZ21">
        <f/>
        <v>0</v>
      </c>
      <c r="EA21">
        <f/>
        <v>0</v>
      </c>
      <c r="EB21">
        <f/>
        <v>0</v>
      </c>
      <c r="EC21">
        <f/>
        <v>0</v>
      </c>
      <c r="ED21">
        <f/>
        <v>0</v>
      </c>
      <c r="EE21">
        <f/>
        <v>0</v>
      </c>
      <c r="EF21">
        <f/>
        <v>0</v>
      </c>
      <c r="EG21">
        <f/>
        <v>0</v>
      </c>
      <c r="EH21">
        <f/>
        <v>0</v>
      </c>
      <c r="EI21">
        <f/>
        <v>0</v>
      </c>
      <c r="EJ21">
        <f/>
        <v>0</v>
      </c>
      <c r="EK21">
        <f/>
        <v>0</v>
      </c>
      <c r="EL21">
        <f/>
        <v>0</v>
      </c>
      <c r="EM21">
        <f/>
        <v>0</v>
      </c>
      <c r="EN21">
        <f/>
        <v>0</v>
      </c>
      <c r="EO21">
        <f/>
        <v>0</v>
      </c>
      <c r="EP21">
        <f/>
        <v>0</v>
      </c>
      <c r="EQ21">
        <f/>
        <v>0</v>
      </c>
      <c r="ER21">
        <f/>
        <v>0</v>
      </c>
      <c r="ES21">
        <f/>
        <v>0</v>
      </c>
      <c r="ET21">
        <f/>
        <v>0</v>
      </c>
      <c r="EU21">
        <f/>
        <v>0</v>
      </c>
      <c r="EV21">
        <f/>
        <v>0</v>
      </c>
      <c r="EW21">
        <f/>
        <v>0</v>
      </c>
      <c r="EX21">
        <f/>
        <v>0</v>
      </c>
      <c r="EY21">
        <f/>
        <v>0</v>
      </c>
      <c r="EZ21">
        <f/>
        <v>0</v>
      </c>
      <c r="FA21">
        <f/>
        <v>0</v>
      </c>
      <c r="FB21">
        <f/>
        <v>0</v>
      </c>
      <c r="FC21">
        <f/>
        <v>0</v>
      </c>
      <c r="FD21">
        <f/>
        <v>0</v>
      </c>
      <c r="FE21">
        <f/>
        <v>0</v>
      </c>
      <c r="FF21">
        <f/>
        <v>0</v>
      </c>
      <c r="FG21">
        <f/>
        <v>0</v>
      </c>
      <c r="FH21">
        <f/>
        <v>0</v>
      </c>
      <c r="FI21">
        <f/>
        <v>0</v>
      </c>
      <c r="FJ21">
        <f/>
        <v>0</v>
      </c>
      <c r="FK21">
        <f/>
        <v>0</v>
      </c>
      <c r="FL21">
        <f/>
        <v>0</v>
      </c>
      <c r="FM21">
        <f/>
        <v>0</v>
      </c>
      <c r="FN21">
        <f/>
        <v>0</v>
      </c>
      <c r="FO21">
        <f/>
        <v>0</v>
      </c>
      <c r="FP21">
        <f/>
        <v>0</v>
      </c>
      <c r="FQ21">
        <f/>
        <v>0</v>
      </c>
      <c r="FR21">
        <f/>
        <v>0</v>
      </c>
      <c r="FS21">
        <f/>
        <v>0</v>
      </c>
      <c r="FT21">
        <f/>
        <v>0</v>
      </c>
      <c r="FU21">
        <f/>
        <v>0</v>
      </c>
      <c r="FV21">
        <f/>
        <v>0</v>
      </c>
      <c r="FW21">
        <f/>
        <v>0</v>
      </c>
      <c r="FX21">
        <f/>
        <v>0</v>
      </c>
      <c r="FY21">
        <f/>
        <v>0</v>
      </c>
      <c r="FZ21">
        <f/>
        <v>0</v>
      </c>
      <c r="GA21">
        <f/>
        <v>0</v>
      </c>
      <c r="GB21">
        <f/>
        <v>0</v>
      </c>
      <c r="GC21">
        <f/>
        <v>0</v>
      </c>
      <c r="GD21">
        <f/>
        <v>0</v>
      </c>
      <c r="GE21">
        <f/>
        <v>0</v>
      </c>
      <c r="GF21">
        <f/>
        <v>0</v>
      </c>
      <c r="GG21">
        <f/>
        <v>0</v>
      </c>
      <c r="GH21">
        <f/>
        <v>0</v>
      </c>
      <c r="GI21">
        <f/>
        <v>0</v>
      </c>
      <c r="GJ21">
        <f/>
        <v>0</v>
      </c>
      <c r="GK21">
        <f/>
        <v>0</v>
      </c>
      <c r="GL21">
        <f/>
        <v>0</v>
      </c>
      <c r="GM21">
        <f/>
        <v>0</v>
      </c>
      <c r="GN21">
        <f/>
        <v>0</v>
      </c>
      <c r="GO21">
        <f/>
        <v>0</v>
      </c>
      <c r="GP21">
        <f/>
        <v>0</v>
      </c>
      <c r="GQ21">
        <f/>
        <v>0</v>
      </c>
      <c r="GR21">
        <f/>
        <v>0</v>
      </c>
      <c r="GS21">
        <f/>
        <v>0</v>
      </c>
      <c r="GT21">
        <f/>
        <v>0</v>
      </c>
      <c r="GU21">
        <f/>
        <v>0</v>
      </c>
      <c r="GV21">
        <f/>
        <v>0</v>
      </c>
      <c r="GW21">
        <f/>
        <v>0</v>
      </c>
      <c r="GX21">
        <f/>
        <v>0</v>
      </c>
      <c r="GY21">
        <f/>
        <v>0</v>
      </c>
      <c r="GZ21">
        <f/>
        <v>0</v>
      </c>
      <c r="HA21">
        <f/>
        <v>0</v>
      </c>
      <c r="HB21">
        <f/>
        <v>0</v>
      </c>
      <c r="HC21">
        <f/>
        <v>0</v>
      </c>
      <c r="HD21">
        <f/>
        <v>0</v>
      </c>
      <c r="HE21">
        <f/>
        <v>0</v>
      </c>
      <c r="HF21">
        <f/>
        <v>0</v>
      </c>
      <c r="HG21">
        <f/>
        <v>0</v>
      </c>
      <c r="HH21">
        <f/>
        <v>0</v>
      </c>
      <c r="HI21">
        <f/>
        <v>0</v>
      </c>
      <c r="HJ21">
        <f/>
        <v>0</v>
      </c>
      <c r="HK21">
        <f/>
        <v>0</v>
      </c>
      <c r="HL21">
        <f/>
        <v>0</v>
      </c>
      <c r="HM21">
        <f/>
        <v>0</v>
      </c>
      <c r="HN21">
        <f/>
        <v>0</v>
      </c>
      <c r="HO21">
        <f/>
        <v>0</v>
      </c>
      <c r="HP21">
        <f/>
        <v>0</v>
      </c>
      <c r="HQ21">
        <f/>
        <v>0</v>
      </c>
      <c r="HR21">
        <f/>
        <v>0</v>
      </c>
      <c r="HS21">
        <f/>
        <v>0</v>
      </c>
      <c r="HT21">
        <f/>
        <v>0</v>
      </c>
      <c r="HU21">
        <f/>
        <v>0</v>
      </c>
      <c r="HV21">
        <f/>
        <v>0</v>
      </c>
      <c r="HW21">
        <f/>
        <v>0</v>
      </c>
      <c r="HX21">
        <f/>
        <v>0</v>
      </c>
      <c r="HY21">
        <f/>
        <v>0</v>
      </c>
      <c r="HZ21">
        <f/>
        <v>0</v>
      </c>
      <c r="IA21">
        <f/>
        <v>0</v>
      </c>
      <c r="IB21">
        <f/>
        <v>0</v>
      </c>
      <c r="IC21">
        <f/>
        <v>0</v>
      </c>
      <c r="ID21">
        <f/>
        <v>0</v>
      </c>
      <c r="IE21">
        <f/>
        <v>0</v>
      </c>
      <c r="IF21">
        <f/>
        <v>0</v>
      </c>
      <c r="IG21">
        <f/>
        <v>0</v>
      </c>
      <c r="IH21">
        <f/>
        <v>0</v>
      </c>
      <c r="II21">
        <f/>
        <v>0</v>
      </c>
      <c r="IJ21">
        <f/>
        <v>0</v>
      </c>
      <c r="IK21">
        <f/>
        <v>0</v>
      </c>
      <c r="IL21">
        <f/>
        <v>0</v>
      </c>
      <c r="IM21">
        <f/>
        <v>0</v>
      </c>
      <c r="IN21">
        <f/>
        <v>0</v>
      </c>
      <c r="IO21">
        <f/>
        <v>0</v>
      </c>
      <c r="IP21">
        <f/>
        <v>0</v>
      </c>
      <c r="IQ21">
        <f/>
        <v>0</v>
      </c>
      <c r="IR21">
        <f/>
        <v>0</v>
      </c>
      <c r="IS21">
        <f/>
        <v>0</v>
      </c>
      <c r="IT21">
        <f/>
        <v>0</v>
      </c>
      <c r="IU21">
        <f/>
        <v>0</v>
      </c>
      <c r="IV21">
        <f/>
        <v>0</v>
      </c>
      <c r="IW21">
        <f/>
        <v>0</v>
      </c>
      <c r="IX21">
        <f/>
        <v>0</v>
      </c>
      <c r="IY21">
        <f/>
        <v>0</v>
      </c>
      <c r="IZ21">
        <f/>
        <v>0</v>
      </c>
      <c r="JA21">
        <f/>
        <v>0</v>
      </c>
      <c r="JB21">
        <f/>
        <v>0</v>
      </c>
      <c r="JC21">
        <f/>
        <v>0</v>
      </c>
      <c r="JD21">
        <f/>
        <v>0</v>
      </c>
      <c r="JE21">
        <f/>
        <v>0</v>
      </c>
      <c r="JF21">
        <f/>
        <v>0</v>
      </c>
      <c r="JG21">
        <f/>
        <v>0</v>
      </c>
      <c r="JH21">
        <f/>
        <v>0</v>
      </c>
      <c r="JI21">
        <f/>
        <v>0</v>
      </c>
      <c r="JJ21">
        <f/>
        <v>0</v>
      </c>
      <c r="JK21">
        <f/>
        <v>0</v>
      </c>
      <c r="JL21">
        <f/>
        <v>0</v>
      </c>
      <c r="JM21">
        <f/>
        <v>0</v>
      </c>
      <c r="JN21">
        <f/>
        <v>0</v>
      </c>
      <c r="JO21">
        <f/>
        <v>0</v>
      </c>
      <c r="JP21">
        <f/>
        <v>0</v>
      </c>
      <c r="JQ21">
        <f/>
        <v>0</v>
      </c>
      <c r="JR21">
        <f/>
        <v>0</v>
      </c>
      <c r="JS21">
        <f/>
        <v>0</v>
      </c>
      <c r="JT21">
        <f/>
        <v>0</v>
      </c>
      <c r="JU21">
        <f/>
        <v>0</v>
      </c>
      <c r="JV21">
        <f/>
        <v>0</v>
      </c>
      <c r="JW21">
        <f/>
        <v>0</v>
      </c>
      <c r="JX21">
        <f/>
        <v>0</v>
      </c>
      <c r="JY21">
        <f/>
        <v>0</v>
      </c>
      <c r="JZ21">
        <f/>
        <v>0</v>
      </c>
      <c r="KA21">
        <f/>
        <v>0</v>
      </c>
      <c r="KB21">
        <f/>
        <v>0</v>
      </c>
      <c r="KC21">
        <f/>
        <v>0</v>
      </c>
      <c r="KD21">
        <f/>
        <v>0</v>
      </c>
      <c r="KE21">
        <f/>
        <v>0</v>
      </c>
      <c r="KF21">
        <f/>
        <v>0</v>
      </c>
      <c r="KG21">
        <f/>
        <v>0</v>
      </c>
      <c r="KH21">
        <f/>
        <v>0</v>
      </c>
      <c r="KI21">
        <f/>
        <v>0</v>
      </c>
      <c r="KJ21">
        <f/>
        <v>0</v>
      </c>
      <c r="KK21">
        <f/>
        <v>0</v>
      </c>
      <c r="KL21">
        <f/>
        <v>0</v>
      </c>
      <c r="KM21">
        <f/>
        <v>0</v>
      </c>
      <c r="KN21">
        <f/>
        <v>0</v>
      </c>
      <c r="KO21">
        <f/>
        <v>0</v>
      </c>
      <c r="KP21">
        <f/>
        <v>0</v>
      </c>
      <c r="KQ21">
        <f/>
        <v>0</v>
      </c>
      <c r="KR21">
        <f/>
        <v>0</v>
      </c>
      <c r="KS21">
        <f/>
        <v>0</v>
      </c>
      <c r="KT21">
        <f/>
        <v>0</v>
      </c>
      <c r="KU21">
        <f/>
        <v>0</v>
      </c>
      <c r="KV21">
        <f/>
        <v>0</v>
      </c>
      <c r="KW21">
        <f/>
        <v>0</v>
      </c>
      <c r="KX21">
        <f/>
        <v>0</v>
      </c>
      <c r="KY21">
        <f/>
        <v>0</v>
      </c>
      <c r="KZ21">
        <f/>
        <v>0</v>
      </c>
      <c r="LA21">
        <f/>
        <v>0</v>
      </c>
      <c r="LB21">
        <f/>
        <v>0</v>
      </c>
      <c r="LC21">
        <f/>
        <v>0</v>
      </c>
      <c r="LD21">
        <f/>
        <v>0</v>
      </c>
      <c r="LE21">
        <f/>
        <v>0</v>
      </c>
      <c r="LF21">
        <f/>
        <v>0</v>
      </c>
      <c r="LG21">
        <f/>
        <v>0</v>
      </c>
      <c r="LH21">
        <f/>
        <v>0</v>
      </c>
      <c r="LI21">
        <f/>
        <v>0</v>
      </c>
      <c r="LJ21">
        <f/>
        <v>0</v>
      </c>
      <c r="LK21">
        <f/>
        <v>0</v>
      </c>
      <c r="LL21">
        <f/>
        <v>0</v>
      </c>
      <c r="LM21">
        <f/>
        <v>0</v>
      </c>
      <c r="LN21">
        <f/>
        <v>0</v>
      </c>
      <c r="LO21">
        <f/>
        <v>0</v>
      </c>
      <c r="LP21">
        <f/>
        <v>0</v>
      </c>
      <c r="LQ21">
        <f/>
        <v>0</v>
      </c>
      <c r="LR21">
        <f/>
        <v>0</v>
      </c>
      <c r="LS21">
        <f/>
        <v>0</v>
      </c>
      <c r="LT21">
        <f/>
        <v>0</v>
      </c>
      <c r="LU21">
        <f/>
        <v>0</v>
      </c>
      <c r="LV21">
        <f/>
        <v>0</v>
      </c>
      <c r="LW21">
        <f/>
        <v>0</v>
      </c>
      <c r="LX21">
        <f/>
        <v>0</v>
      </c>
      <c r="LY21">
        <f/>
        <v>0</v>
      </c>
      <c r="LZ21">
        <f/>
        <v>0</v>
      </c>
      <c r="MA21">
        <f/>
        <v>0</v>
      </c>
      <c r="MB21">
        <f/>
        <v>0</v>
      </c>
      <c r="MC21">
        <f/>
        <v>0</v>
      </c>
      <c r="MD21">
        <f/>
        <v>0</v>
      </c>
      <c r="ME21">
        <f/>
        <v>0</v>
      </c>
      <c r="MF21">
        <f/>
        <v>0</v>
      </c>
      <c r="MG21">
        <f/>
        <v>0</v>
      </c>
      <c r="MH21">
        <f/>
        <v>0</v>
      </c>
      <c r="MI21">
        <f/>
        <v>0</v>
      </c>
      <c r="MJ21">
        <f/>
        <v>0</v>
      </c>
      <c r="MK21">
        <f/>
        <v>0</v>
      </c>
      <c r="ML21">
        <f/>
        <v>0</v>
      </c>
      <c r="MM21">
        <f/>
        <v>0</v>
      </c>
      <c r="MN21">
        <f/>
        <v>0</v>
      </c>
      <c r="MO21">
        <f/>
        <v>0</v>
      </c>
      <c r="MP21">
        <f/>
        <v>0</v>
      </c>
      <c r="MQ21">
        <f/>
        <v>0</v>
      </c>
      <c r="MR21">
        <f/>
        <v>0</v>
      </c>
      <c r="MS21">
        <f/>
        <v>0</v>
      </c>
      <c r="MT21">
        <f/>
        <v>0</v>
      </c>
      <c r="MU21">
        <f/>
        <v>0</v>
      </c>
      <c r="MV21">
        <f/>
        <v>0</v>
      </c>
      <c r="MW21">
        <f/>
        <v>0</v>
      </c>
      <c r="MX21">
        <f/>
        <v>0</v>
      </c>
      <c r="MY21">
        <f/>
        <v>0</v>
      </c>
      <c r="MZ21">
        <f/>
        <v>0</v>
      </c>
      <c r="NA21">
        <f/>
        <v>0</v>
      </c>
      <c r="NB21">
        <f/>
        <v>0</v>
      </c>
      <c r="NC21">
        <f/>
        <v>0</v>
      </c>
    </row>
    <row r="22" spans="1:367" x14ac:dyDescent="0.25">
      <c r="A22" s="141">
        <v>46164</v>
      </c>
      <c r="B22" s="162" cm="1">
        <f t="array" ref="B22">nabla.f.TimelineOffsetλ(A22,_xlfn.ANCHORARRAY( $C$18))</f>
        <v>10</v>
      </c>
      <c r="C22" cm="1">
        <f t="array" ref="C22:NC22">N(_xlfn.ANCHORARRAY($C$18)=INDEX(_xlfn.ANCHORARRAY($C$18),B22+1))</f>
        <v>0</v>
      </c>
      <c r="D22">
        <f/>
        <v>0</v>
      </c>
      <c r="E22">
        <f/>
        <v>0</v>
      </c>
      <c r="F22">
        <f/>
        <v>0</v>
      </c>
      <c r="G22">
        <f/>
        <v>0</v>
      </c>
      <c r="H22">
        <f/>
        <v>0</v>
      </c>
      <c r="I22">
        <f/>
        <v>0</v>
      </c>
      <c r="J22">
        <f/>
        <v>0</v>
      </c>
      <c r="K22">
        <f/>
        <v>0</v>
      </c>
      <c r="L22">
        <f/>
        <v>0</v>
      </c>
      <c r="M22">
        <f/>
        <v>1</v>
      </c>
      <c r="N22">
        <f/>
        <v>0</v>
      </c>
      <c r="O22">
        <f/>
        <v>0</v>
      </c>
      <c r="P22">
        <f/>
        <v>0</v>
      </c>
      <c r="Q22">
        <f/>
        <v>0</v>
      </c>
      <c r="R22">
        <f/>
        <v>0</v>
      </c>
      <c r="S22">
        <f/>
        <v>0</v>
      </c>
      <c r="T22">
        <f/>
        <v>0</v>
      </c>
      <c r="U22">
        <f/>
        <v>0</v>
      </c>
      <c r="V22">
        <f/>
        <v>0</v>
      </c>
      <c r="W22">
        <f/>
        <v>0</v>
      </c>
      <c r="X22">
        <f/>
        <v>0</v>
      </c>
      <c r="Y22">
        <f/>
        <v>0</v>
      </c>
      <c r="Z22">
        <f/>
        <v>0</v>
      </c>
      <c r="AA22">
        <f/>
        <v>0</v>
      </c>
      <c r="AB22">
        <f/>
        <v>0</v>
      </c>
      <c r="AC22">
        <f/>
        <v>0</v>
      </c>
      <c r="AD22">
        <f/>
        <v>0</v>
      </c>
      <c r="AE22">
        <f/>
        <v>0</v>
      </c>
      <c r="AF22">
        <f/>
        <v>0</v>
      </c>
      <c r="AG22">
        <f/>
        <v>0</v>
      </c>
      <c r="AH22">
        <f/>
        <v>0</v>
      </c>
      <c r="AI22">
        <f/>
        <v>0</v>
      </c>
      <c r="AJ22">
        <f/>
        <v>0</v>
      </c>
      <c r="AK22">
        <f/>
        <v>0</v>
      </c>
      <c r="AL22">
        <f/>
        <v>0</v>
      </c>
      <c r="AM22">
        <f/>
        <v>0</v>
      </c>
      <c r="AN22">
        <f/>
        <v>0</v>
      </c>
      <c r="AO22">
        <f/>
        <v>0</v>
      </c>
      <c r="AP22">
        <f/>
        <v>0</v>
      </c>
      <c r="AQ22">
        <f/>
        <v>0</v>
      </c>
      <c r="AR22">
        <f/>
        <v>0</v>
      </c>
      <c r="AS22">
        <f/>
        <v>0</v>
      </c>
      <c r="AT22">
        <f/>
        <v>0</v>
      </c>
      <c r="AU22">
        <f/>
        <v>0</v>
      </c>
      <c r="AV22">
        <f/>
        <v>0</v>
      </c>
      <c r="AW22">
        <f/>
        <v>0</v>
      </c>
      <c r="AX22">
        <f/>
        <v>0</v>
      </c>
      <c r="AY22">
        <f/>
        <v>0</v>
      </c>
      <c r="AZ22">
        <f/>
        <v>0</v>
      </c>
      <c r="BA22">
        <f/>
        <v>0</v>
      </c>
      <c r="BB22">
        <f/>
        <v>0</v>
      </c>
      <c r="BC22">
        <f/>
        <v>0</v>
      </c>
      <c r="BD22">
        <f/>
        <v>0</v>
      </c>
      <c r="BE22">
        <f/>
        <v>0</v>
      </c>
      <c r="BF22">
        <f/>
        <v>0</v>
      </c>
      <c r="BG22">
        <f/>
        <v>0</v>
      </c>
      <c r="BH22">
        <f/>
        <v>0</v>
      </c>
      <c r="BI22">
        <f/>
        <v>0</v>
      </c>
      <c r="BJ22">
        <f/>
        <v>0</v>
      </c>
      <c r="BK22">
        <f/>
        <v>0</v>
      </c>
      <c r="BL22">
        <f/>
        <v>0</v>
      </c>
      <c r="BM22">
        <f/>
        <v>0</v>
      </c>
      <c r="BN22">
        <f/>
        <v>0</v>
      </c>
      <c r="BO22">
        <f/>
        <v>0</v>
      </c>
      <c r="BP22">
        <f/>
        <v>0</v>
      </c>
      <c r="BQ22">
        <f/>
        <v>0</v>
      </c>
      <c r="BR22">
        <f/>
        <v>0</v>
      </c>
      <c r="BS22">
        <f/>
        <v>0</v>
      </c>
      <c r="BT22">
        <f/>
        <v>0</v>
      </c>
      <c r="BU22">
        <f/>
        <v>0</v>
      </c>
      <c r="BV22">
        <f/>
        <v>0</v>
      </c>
      <c r="BW22">
        <f/>
        <v>0</v>
      </c>
      <c r="BX22">
        <f/>
        <v>0</v>
      </c>
      <c r="BY22">
        <f/>
        <v>0</v>
      </c>
      <c r="BZ22">
        <f/>
        <v>0</v>
      </c>
      <c r="CA22">
        <f/>
        <v>0</v>
      </c>
      <c r="CB22">
        <f/>
        <v>0</v>
      </c>
      <c r="CC22">
        <f/>
        <v>0</v>
      </c>
      <c r="CD22">
        <f/>
        <v>0</v>
      </c>
      <c r="CE22">
        <f/>
        <v>0</v>
      </c>
      <c r="CF22">
        <f/>
        <v>0</v>
      </c>
      <c r="CG22">
        <f/>
        <v>0</v>
      </c>
      <c r="CH22">
        <f/>
        <v>0</v>
      </c>
      <c r="CI22">
        <f/>
        <v>0</v>
      </c>
      <c r="CJ22">
        <f/>
        <v>0</v>
      </c>
      <c r="CK22">
        <f/>
        <v>0</v>
      </c>
      <c r="CL22">
        <f/>
        <v>0</v>
      </c>
      <c r="CM22">
        <f/>
        <v>0</v>
      </c>
      <c r="CN22">
        <f/>
        <v>0</v>
      </c>
      <c r="CO22">
        <f/>
        <v>0</v>
      </c>
      <c r="CP22">
        <f/>
        <v>0</v>
      </c>
      <c r="CQ22">
        <f/>
        <v>0</v>
      </c>
      <c r="CR22">
        <f/>
        <v>0</v>
      </c>
      <c r="CS22">
        <f/>
        <v>0</v>
      </c>
      <c r="CT22">
        <f/>
        <v>0</v>
      </c>
      <c r="CU22">
        <f/>
        <v>0</v>
      </c>
      <c r="CV22">
        <f/>
        <v>0</v>
      </c>
      <c r="CW22">
        <f/>
        <v>0</v>
      </c>
      <c r="CX22">
        <f/>
        <v>0</v>
      </c>
      <c r="CY22">
        <f/>
        <v>0</v>
      </c>
      <c r="CZ22">
        <f/>
        <v>0</v>
      </c>
      <c r="DA22">
        <f/>
        <v>0</v>
      </c>
      <c r="DB22">
        <f/>
        <v>0</v>
      </c>
      <c r="DC22">
        <f/>
        <v>0</v>
      </c>
      <c r="DD22">
        <f/>
        <v>0</v>
      </c>
      <c r="DE22">
        <f/>
        <v>0</v>
      </c>
      <c r="DF22">
        <f/>
        <v>0</v>
      </c>
      <c r="DG22">
        <f/>
        <v>0</v>
      </c>
      <c r="DH22">
        <f/>
        <v>0</v>
      </c>
      <c r="DI22">
        <f/>
        <v>0</v>
      </c>
      <c r="DJ22">
        <f/>
        <v>0</v>
      </c>
      <c r="DK22">
        <f/>
        <v>0</v>
      </c>
      <c r="DL22">
        <f/>
        <v>0</v>
      </c>
      <c r="DM22">
        <f/>
        <v>0</v>
      </c>
      <c r="DN22">
        <f/>
        <v>0</v>
      </c>
      <c r="DO22">
        <f/>
        <v>0</v>
      </c>
      <c r="DP22">
        <f/>
        <v>0</v>
      </c>
      <c r="DQ22">
        <f/>
        <v>0</v>
      </c>
      <c r="DR22">
        <f/>
        <v>0</v>
      </c>
      <c r="DS22">
        <f/>
        <v>0</v>
      </c>
      <c r="DT22">
        <f/>
        <v>0</v>
      </c>
      <c r="DU22">
        <f/>
        <v>0</v>
      </c>
      <c r="DV22">
        <f/>
        <v>0</v>
      </c>
      <c r="DW22">
        <f/>
        <v>0</v>
      </c>
      <c r="DX22">
        <f/>
        <v>0</v>
      </c>
      <c r="DY22">
        <f/>
        <v>0</v>
      </c>
      <c r="DZ22">
        <f/>
        <v>0</v>
      </c>
      <c r="EA22">
        <f/>
        <v>0</v>
      </c>
      <c r="EB22">
        <f/>
        <v>0</v>
      </c>
      <c r="EC22">
        <f/>
        <v>0</v>
      </c>
      <c r="ED22">
        <f/>
        <v>0</v>
      </c>
      <c r="EE22">
        <f/>
        <v>0</v>
      </c>
      <c r="EF22">
        <f/>
        <v>0</v>
      </c>
      <c r="EG22">
        <f/>
        <v>0</v>
      </c>
      <c r="EH22">
        <f/>
        <v>0</v>
      </c>
      <c r="EI22">
        <f/>
        <v>0</v>
      </c>
      <c r="EJ22">
        <f/>
        <v>0</v>
      </c>
      <c r="EK22">
        <f/>
        <v>0</v>
      </c>
      <c r="EL22">
        <f/>
        <v>0</v>
      </c>
      <c r="EM22">
        <f/>
        <v>0</v>
      </c>
      <c r="EN22">
        <f/>
        <v>0</v>
      </c>
      <c r="EO22">
        <f/>
        <v>0</v>
      </c>
      <c r="EP22">
        <f/>
        <v>0</v>
      </c>
      <c r="EQ22">
        <f/>
        <v>0</v>
      </c>
      <c r="ER22">
        <f/>
        <v>0</v>
      </c>
      <c r="ES22">
        <f/>
        <v>0</v>
      </c>
      <c r="ET22">
        <f/>
        <v>0</v>
      </c>
      <c r="EU22">
        <f/>
        <v>0</v>
      </c>
      <c r="EV22">
        <f/>
        <v>0</v>
      </c>
      <c r="EW22">
        <f/>
        <v>0</v>
      </c>
      <c r="EX22">
        <f/>
        <v>0</v>
      </c>
      <c r="EY22">
        <f/>
        <v>0</v>
      </c>
      <c r="EZ22">
        <f/>
        <v>0</v>
      </c>
      <c r="FA22">
        <f/>
        <v>0</v>
      </c>
      <c r="FB22">
        <f/>
        <v>0</v>
      </c>
      <c r="FC22">
        <f/>
        <v>0</v>
      </c>
      <c r="FD22">
        <f/>
        <v>0</v>
      </c>
      <c r="FE22">
        <f/>
        <v>0</v>
      </c>
      <c r="FF22">
        <f/>
        <v>0</v>
      </c>
      <c r="FG22">
        <f/>
        <v>0</v>
      </c>
      <c r="FH22">
        <f/>
        <v>0</v>
      </c>
      <c r="FI22">
        <f/>
        <v>0</v>
      </c>
      <c r="FJ22">
        <f/>
        <v>0</v>
      </c>
      <c r="FK22">
        <f/>
        <v>0</v>
      </c>
      <c r="FL22">
        <f/>
        <v>0</v>
      </c>
      <c r="FM22">
        <f/>
        <v>0</v>
      </c>
      <c r="FN22">
        <f/>
        <v>0</v>
      </c>
      <c r="FO22">
        <f/>
        <v>0</v>
      </c>
      <c r="FP22">
        <f/>
        <v>0</v>
      </c>
      <c r="FQ22">
        <f/>
        <v>0</v>
      </c>
      <c r="FR22">
        <f/>
        <v>0</v>
      </c>
      <c r="FS22">
        <f/>
        <v>0</v>
      </c>
      <c r="FT22">
        <f/>
        <v>0</v>
      </c>
      <c r="FU22">
        <f/>
        <v>0</v>
      </c>
      <c r="FV22">
        <f/>
        <v>0</v>
      </c>
      <c r="FW22">
        <f/>
        <v>0</v>
      </c>
      <c r="FX22">
        <f/>
        <v>0</v>
      </c>
      <c r="FY22">
        <f/>
        <v>0</v>
      </c>
      <c r="FZ22">
        <f/>
        <v>0</v>
      </c>
      <c r="GA22">
        <f/>
        <v>0</v>
      </c>
      <c r="GB22">
        <f/>
        <v>0</v>
      </c>
      <c r="GC22">
        <f/>
        <v>0</v>
      </c>
      <c r="GD22">
        <f/>
        <v>0</v>
      </c>
      <c r="GE22">
        <f/>
        <v>0</v>
      </c>
      <c r="GF22">
        <f/>
        <v>0</v>
      </c>
      <c r="GG22">
        <f/>
        <v>0</v>
      </c>
      <c r="GH22">
        <f/>
        <v>0</v>
      </c>
      <c r="GI22">
        <f/>
        <v>0</v>
      </c>
      <c r="GJ22">
        <f/>
        <v>0</v>
      </c>
      <c r="GK22">
        <f/>
        <v>0</v>
      </c>
      <c r="GL22">
        <f/>
        <v>0</v>
      </c>
      <c r="GM22">
        <f/>
        <v>0</v>
      </c>
      <c r="GN22">
        <f/>
        <v>0</v>
      </c>
      <c r="GO22">
        <f/>
        <v>0</v>
      </c>
      <c r="GP22">
        <f/>
        <v>0</v>
      </c>
      <c r="GQ22">
        <f/>
        <v>0</v>
      </c>
      <c r="GR22">
        <f/>
        <v>0</v>
      </c>
      <c r="GS22">
        <f/>
        <v>0</v>
      </c>
      <c r="GT22">
        <f/>
        <v>0</v>
      </c>
      <c r="GU22">
        <f/>
        <v>0</v>
      </c>
      <c r="GV22">
        <f/>
        <v>0</v>
      </c>
      <c r="GW22">
        <f/>
        <v>0</v>
      </c>
      <c r="GX22">
        <f/>
        <v>0</v>
      </c>
      <c r="GY22">
        <f/>
        <v>0</v>
      </c>
      <c r="GZ22">
        <f/>
        <v>0</v>
      </c>
      <c r="HA22">
        <f/>
        <v>0</v>
      </c>
      <c r="HB22">
        <f/>
        <v>0</v>
      </c>
      <c r="HC22">
        <f/>
        <v>0</v>
      </c>
      <c r="HD22">
        <f/>
        <v>0</v>
      </c>
      <c r="HE22">
        <f/>
        <v>0</v>
      </c>
      <c r="HF22">
        <f/>
        <v>0</v>
      </c>
      <c r="HG22">
        <f/>
        <v>0</v>
      </c>
      <c r="HH22">
        <f/>
        <v>0</v>
      </c>
      <c r="HI22">
        <f/>
        <v>0</v>
      </c>
      <c r="HJ22">
        <f/>
        <v>0</v>
      </c>
      <c r="HK22">
        <f/>
        <v>0</v>
      </c>
      <c r="HL22">
        <f/>
        <v>0</v>
      </c>
      <c r="HM22">
        <f/>
        <v>0</v>
      </c>
      <c r="HN22">
        <f/>
        <v>0</v>
      </c>
      <c r="HO22">
        <f/>
        <v>0</v>
      </c>
      <c r="HP22">
        <f/>
        <v>0</v>
      </c>
      <c r="HQ22">
        <f/>
        <v>0</v>
      </c>
      <c r="HR22">
        <f/>
        <v>0</v>
      </c>
      <c r="HS22">
        <f/>
        <v>0</v>
      </c>
      <c r="HT22">
        <f/>
        <v>0</v>
      </c>
      <c r="HU22">
        <f/>
        <v>0</v>
      </c>
      <c r="HV22">
        <f/>
        <v>0</v>
      </c>
      <c r="HW22">
        <f/>
        <v>0</v>
      </c>
      <c r="HX22">
        <f/>
        <v>0</v>
      </c>
      <c r="HY22">
        <f/>
        <v>0</v>
      </c>
      <c r="HZ22">
        <f/>
        <v>0</v>
      </c>
      <c r="IA22">
        <f/>
        <v>0</v>
      </c>
      <c r="IB22">
        <f/>
        <v>0</v>
      </c>
      <c r="IC22">
        <f/>
        <v>0</v>
      </c>
      <c r="ID22">
        <f/>
        <v>0</v>
      </c>
      <c r="IE22">
        <f/>
        <v>0</v>
      </c>
      <c r="IF22">
        <f/>
        <v>0</v>
      </c>
      <c r="IG22">
        <f/>
        <v>0</v>
      </c>
      <c r="IH22">
        <f/>
        <v>0</v>
      </c>
      <c r="II22">
        <f/>
        <v>0</v>
      </c>
      <c r="IJ22">
        <f/>
        <v>0</v>
      </c>
      <c r="IK22">
        <f/>
        <v>0</v>
      </c>
      <c r="IL22">
        <f/>
        <v>0</v>
      </c>
      <c r="IM22">
        <f/>
        <v>0</v>
      </c>
      <c r="IN22">
        <f/>
        <v>0</v>
      </c>
      <c r="IO22">
        <f/>
        <v>0</v>
      </c>
      <c r="IP22">
        <f/>
        <v>0</v>
      </c>
      <c r="IQ22">
        <f/>
        <v>0</v>
      </c>
      <c r="IR22">
        <f/>
        <v>0</v>
      </c>
      <c r="IS22">
        <f/>
        <v>0</v>
      </c>
      <c r="IT22">
        <f/>
        <v>0</v>
      </c>
      <c r="IU22">
        <f/>
        <v>0</v>
      </c>
      <c r="IV22">
        <f/>
        <v>0</v>
      </c>
      <c r="IW22">
        <f/>
        <v>0</v>
      </c>
      <c r="IX22">
        <f/>
        <v>0</v>
      </c>
      <c r="IY22">
        <f/>
        <v>0</v>
      </c>
      <c r="IZ22">
        <f/>
        <v>0</v>
      </c>
      <c r="JA22">
        <f/>
        <v>0</v>
      </c>
      <c r="JB22">
        <f/>
        <v>0</v>
      </c>
      <c r="JC22">
        <f/>
        <v>0</v>
      </c>
      <c r="JD22">
        <f/>
        <v>0</v>
      </c>
      <c r="JE22">
        <f/>
        <v>0</v>
      </c>
      <c r="JF22">
        <f/>
        <v>0</v>
      </c>
      <c r="JG22">
        <f/>
        <v>0</v>
      </c>
      <c r="JH22">
        <f/>
        <v>0</v>
      </c>
      <c r="JI22">
        <f/>
        <v>0</v>
      </c>
      <c r="JJ22">
        <f/>
        <v>0</v>
      </c>
      <c r="JK22">
        <f/>
        <v>0</v>
      </c>
      <c r="JL22">
        <f/>
        <v>0</v>
      </c>
      <c r="JM22">
        <f/>
        <v>0</v>
      </c>
      <c r="JN22">
        <f/>
        <v>0</v>
      </c>
      <c r="JO22">
        <f/>
        <v>0</v>
      </c>
      <c r="JP22">
        <f/>
        <v>0</v>
      </c>
      <c r="JQ22">
        <f/>
        <v>0</v>
      </c>
      <c r="JR22">
        <f/>
        <v>0</v>
      </c>
      <c r="JS22">
        <f/>
        <v>0</v>
      </c>
      <c r="JT22">
        <f/>
        <v>0</v>
      </c>
      <c r="JU22">
        <f/>
        <v>0</v>
      </c>
      <c r="JV22">
        <f/>
        <v>0</v>
      </c>
      <c r="JW22">
        <f/>
        <v>0</v>
      </c>
      <c r="JX22">
        <f/>
        <v>0</v>
      </c>
      <c r="JY22">
        <f/>
        <v>0</v>
      </c>
      <c r="JZ22">
        <f/>
        <v>0</v>
      </c>
      <c r="KA22">
        <f/>
        <v>0</v>
      </c>
      <c r="KB22">
        <f/>
        <v>0</v>
      </c>
      <c r="KC22">
        <f/>
        <v>0</v>
      </c>
      <c r="KD22">
        <f/>
        <v>0</v>
      </c>
      <c r="KE22">
        <f/>
        <v>0</v>
      </c>
      <c r="KF22">
        <f/>
        <v>0</v>
      </c>
      <c r="KG22">
        <f/>
        <v>0</v>
      </c>
      <c r="KH22">
        <f/>
        <v>0</v>
      </c>
      <c r="KI22">
        <f/>
        <v>0</v>
      </c>
      <c r="KJ22">
        <f/>
        <v>0</v>
      </c>
      <c r="KK22">
        <f/>
        <v>0</v>
      </c>
      <c r="KL22">
        <f/>
        <v>0</v>
      </c>
      <c r="KM22">
        <f/>
        <v>0</v>
      </c>
      <c r="KN22">
        <f/>
        <v>0</v>
      </c>
      <c r="KO22">
        <f/>
        <v>0</v>
      </c>
      <c r="KP22">
        <f/>
        <v>0</v>
      </c>
      <c r="KQ22">
        <f/>
        <v>0</v>
      </c>
      <c r="KR22">
        <f/>
        <v>0</v>
      </c>
      <c r="KS22">
        <f/>
        <v>0</v>
      </c>
      <c r="KT22">
        <f/>
        <v>0</v>
      </c>
      <c r="KU22">
        <f/>
        <v>0</v>
      </c>
      <c r="KV22">
        <f/>
        <v>0</v>
      </c>
      <c r="KW22">
        <f/>
        <v>0</v>
      </c>
      <c r="KX22">
        <f/>
        <v>0</v>
      </c>
      <c r="KY22">
        <f/>
        <v>0</v>
      </c>
      <c r="KZ22">
        <f/>
        <v>0</v>
      </c>
      <c r="LA22">
        <f/>
        <v>0</v>
      </c>
      <c r="LB22">
        <f/>
        <v>0</v>
      </c>
      <c r="LC22">
        <f/>
        <v>0</v>
      </c>
      <c r="LD22">
        <f/>
        <v>0</v>
      </c>
      <c r="LE22">
        <f/>
        <v>0</v>
      </c>
      <c r="LF22">
        <f/>
        <v>0</v>
      </c>
      <c r="LG22">
        <f/>
        <v>0</v>
      </c>
      <c r="LH22">
        <f/>
        <v>0</v>
      </c>
      <c r="LI22">
        <f/>
        <v>0</v>
      </c>
      <c r="LJ22">
        <f/>
        <v>0</v>
      </c>
      <c r="LK22">
        <f/>
        <v>0</v>
      </c>
      <c r="LL22">
        <f/>
        <v>0</v>
      </c>
      <c r="LM22">
        <f/>
        <v>0</v>
      </c>
      <c r="LN22">
        <f/>
        <v>0</v>
      </c>
      <c r="LO22">
        <f/>
        <v>0</v>
      </c>
      <c r="LP22">
        <f/>
        <v>0</v>
      </c>
      <c r="LQ22">
        <f/>
        <v>0</v>
      </c>
      <c r="LR22">
        <f/>
        <v>0</v>
      </c>
      <c r="LS22">
        <f/>
        <v>0</v>
      </c>
      <c r="LT22">
        <f/>
        <v>0</v>
      </c>
      <c r="LU22">
        <f/>
        <v>0</v>
      </c>
      <c r="LV22">
        <f/>
        <v>0</v>
      </c>
      <c r="LW22">
        <f/>
        <v>0</v>
      </c>
      <c r="LX22">
        <f/>
        <v>0</v>
      </c>
      <c r="LY22">
        <f/>
        <v>0</v>
      </c>
      <c r="LZ22">
        <f/>
        <v>0</v>
      </c>
      <c r="MA22">
        <f/>
        <v>0</v>
      </c>
      <c r="MB22">
        <f/>
        <v>0</v>
      </c>
      <c r="MC22">
        <f/>
        <v>0</v>
      </c>
      <c r="MD22">
        <f/>
        <v>0</v>
      </c>
      <c r="ME22">
        <f/>
        <v>0</v>
      </c>
      <c r="MF22">
        <f/>
        <v>0</v>
      </c>
      <c r="MG22">
        <f/>
        <v>0</v>
      </c>
      <c r="MH22">
        <f/>
        <v>0</v>
      </c>
      <c r="MI22">
        <f/>
        <v>0</v>
      </c>
      <c r="MJ22">
        <f/>
        <v>0</v>
      </c>
      <c r="MK22">
        <f/>
        <v>0</v>
      </c>
      <c r="ML22">
        <f/>
        <v>0</v>
      </c>
      <c r="MM22">
        <f/>
        <v>0</v>
      </c>
      <c r="MN22">
        <f/>
        <v>0</v>
      </c>
      <c r="MO22">
        <f/>
        <v>0</v>
      </c>
      <c r="MP22">
        <f/>
        <v>0</v>
      </c>
      <c r="MQ22">
        <f/>
        <v>0</v>
      </c>
      <c r="MR22">
        <f/>
        <v>0</v>
      </c>
      <c r="MS22">
        <f/>
        <v>0</v>
      </c>
      <c r="MT22">
        <f/>
        <v>0</v>
      </c>
      <c r="MU22">
        <f/>
        <v>0</v>
      </c>
      <c r="MV22">
        <f/>
        <v>0</v>
      </c>
      <c r="MW22">
        <f/>
        <v>0</v>
      </c>
      <c r="MX22">
        <f/>
        <v>0</v>
      </c>
      <c r="MY22">
        <f/>
        <v>0</v>
      </c>
      <c r="MZ22">
        <f/>
        <v>0</v>
      </c>
      <c r="NA22">
        <f/>
        <v>0</v>
      </c>
      <c r="NB22">
        <f/>
        <v>0</v>
      </c>
      <c r="NC22">
        <f/>
        <v>0</v>
      </c>
    </row>
    <row r="23" spans="1:367" x14ac:dyDescent="0.25">
      <c r="A23" s="141">
        <v>46211</v>
      </c>
      <c r="B23" s="162" cm="1">
        <f t="array" ref="B23">nabla.f.TimelineOffsetλ(A23,_xlfn.ANCHORARRAY( $C$18))</f>
        <v>10</v>
      </c>
      <c r="C23" cm="1">
        <f t="array" ref="C23:NC23">N(_xlfn.ANCHORARRAY($C$18)=INDEX(_xlfn.ANCHORARRAY($C$18),B23+1))</f>
        <v>0</v>
      </c>
      <c r="D23">
        <f/>
        <v>0</v>
      </c>
      <c r="E23">
        <f/>
        <v>0</v>
      </c>
      <c r="F23">
        <f/>
        <v>0</v>
      </c>
      <c r="G23">
        <f/>
        <v>0</v>
      </c>
      <c r="H23">
        <f/>
        <v>0</v>
      </c>
      <c r="I23">
        <f/>
        <v>0</v>
      </c>
      <c r="J23">
        <f/>
        <v>0</v>
      </c>
      <c r="K23">
        <f/>
        <v>0</v>
      </c>
      <c r="L23">
        <f/>
        <v>0</v>
      </c>
      <c r="M23">
        <f/>
        <v>1</v>
      </c>
      <c r="N23">
        <f/>
        <v>0</v>
      </c>
      <c r="O23">
        <f/>
        <v>0</v>
      </c>
      <c r="P23">
        <f/>
        <v>0</v>
      </c>
      <c r="Q23">
        <f/>
        <v>0</v>
      </c>
      <c r="R23">
        <f/>
        <v>0</v>
      </c>
      <c r="S23">
        <f/>
        <v>0</v>
      </c>
      <c r="T23">
        <f/>
        <v>0</v>
      </c>
      <c r="U23">
        <f/>
        <v>0</v>
      </c>
      <c r="V23">
        <f/>
        <v>0</v>
      </c>
      <c r="W23">
        <f/>
        <v>0</v>
      </c>
      <c r="X23">
        <f/>
        <v>0</v>
      </c>
      <c r="Y23">
        <f/>
        <v>0</v>
      </c>
      <c r="Z23">
        <f/>
        <v>0</v>
      </c>
      <c r="AA23">
        <f/>
        <v>0</v>
      </c>
      <c r="AB23">
        <f/>
        <v>0</v>
      </c>
      <c r="AC23">
        <f/>
        <v>0</v>
      </c>
      <c r="AD23">
        <f/>
        <v>0</v>
      </c>
      <c r="AE23">
        <f/>
        <v>0</v>
      </c>
      <c r="AF23">
        <f/>
        <v>0</v>
      </c>
      <c r="AG23">
        <f/>
        <v>0</v>
      </c>
      <c r="AH23">
        <f/>
        <v>0</v>
      </c>
      <c r="AI23">
        <f/>
        <v>0</v>
      </c>
      <c r="AJ23">
        <f/>
        <v>0</v>
      </c>
      <c r="AK23">
        <f/>
        <v>0</v>
      </c>
      <c r="AL23">
        <f/>
        <v>0</v>
      </c>
      <c r="AM23">
        <f/>
        <v>0</v>
      </c>
      <c r="AN23">
        <f/>
        <v>0</v>
      </c>
      <c r="AO23">
        <f/>
        <v>0</v>
      </c>
      <c r="AP23">
        <f/>
        <v>0</v>
      </c>
      <c r="AQ23">
        <f/>
        <v>0</v>
      </c>
      <c r="AR23">
        <f/>
        <v>0</v>
      </c>
      <c r="AS23">
        <f/>
        <v>0</v>
      </c>
      <c r="AT23">
        <f/>
        <v>0</v>
      </c>
      <c r="AU23">
        <f/>
        <v>0</v>
      </c>
      <c r="AV23">
        <f/>
        <v>0</v>
      </c>
      <c r="AW23">
        <f/>
        <v>0</v>
      </c>
      <c r="AX23">
        <f/>
        <v>0</v>
      </c>
      <c r="AY23">
        <f/>
        <v>0</v>
      </c>
      <c r="AZ23">
        <f/>
        <v>0</v>
      </c>
      <c r="BA23">
        <f/>
        <v>0</v>
      </c>
      <c r="BB23">
        <f/>
        <v>0</v>
      </c>
      <c r="BC23">
        <f/>
        <v>0</v>
      </c>
      <c r="BD23">
        <f/>
        <v>0</v>
      </c>
      <c r="BE23">
        <f/>
        <v>0</v>
      </c>
      <c r="BF23">
        <f/>
        <v>0</v>
      </c>
      <c r="BG23">
        <f/>
        <v>0</v>
      </c>
      <c r="BH23">
        <f/>
        <v>0</v>
      </c>
      <c r="BI23">
        <f/>
        <v>0</v>
      </c>
      <c r="BJ23">
        <f/>
        <v>0</v>
      </c>
      <c r="BK23">
        <f/>
        <v>0</v>
      </c>
      <c r="BL23">
        <f/>
        <v>0</v>
      </c>
      <c r="BM23">
        <f/>
        <v>0</v>
      </c>
      <c r="BN23">
        <f/>
        <v>0</v>
      </c>
      <c r="BO23">
        <f/>
        <v>0</v>
      </c>
      <c r="BP23">
        <f/>
        <v>0</v>
      </c>
      <c r="BQ23">
        <f/>
        <v>0</v>
      </c>
      <c r="BR23">
        <f/>
        <v>0</v>
      </c>
      <c r="BS23">
        <f/>
        <v>0</v>
      </c>
      <c r="BT23">
        <f/>
        <v>0</v>
      </c>
      <c r="BU23">
        <f/>
        <v>0</v>
      </c>
      <c r="BV23">
        <f/>
        <v>0</v>
      </c>
      <c r="BW23">
        <f/>
        <v>0</v>
      </c>
      <c r="BX23">
        <f/>
        <v>0</v>
      </c>
      <c r="BY23">
        <f/>
        <v>0</v>
      </c>
      <c r="BZ23">
        <f/>
        <v>0</v>
      </c>
      <c r="CA23">
        <f/>
        <v>0</v>
      </c>
      <c r="CB23">
        <f/>
        <v>0</v>
      </c>
      <c r="CC23">
        <f/>
        <v>0</v>
      </c>
      <c r="CD23">
        <f/>
        <v>0</v>
      </c>
      <c r="CE23">
        <f/>
        <v>0</v>
      </c>
      <c r="CF23">
        <f/>
        <v>0</v>
      </c>
      <c r="CG23">
        <f/>
        <v>0</v>
      </c>
      <c r="CH23">
        <f/>
        <v>0</v>
      </c>
      <c r="CI23">
        <f/>
        <v>0</v>
      </c>
      <c r="CJ23">
        <f/>
        <v>0</v>
      </c>
      <c r="CK23">
        <f/>
        <v>0</v>
      </c>
      <c r="CL23">
        <f/>
        <v>0</v>
      </c>
      <c r="CM23">
        <f/>
        <v>0</v>
      </c>
      <c r="CN23">
        <f/>
        <v>0</v>
      </c>
      <c r="CO23">
        <f/>
        <v>0</v>
      </c>
      <c r="CP23">
        <f/>
        <v>0</v>
      </c>
      <c r="CQ23">
        <f/>
        <v>0</v>
      </c>
      <c r="CR23">
        <f/>
        <v>0</v>
      </c>
      <c r="CS23">
        <f/>
        <v>0</v>
      </c>
      <c r="CT23">
        <f/>
        <v>0</v>
      </c>
      <c r="CU23">
        <f/>
        <v>0</v>
      </c>
      <c r="CV23">
        <f/>
        <v>0</v>
      </c>
      <c r="CW23">
        <f/>
        <v>0</v>
      </c>
      <c r="CX23">
        <f/>
        <v>0</v>
      </c>
      <c r="CY23">
        <f/>
        <v>0</v>
      </c>
      <c r="CZ23">
        <f/>
        <v>0</v>
      </c>
      <c r="DA23">
        <f/>
        <v>0</v>
      </c>
      <c r="DB23">
        <f/>
        <v>0</v>
      </c>
      <c r="DC23">
        <f/>
        <v>0</v>
      </c>
      <c r="DD23">
        <f/>
        <v>0</v>
      </c>
      <c r="DE23">
        <f/>
        <v>0</v>
      </c>
      <c r="DF23">
        <f/>
        <v>0</v>
      </c>
      <c r="DG23">
        <f/>
        <v>0</v>
      </c>
      <c r="DH23">
        <f/>
        <v>0</v>
      </c>
      <c r="DI23">
        <f/>
        <v>0</v>
      </c>
      <c r="DJ23">
        <f/>
        <v>0</v>
      </c>
      <c r="DK23">
        <f/>
        <v>0</v>
      </c>
      <c r="DL23">
        <f/>
        <v>0</v>
      </c>
      <c r="DM23">
        <f/>
        <v>0</v>
      </c>
      <c r="DN23">
        <f/>
        <v>0</v>
      </c>
      <c r="DO23">
        <f/>
        <v>0</v>
      </c>
      <c r="DP23">
        <f/>
        <v>0</v>
      </c>
      <c r="DQ23">
        <f/>
        <v>0</v>
      </c>
      <c r="DR23">
        <f/>
        <v>0</v>
      </c>
      <c r="DS23">
        <f/>
        <v>0</v>
      </c>
      <c r="DT23">
        <f/>
        <v>0</v>
      </c>
      <c r="DU23">
        <f/>
        <v>0</v>
      </c>
      <c r="DV23">
        <f/>
        <v>0</v>
      </c>
      <c r="DW23">
        <f/>
        <v>0</v>
      </c>
      <c r="DX23">
        <f/>
        <v>0</v>
      </c>
      <c r="DY23">
        <f/>
        <v>0</v>
      </c>
      <c r="DZ23">
        <f/>
        <v>0</v>
      </c>
      <c r="EA23">
        <f/>
        <v>0</v>
      </c>
      <c r="EB23">
        <f/>
        <v>0</v>
      </c>
      <c r="EC23">
        <f/>
        <v>0</v>
      </c>
      <c r="ED23">
        <f/>
        <v>0</v>
      </c>
      <c r="EE23">
        <f/>
        <v>0</v>
      </c>
      <c r="EF23">
        <f/>
        <v>0</v>
      </c>
      <c r="EG23">
        <f/>
        <v>0</v>
      </c>
      <c r="EH23">
        <f/>
        <v>0</v>
      </c>
      <c r="EI23">
        <f/>
        <v>0</v>
      </c>
      <c r="EJ23">
        <f/>
        <v>0</v>
      </c>
      <c r="EK23">
        <f/>
        <v>0</v>
      </c>
      <c r="EL23">
        <f/>
        <v>0</v>
      </c>
      <c r="EM23">
        <f/>
        <v>0</v>
      </c>
      <c r="EN23">
        <f/>
        <v>0</v>
      </c>
      <c r="EO23">
        <f/>
        <v>0</v>
      </c>
      <c r="EP23">
        <f/>
        <v>0</v>
      </c>
      <c r="EQ23">
        <f/>
        <v>0</v>
      </c>
      <c r="ER23">
        <f/>
        <v>0</v>
      </c>
      <c r="ES23">
        <f/>
        <v>0</v>
      </c>
      <c r="ET23">
        <f/>
        <v>0</v>
      </c>
      <c r="EU23">
        <f/>
        <v>0</v>
      </c>
      <c r="EV23">
        <f/>
        <v>0</v>
      </c>
      <c r="EW23">
        <f/>
        <v>0</v>
      </c>
      <c r="EX23">
        <f/>
        <v>0</v>
      </c>
      <c r="EY23">
        <f/>
        <v>0</v>
      </c>
      <c r="EZ23">
        <f/>
        <v>0</v>
      </c>
      <c r="FA23">
        <f/>
        <v>0</v>
      </c>
      <c r="FB23">
        <f/>
        <v>0</v>
      </c>
      <c r="FC23">
        <f/>
        <v>0</v>
      </c>
      <c r="FD23">
        <f/>
        <v>0</v>
      </c>
      <c r="FE23">
        <f/>
        <v>0</v>
      </c>
      <c r="FF23">
        <f/>
        <v>0</v>
      </c>
      <c r="FG23">
        <f/>
        <v>0</v>
      </c>
      <c r="FH23">
        <f/>
        <v>0</v>
      </c>
      <c r="FI23">
        <f/>
        <v>0</v>
      </c>
      <c r="FJ23">
        <f/>
        <v>0</v>
      </c>
      <c r="FK23">
        <f/>
        <v>0</v>
      </c>
      <c r="FL23">
        <f/>
        <v>0</v>
      </c>
      <c r="FM23">
        <f/>
        <v>0</v>
      </c>
      <c r="FN23">
        <f/>
        <v>0</v>
      </c>
      <c r="FO23">
        <f/>
        <v>0</v>
      </c>
      <c r="FP23">
        <f/>
        <v>0</v>
      </c>
      <c r="FQ23">
        <f/>
        <v>0</v>
      </c>
      <c r="FR23">
        <f/>
        <v>0</v>
      </c>
      <c r="FS23">
        <f/>
        <v>0</v>
      </c>
      <c r="FT23">
        <f/>
        <v>0</v>
      </c>
      <c r="FU23">
        <f/>
        <v>0</v>
      </c>
      <c r="FV23">
        <f/>
        <v>0</v>
      </c>
      <c r="FW23">
        <f/>
        <v>0</v>
      </c>
      <c r="FX23">
        <f/>
        <v>0</v>
      </c>
      <c r="FY23">
        <f/>
        <v>0</v>
      </c>
      <c r="FZ23">
        <f/>
        <v>0</v>
      </c>
      <c r="GA23">
        <f/>
        <v>0</v>
      </c>
      <c r="GB23">
        <f/>
        <v>0</v>
      </c>
      <c r="GC23">
        <f/>
        <v>0</v>
      </c>
      <c r="GD23">
        <f/>
        <v>0</v>
      </c>
      <c r="GE23">
        <f/>
        <v>0</v>
      </c>
      <c r="GF23">
        <f/>
        <v>0</v>
      </c>
      <c r="GG23">
        <f/>
        <v>0</v>
      </c>
      <c r="GH23">
        <f/>
        <v>0</v>
      </c>
      <c r="GI23">
        <f/>
        <v>0</v>
      </c>
      <c r="GJ23">
        <f/>
        <v>0</v>
      </c>
      <c r="GK23">
        <f/>
        <v>0</v>
      </c>
      <c r="GL23">
        <f/>
        <v>0</v>
      </c>
      <c r="GM23">
        <f/>
        <v>0</v>
      </c>
      <c r="GN23">
        <f/>
        <v>0</v>
      </c>
      <c r="GO23">
        <f/>
        <v>0</v>
      </c>
      <c r="GP23">
        <f/>
        <v>0</v>
      </c>
      <c r="GQ23">
        <f/>
        <v>0</v>
      </c>
      <c r="GR23">
        <f/>
        <v>0</v>
      </c>
      <c r="GS23">
        <f/>
        <v>0</v>
      </c>
      <c r="GT23">
        <f/>
        <v>0</v>
      </c>
      <c r="GU23">
        <f/>
        <v>0</v>
      </c>
      <c r="GV23">
        <f/>
        <v>0</v>
      </c>
      <c r="GW23">
        <f/>
        <v>0</v>
      </c>
      <c r="GX23">
        <f/>
        <v>0</v>
      </c>
      <c r="GY23">
        <f/>
        <v>0</v>
      </c>
      <c r="GZ23">
        <f/>
        <v>0</v>
      </c>
      <c r="HA23">
        <f/>
        <v>0</v>
      </c>
      <c r="HB23">
        <f/>
        <v>0</v>
      </c>
      <c r="HC23">
        <f/>
        <v>0</v>
      </c>
      <c r="HD23">
        <f/>
        <v>0</v>
      </c>
      <c r="HE23">
        <f/>
        <v>0</v>
      </c>
      <c r="HF23">
        <f/>
        <v>0</v>
      </c>
      <c r="HG23">
        <f/>
        <v>0</v>
      </c>
      <c r="HH23">
        <f/>
        <v>0</v>
      </c>
      <c r="HI23">
        <f/>
        <v>0</v>
      </c>
      <c r="HJ23">
        <f/>
        <v>0</v>
      </c>
      <c r="HK23">
        <f/>
        <v>0</v>
      </c>
      <c r="HL23">
        <f/>
        <v>0</v>
      </c>
      <c r="HM23">
        <f/>
        <v>0</v>
      </c>
      <c r="HN23">
        <f/>
        <v>0</v>
      </c>
      <c r="HO23">
        <f/>
        <v>0</v>
      </c>
      <c r="HP23">
        <f/>
        <v>0</v>
      </c>
      <c r="HQ23">
        <f/>
        <v>0</v>
      </c>
      <c r="HR23">
        <f/>
        <v>0</v>
      </c>
      <c r="HS23">
        <f/>
        <v>0</v>
      </c>
      <c r="HT23">
        <f/>
        <v>0</v>
      </c>
      <c r="HU23">
        <f/>
        <v>0</v>
      </c>
      <c r="HV23">
        <f/>
        <v>0</v>
      </c>
      <c r="HW23">
        <f/>
        <v>0</v>
      </c>
      <c r="HX23">
        <f/>
        <v>0</v>
      </c>
      <c r="HY23">
        <f/>
        <v>0</v>
      </c>
      <c r="HZ23">
        <f/>
        <v>0</v>
      </c>
      <c r="IA23">
        <f/>
        <v>0</v>
      </c>
      <c r="IB23">
        <f/>
        <v>0</v>
      </c>
      <c r="IC23">
        <f/>
        <v>0</v>
      </c>
      <c r="ID23">
        <f/>
        <v>0</v>
      </c>
      <c r="IE23">
        <f/>
        <v>0</v>
      </c>
      <c r="IF23">
        <f/>
        <v>0</v>
      </c>
      <c r="IG23">
        <f/>
        <v>0</v>
      </c>
      <c r="IH23">
        <f/>
        <v>0</v>
      </c>
      <c r="II23">
        <f/>
        <v>0</v>
      </c>
      <c r="IJ23">
        <f/>
        <v>0</v>
      </c>
      <c r="IK23">
        <f/>
        <v>0</v>
      </c>
      <c r="IL23">
        <f/>
        <v>0</v>
      </c>
      <c r="IM23">
        <f/>
        <v>0</v>
      </c>
      <c r="IN23">
        <f/>
        <v>0</v>
      </c>
      <c r="IO23">
        <f/>
        <v>0</v>
      </c>
      <c r="IP23">
        <f/>
        <v>0</v>
      </c>
      <c r="IQ23">
        <f/>
        <v>0</v>
      </c>
      <c r="IR23">
        <f/>
        <v>0</v>
      </c>
      <c r="IS23">
        <f/>
        <v>0</v>
      </c>
      <c r="IT23">
        <f/>
        <v>0</v>
      </c>
      <c r="IU23">
        <f/>
        <v>0</v>
      </c>
      <c r="IV23">
        <f/>
        <v>0</v>
      </c>
      <c r="IW23">
        <f/>
        <v>0</v>
      </c>
      <c r="IX23">
        <f/>
        <v>0</v>
      </c>
      <c r="IY23">
        <f/>
        <v>0</v>
      </c>
      <c r="IZ23">
        <f/>
        <v>0</v>
      </c>
      <c r="JA23">
        <f/>
        <v>0</v>
      </c>
      <c r="JB23">
        <f/>
        <v>0</v>
      </c>
      <c r="JC23">
        <f/>
        <v>0</v>
      </c>
      <c r="JD23">
        <f/>
        <v>0</v>
      </c>
      <c r="JE23">
        <f/>
        <v>0</v>
      </c>
      <c r="JF23">
        <f/>
        <v>0</v>
      </c>
      <c r="JG23">
        <f/>
        <v>0</v>
      </c>
      <c r="JH23">
        <f/>
        <v>0</v>
      </c>
      <c r="JI23">
        <f/>
        <v>0</v>
      </c>
      <c r="JJ23">
        <f/>
        <v>0</v>
      </c>
      <c r="JK23">
        <f/>
        <v>0</v>
      </c>
      <c r="JL23">
        <f/>
        <v>0</v>
      </c>
      <c r="JM23">
        <f/>
        <v>0</v>
      </c>
      <c r="JN23">
        <f/>
        <v>0</v>
      </c>
      <c r="JO23">
        <f/>
        <v>0</v>
      </c>
      <c r="JP23">
        <f/>
        <v>0</v>
      </c>
      <c r="JQ23">
        <f/>
        <v>0</v>
      </c>
      <c r="JR23">
        <f/>
        <v>0</v>
      </c>
      <c r="JS23">
        <f/>
        <v>0</v>
      </c>
      <c r="JT23">
        <f/>
        <v>0</v>
      </c>
      <c r="JU23">
        <f/>
        <v>0</v>
      </c>
      <c r="JV23">
        <f/>
        <v>0</v>
      </c>
      <c r="JW23">
        <f/>
        <v>0</v>
      </c>
      <c r="JX23">
        <f/>
        <v>0</v>
      </c>
      <c r="JY23">
        <f/>
        <v>0</v>
      </c>
      <c r="JZ23">
        <f/>
        <v>0</v>
      </c>
      <c r="KA23">
        <f/>
        <v>0</v>
      </c>
      <c r="KB23">
        <f/>
        <v>0</v>
      </c>
      <c r="KC23">
        <f/>
        <v>0</v>
      </c>
      <c r="KD23">
        <f/>
        <v>0</v>
      </c>
      <c r="KE23">
        <f/>
        <v>0</v>
      </c>
      <c r="KF23">
        <f/>
        <v>0</v>
      </c>
      <c r="KG23">
        <f/>
        <v>0</v>
      </c>
      <c r="KH23">
        <f/>
        <v>0</v>
      </c>
      <c r="KI23">
        <f/>
        <v>0</v>
      </c>
      <c r="KJ23">
        <f/>
        <v>0</v>
      </c>
      <c r="KK23">
        <f/>
        <v>0</v>
      </c>
      <c r="KL23">
        <f/>
        <v>0</v>
      </c>
      <c r="KM23">
        <f/>
        <v>0</v>
      </c>
      <c r="KN23">
        <f/>
        <v>0</v>
      </c>
      <c r="KO23">
        <f/>
        <v>0</v>
      </c>
      <c r="KP23">
        <f/>
        <v>0</v>
      </c>
      <c r="KQ23">
        <f/>
        <v>0</v>
      </c>
      <c r="KR23">
        <f/>
        <v>0</v>
      </c>
      <c r="KS23">
        <f/>
        <v>0</v>
      </c>
      <c r="KT23">
        <f/>
        <v>0</v>
      </c>
      <c r="KU23">
        <f/>
        <v>0</v>
      </c>
      <c r="KV23">
        <f/>
        <v>0</v>
      </c>
      <c r="KW23">
        <f/>
        <v>0</v>
      </c>
      <c r="KX23">
        <f/>
        <v>0</v>
      </c>
      <c r="KY23">
        <f/>
        <v>0</v>
      </c>
      <c r="KZ23">
        <f/>
        <v>0</v>
      </c>
      <c r="LA23">
        <f/>
        <v>0</v>
      </c>
      <c r="LB23">
        <f/>
        <v>0</v>
      </c>
      <c r="LC23">
        <f/>
        <v>0</v>
      </c>
      <c r="LD23">
        <f/>
        <v>0</v>
      </c>
      <c r="LE23">
        <f/>
        <v>0</v>
      </c>
      <c r="LF23">
        <f/>
        <v>0</v>
      </c>
      <c r="LG23">
        <f/>
        <v>0</v>
      </c>
      <c r="LH23">
        <f/>
        <v>0</v>
      </c>
      <c r="LI23">
        <f/>
        <v>0</v>
      </c>
      <c r="LJ23">
        <f/>
        <v>0</v>
      </c>
      <c r="LK23">
        <f/>
        <v>0</v>
      </c>
      <c r="LL23">
        <f/>
        <v>0</v>
      </c>
      <c r="LM23">
        <f/>
        <v>0</v>
      </c>
      <c r="LN23">
        <f/>
        <v>0</v>
      </c>
      <c r="LO23">
        <f/>
        <v>0</v>
      </c>
      <c r="LP23">
        <f/>
        <v>0</v>
      </c>
      <c r="LQ23">
        <f/>
        <v>0</v>
      </c>
      <c r="LR23">
        <f/>
        <v>0</v>
      </c>
      <c r="LS23">
        <f/>
        <v>0</v>
      </c>
      <c r="LT23">
        <f/>
        <v>0</v>
      </c>
      <c r="LU23">
        <f/>
        <v>0</v>
      </c>
      <c r="LV23">
        <f/>
        <v>0</v>
      </c>
      <c r="LW23">
        <f/>
        <v>0</v>
      </c>
      <c r="LX23">
        <f/>
        <v>0</v>
      </c>
      <c r="LY23">
        <f/>
        <v>0</v>
      </c>
      <c r="LZ23">
        <f/>
        <v>0</v>
      </c>
      <c r="MA23">
        <f/>
        <v>0</v>
      </c>
      <c r="MB23">
        <f/>
        <v>0</v>
      </c>
      <c r="MC23">
        <f/>
        <v>0</v>
      </c>
      <c r="MD23">
        <f/>
        <v>0</v>
      </c>
      <c r="ME23">
        <f/>
        <v>0</v>
      </c>
      <c r="MF23">
        <f/>
        <v>0</v>
      </c>
      <c r="MG23">
        <f/>
        <v>0</v>
      </c>
      <c r="MH23">
        <f/>
        <v>0</v>
      </c>
      <c r="MI23">
        <f/>
        <v>0</v>
      </c>
      <c r="MJ23">
        <f/>
        <v>0</v>
      </c>
      <c r="MK23">
        <f/>
        <v>0</v>
      </c>
      <c r="ML23">
        <f/>
        <v>0</v>
      </c>
      <c r="MM23">
        <f/>
        <v>0</v>
      </c>
      <c r="MN23">
        <f/>
        <v>0</v>
      </c>
      <c r="MO23">
        <f/>
        <v>0</v>
      </c>
      <c r="MP23">
        <f/>
        <v>0</v>
      </c>
      <c r="MQ23">
        <f/>
        <v>0</v>
      </c>
      <c r="MR23">
        <f/>
        <v>0</v>
      </c>
      <c r="MS23">
        <f/>
        <v>0</v>
      </c>
      <c r="MT23">
        <f/>
        <v>0</v>
      </c>
      <c r="MU23">
        <f/>
        <v>0</v>
      </c>
      <c r="MV23">
        <f/>
        <v>0</v>
      </c>
      <c r="MW23">
        <f/>
        <v>0</v>
      </c>
      <c r="MX23">
        <f/>
        <v>0</v>
      </c>
      <c r="MY23">
        <f/>
        <v>0</v>
      </c>
      <c r="MZ23">
        <f/>
        <v>0</v>
      </c>
      <c r="NA23">
        <f/>
        <v>0</v>
      </c>
      <c r="NB23">
        <f/>
        <v>0</v>
      </c>
      <c r="NC23">
        <f/>
        <v>0</v>
      </c>
    </row>
    <row r="24" spans="1:367" x14ac:dyDescent="0.25">
      <c r="A24" s="141">
        <v>46258</v>
      </c>
      <c r="B24" s="162" cm="1">
        <f t="array" ref="B24">nabla.f.TimelineOffsetλ(A24,_xlfn.ANCHORARRAY( $C$18))</f>
        <v>5</v>
      </c>
      <c r="C24" cm="1">
        <f t="array" ref="C24:NC24">N(_xlfn.ANCHORARRAY($C$18)=INDEX(_xlfn.ANCHORARRAY($C$18),B24+1))</f>
        <v>0</v>
      </c>
      <c r="D24">
        <f/>
        <v>0</v>
      </c>
      <c r="E24">
        <f/>
        <v>0</v>
      </c>
      <c r="F24">
        <f/>
        <v>0</v>
      </c>
      <c r="G24">
        <f/>
        <v>0</v>
      </c>
      <c r="H24">
        <f/>
        <v>1</v>
      </c>
      <c r="I24">
        <f/>
        <v>0</v>
      </c>
      <c r="J24">
        <f/>
        <v>0</v>
      </c>
      <c r="K24">
        <f/>
        <v>0</v>
      </c>
      <c r="L24">
        <f/>
        <v>0</v>
      </c>
      <c r="M24">
        <f/>
        <v>0</v>
      </c>
      <c r="N24">
        <f/>
        <v>0</v>
      </c>
      <c r="O24">
        <f/>
        <v>0</v>
      </c>
      <c r="P24">
        <f/>
        <v>0</v>
      </c>
      <c r="Q24">
        <f/>
        <v>0</v>
      </c>
      <c r="R24">
        <f/>
        <v>0</v>
      </c>
      <c r="S24">
        <f/>
        <v>0</v>
      </c>
      <c r="T24">
        <f/>
        <v>0</v>
      </c>
      <c r="U24">
        <f/>
        <v>0</v>
      </c>
      <c r="V24">
        <f/>
        <v>0</v>
      </c>
      <c r="W24">
        <f/>
        <v>0</v>
      </c>
      <c r="X24">
        <f/>
        <v>0</v>
      </c>
      <c r="Y24">
        <f/>
        <v>0</v>
      </c>
      <c r="Z24">
        <f/>
        <v>0</v>
      </c>
      <c r="AA24">
        <f/>
        <v>0</v>
      </c>
      <c r="AB24">
        <f/>
        <v>0</v>
      </c>
      <c r="AC24">
        <f/>
        <v>0</v>
      </c>
      <c r="AD24">
        <f/>
        <v>0</v>
      </c>
      <c r="AE24">
        <f/>
        <v>0</v>
      </c>
      <c r="AF24">
        <f/>
        <v>0</v>
      </c>
      <c r="AG24">
        <f/>
        <v>0</v>
      </c>
      <c r="AH24">
        <f/>
        <v>0</v>
      </c>
      <c r="AI24">
        <f/>
        <v>0</v>
      </c>
      <c r="AJ24">
        <f/>
        <v>0</v>
      </c>
      <c r="AK24">
        <f/>
        <v>0</v>
      </c>
      <c r="AL24">
        <f/>
        <v>0</v>
      </c>
      <c r="AM24">
        <f/>
        <v>0</v>
      </c>
      <c r="AN24">
        <f/>
        <v>0</v>
      </c>
      <c r="AO24">
        <f/>
        <v>0</v>
      </c>
      <c r="AP24">
        <f/>
        <v>0</v>
      </c>
      <c r="AQ24">
        <f/>
        <v>0</v>
      </c>
      <c r="AR24">
        <f/>
        <v>0</v>
      </c>
      <c r="AS24">
        <f/>
        <v>0</v>
      </c>
      <c r="AT24">
        <f/>
        <v>0</v>
      </c>
      <c r="AU24">
        <f/>
        <v>0</v>
      </c>
      <c r="AV24">
        <f/>
        <v>0</v>
      </c>
      <c r="AW24">
        <f/>
        <v>0</v>
      </c>
      <c r="AX24">
        <f/>
        <v>0</v>
      </c>
      <c r="AY24">
        <f/>
        <v>0</v>
      </c>
      <c r="AZ24">
        <f/>
        <v>0</v>
      </c>
      <c r="BA24">
        <f/>
        <v>0</v>
      </c>
      <c r="BB24">
        <f/>
        <v>0</v>
      </c>
      <c r="BC24">
        <f/>
        <v>0</v>
      </c>
      <c r="BD24">
        <f/>
        <v>0</v>
      </c>
      <c r="BE24">
        <f/>
        <v>0</v>
      </c>
      <c r="BF24">
        <f/>
        <v>0</v>
      </c>
      <c r="BG24">
        <f/>
        <v>0</v>
      </c>
      <c r="BH24">
        <f/>
        <v>0</v>
      </c>
      <c r="BI24">
        <f/>
        <v>0</v>
      </c>
      <c r="BJ24">
        <f/>
        <v>0</v>
      </c>
      <c r="BK24">
        <f/>
        <v>0</v>
      </c>
      <c r="BL24">
        <f/>
        <v>0</v>
      </c>
      <c r="BM24">
        <f/>
        <v>0</v>
      </c>
      <c r="BN24">
        <f/>
        <v>0</v>
      </c>
      <c r="BO24">
        <f/>
        <v>0</v>
      </c>
      <c r="BP24">
        <f/>
        <v>0</v>
      </c>
      <c r="BQ24">
        <f/>
        <v>0</v>
      </c>
      <c r="BR24">
        <f/>
        <v>0</v>
      </c>
      <c r="BS24">
        <f/>
        <v>0</v>
      </c>
      <c r="BT24">
        <f/>
        <v>0</v>
      </c>
      <c r="BU24">
        <f/>
        <v>0</v>
      </c>
      <c r="BV24">
        <f/>
        <v>0</v>
      </c>
      <c r="BW24">
        <f/>
        <v>0</v>
      </c>
      <c r="BX24">
        <f/>
        <v>0</v>
      </c>
      <c r="BY24">
        <f/>
        <v>0</v>
      </c>
      <c r="BZ24">
        <f/>
        <v>0</v>
      </c>
      <c r="CA24">
        <f/>
        <v>0</v>
      </c>
      <c r="CB24">
        <f/>
        <v>0</v>
      </c>
      <c r="CC24">
        <f/>
        <v>0</v>
      </c>
      <c r="CD24">
        <f/>
        <v>0</v>
      </c>
      <c r="CE24">
        <f/>
        <v>0</v>
      </c>
      <c r="CF24">
        <f/>
        <v>0</v>
      </c>
      <c r="CG24">
        <f/>
        <v>0</v>
      </c>
      <c r="CH24">
        <f/>
        <v>0</v>
      </c>
      <c r="CI24">
        <f/>
        <v>0</v>
      </c>
      <c r="CJ24">
        <f/>
        <v>0</v>
      </c>
      <c r="CK24">
        <f/>
        <v>0</v>
      </c>
      <c r="CL24">
        <f/>
        <v>0</v>
      </c>
      <c r="CM24">
        <f/>
        <v>0</v>
      </c>
      <c r="CN24">
        <f/>
        <v>0</v>
      </c>
      <c r="CO24">
        <f/>
        <v>0</v>
      </c>
      <c r="CP24">
        <f/>
        <v>0</v>
      </c>
      <c r="CQ24">
        <f/>
        <v>0</v>
      </c>
      <c r="CR24">
        <f/>
        <v>0</v>
      </c>
      <c r="CS24">
        <f/>
        <v>0</v>
      </c>
      <c r="CT24">
        <f/>
        <v>0</v>
      </c>
      <c r="CU24">
        <f/>
        <v>0</v>
      </c>
      <c r="CV24">
        <f/>
        <v>0</v>
      </c>
      <c r="CW24">
        <f/>
        <v>0</v>
      </c>
      <c r="CX24">
        <f/>
        <v>0</v>
      </c>
      <c r="CY24">
        <f/>
        <v>0</v>
      </c>
      <c r="CZ24">
        <f/>
        <v>0</v>
      </c>
      <c r="DA24">
        <f/>
        <v>0</v>
      </c>
      <c r="DB24">
        <f/>
        <v>0</v>
      </c>
      <c r="DC24">
        <f/>
        <v>0</v>
      </c>
      <c r="DD24">
        <f/>
        <v>0</v>
      </c>
      <c r="DE24">
        <f/>
        <v>0</v>
      </c>
      <c r="DF24">
        <f/>
        <v>0</v>
      </c>
      <c r="DG24">
        <f/>
        <v>0</v>
      </c>
      <c r="DH24">
        <f/>
        <v>0</v>
      </c>
      <c r="DI24">
        <f/>
        <v>0</v>
      </c>
      <c r="DJ24">
        <f/>
        <v>0</v>
      </c>
      <c r="DK24">
        <f/>
        <v>0</v>
      </c>
      <c r="DL24">
        <f/>
        <v>0</v>
      </c>
      <c r="DM24">
        <f/>
        <v>0</v>
      </c>
      <c r="DN24">
        <f/>
        <v>0</v>
      </c>
      <c r="DO24">
        <f/>
        <v>0</v>
      </c>
      <c r="DP24">
        <f/>
        <v>0</v>
      </c>
      <c r="DQ24">
        <f/>
        <v>0</v>
      </c>
      <c r="DR24">
        <f/>
        <v>0</v>
      </c>
      <c r="DS24">
        <f/>
        <v>0</v>
      </c>
      <c r="DT24">
        <f/>
        <v>0</v>
      </c>
      <c r="DU24">
        <f/>
        <v>0</v>
      </c>
      <c r="DV24">
        <f/>
        <v>0</v>
      </c>
      <c r="DW24">
        <f/>
        <v>0</v>
      </c>
      <c r="DX24">
        <f/>
        <v>0</v>
      </c>
      <c r="DY24">
        <f/>
        <v>0</v>
      </c>
      <c r="DZ24">
        <f/>
        <v>0</v>
      </c>
      <c r="EA24">
        <f/>
        <v>0</v>
      </c>
      <c r="EB24">
        <f/>
        <v>0</v>
      </c>
      <c r="EC24">
        <f/>
        <v>0</v>
      </c>
      <c r="ED24">
        <f/>
        <v>0</v>
      </c>
      <c r="EE24">
        <f/>
        <v>0</v>
      </c>
      <c r="EF24">
        <f/>
        <v>0</v>
      </c>
      <c r="EG24">
        <f/>
        <v>0</v>
      </c>
      <c r="EH24">
        <f/>
        <v>0</v>
      </c>
      <c r="EI24">
        <f/>
        <v>0</v>
      </c>
      <c r="EJ24">
        <f/>
        <v>0</v>
      </c>
      <c r="EK24">
        <f/>
        <v>0</v>
      </c>
      <c r="EL24">
        <f/>
        <v>0</v>
      </c>
      <c r="EM24">
        <f/>
        <v>0</v>
      </c>
      <c r="EN24">
        <f/>
        <v>0</v>
      </c>
      <c r="EO24">
        <f/>
        <v>0</v>
      </c>
      <c r="EP24">
        <f/>
        <v>0</v>
      </c>
      <c r="EQ24">
        <f/>
        <v>0</v>
      </c>
      <c r="ER24">
        <f/>
        <v>0</v>
      </c>
      <c r="ES24">
        <f/>
        <v>0</v>
      </c>
      <c r="ET24">
        <f/>
        <v>0</v>
      </c>
      <c r="EU24">
        <f/>
        <v>0</v>
      </c>
      <c r="EV24">
        <f/>
        <v>0</v>
      </c>
      <c r="EW24">
        <f/>
        <v>0</v>
      </c>
      <c r="EX24">
        <f/>
        <v>0</v>
      </c>
      <c r="EY24">
        <f/>
        <v>0</v>
      </c>
      <c r="EZ24">
        <f/>
        <v>0</v>
      </c>
      <c r="FA24">
        <f/>
        <v>0</v>
      </c>
      <c r="FB24">
        <f/>
        <v>0</v>
      </c>
      <c r="FC24">
        <f/>
        <v>0</v>
      </c>
      <c r="FD24">
        <f/>
        <v>0</v>
      </c>
      <c r="FE24">
        <f/>
        <v>0</v>
      </c>
      <c r="FF24">
        <f/>
        <v>0</v>
      </c>
      <c r="FG24">
        <f/>
        <v>0</v>
      </c>
      <c r="FH24">
        <f/>
        <v>0</v>
      </c>
      <c r="FI24">
        <f/>
        <v>0</v>
      </c>
      <c r="FJ24">
        <f/>
        <v>0</v>
      </c>
      <c r="FK24">
        <f/>
        <v>0</v>
      </c>
      <c r="FL24">
        <f/>
        <v>0</v>
      </c>
      <c r="FM24">
        <f/>
        <v>0</v>
      </c>
      <c r="FN24">
        <f/>
        <v>0</v>
      </c>
      <c r="FO24">
        <f/>
        <v>0</v>
      </c>
      <c r="FP24">
        <f/>
        <v>0</v>
      </c>
      <c r="FQ24">
        <f/>
        <v>0</v>
      </c>
      <c r="FR24">
        <f/>
        <v>0</v>
      </c>
      <c r="FS24">
        <f/>
        <v>0</v>
      </c>
      <c r="FT24">
        <f/>
        <v>0</v>
      </c>
      <c r="FU24">
        <f/>
        <v>0</v>
      </c>
      <c r="FV24">
        <f/>
        <v>0</v>
      </c>
      <c r="FW24">
        <f/>
        <v>0</v>
      </c>
      <c r="FX24">
        <f/>
        <v>0</v>
      </c>
      <c r="FY24">
        <f/>
        <v>0</v>
      </c>
      <c r="FZ24">
        <f/>
        <v>0</v>
      </c>
      <c r="GA24">
        <f/>
        <v>0</v>
      </c>
      <c r="GB24">
        <f/>
        <v>0</v>
      </c>
      <c r="GC24">
        <f/>
        <v>0</v>
      </c>
      <c r="GD24">
        <f/>
        <v>0</v>
      </c>
      <c r="GE24">
        <f/>
        <v>0</v>
      </c>
      <c r="GF24">
        <f/>
        <v>0</v>
      </c>
      <c r="GG24">
        <f/>
        <v>0</v>
      </c>
      <c r="GH24">
        <f/>
        <v>0</v>
      </c>
      <c r="GI24">
        <f/>
        <v>0</v>
      </c>
      <c r="GJ24">
        <f/>
        <v>0</v>
      </c>
      <c r="GK24">
        <f/>
        <v>0</v>
      </c>
      <c r="GL24">
        <f/>
        <v>0</v>
      </c>
      <c r="GM24">
        <f/>
        <v>0</v>
      </c>
      <c r="GN24">
        <f/>
        <v>0</v>
      </c>
      <c r="GO24">
        <f/>
        <v>0</v>
      </c>
      <c r="GP24">
        <f/>
        <v>0</v>
      </c>
      <c r="GQ24">
        <f/>
        <v>0</v>
      </c>
      <c r="GR24">
        <f/>
        <v>0</v>
      </c>
      <c r="GS24">
        <f/>
        <v>0</v>
      </c>
      <c r="GT24">
        <f/>
        <v>0</v>
      </c>
      <c r="GU24">
        <f/>
        <v>0</v>
      </c>
      <c r="GV24">
        <f/>
        <v>0</v>
      </c>
      <c r="GW24">
        <f/>
        <v>0</v>
      </c>
      <c r="GX24">
        <f/>
        <v>0</v>
      </c>
      <c r="GY24">
        <f/>
        <v>0</v>
      </c>
      <c r="GZ24">
        <f/>
        <v>0</v>
      </c>
      <c r="HA24">
        <f/>
        <v>0</v>
      </c>
      <c r="HB24">
        <f/>
        <v>0</v>
      </c>
      <c r="HC24">
        <f/>
        <v>0</v>
      </c>
      <c r="HD24">
        <f/>
        <v>0</v>
      </c>
      <c r="HE24">
        <f/>
        <v>0</v>
      </c>
      <c r="HF24">
        <f/>
        <v>0</v>
      </c>
      <c r="HG24">
        <f/>
        <v>0</v>
      </c>
      <c r="HH24">
        <f/>
        <v>0</v>
      </c>
      <c r="HI24">
        <f/>
        <v>0</v>
      </c>
      <c r="HJ24">
        <f/>
        <v>0</v>
      </c>
      <c r="HK24">
        <f/>
        <v>0</v>
      </c>
      <c r="HL24">
        <f/>
        <v>0</v>
      </c>
      <c r="HM24">
        <f/>
        <v>0</v>
      </c>
      <c r="HN24">
        <f/>
        <v>0</v>
      </c>
      <c r="HO24">
        <f/>
        <v>0</v>
      </c>
      <c r="HP24">
        <f/>
        <v>0</v>
      </c>
      <c r="HQ24">
        <f/>
        <v>0</v>
      </c>
      <c r="HR24">
        <f/>
        <v>0</v>
      </c>
      <c r="HS24">
        <f/>
        <v>0</v>
      </c>
      <c r="HT24">
        <f/>
        <v>0</v>
      </c>
      <c r="HU24">
        <f/>
        <v>0</v>
      </c>
      <c r="HV24">
        <f/>
        <v>0</v>
      </c>
      <c r="HW24">
        <f/>
        <v>0</v>
      </c>
      <c r="HX24">
        <f/>
        <v>0</v>
      </c>
      <c r="HY24">
        <f/>
        <v>0</v>
      </c>
      <c r="HZ24">
        <f/>
        <v>0</v>
      </c>
      <c r="IA24">
        <f/>
        <v>0</v>
      </c>
      <c r="IB24">
        <f/>
        <v>0</v>
      </c>
      <c r="IC24">
        <f/>
        <v>0</v>
      </c>
      <c r="ID24">
        <f/>
        <v>0</v>
      </c>
      <c r="IE24">
        <f/>
        <v>0</v>
      </c>
      <c r="IF24">
        <f/>
        <v>0</v>
      </c>
      <c r="IG24">
        <f/>
        <v>0</v>
      </c>
      <c r="IH24">
        <f/>
        <v>0</v>
      </c>
      <c r="II24">
        <f/>
        <v>0</v>
      </c>
      <c r="IJ24">
        <f/>
        <v>0</v>
      </c>
      <c r="IK24">
        <f/>
        <v>0</v>
      </c>
      <c r="IL24">
        <f/>
        <v>0</v>
      </c>
      <c r="IM24">
        <f/>
        <v>0</v>
      </c>
      <c r="IN24">
        <f/>
        <v>0</v>
      </c>
      <c r="IO24">
        <f/>
        <v>0</v>
      </c>
      <c r="IP24">
        <f/>
        <v>0</v>
      </c>
      <c r="IQ24">
        <f/>
        <v>0</v>
      </c>
      <c r="IR24">
        <f/>
        <v>0</v>
      </c>
      <c r="IS24">
        <f/>
        <v>0</v>
      </c>
      <c r="IT24">
        <f/>
        <v>0</v>
      </c>
      <c r="IU24">
        <f/>
        <v>0</v>
      </c>
      <c r="IV24">
        <f/>
        <v>0</v>
      </c>
      <c r="IW24">
        <f/>
        <v>0</v>
      </c>
      <c r="IX24">
        <f/>
        <v>0</v>
      </c>
      <c r="IY24">
        <f/>
        <v>0</v>
      </c>
      <c r="IZ24">
        <f/>
        <v>0</v>
      </c>
      <c r="JA24">
        <f/>
        <v>0</v>
      </c>
      <c r="JB24">
        <f/>
        <v>0</v>
      </c>
      <c r="JC24">
        <f/>
        <v>0</v>
      </c>
      <c r="JD24">
        <f/>
        <v>0</v>
      </c>
      <c r="JE24">
        <f/>
        <v>0</v>
      </c>
      <c r="JF24">
        <f/>
        <v>0</v>
      </c>
      <c r="JG24">
        <f/>
        <v>0</v>
      </c>
      <c r="JH24">
        <f/>
        <v>0</v>
      </c>
      <c r="JI24">
        <f/>
        <v>0</v>
      </c>
      <c r="JJ24">
        <f/>
        <v>0</v>
      </c>
      <c r="JK24">
        <f/>
        <v>0</v>
      </c>
      <c r="JL24">
        <f/>
        <v>0</v>
      </c>
      <c r="JM24">
        <f/>
        <v>0</v>
      </c>
      <c r="JN24">
        <f/>
        <v>0</v>
      </c>
      <c r="JO24">
        <f/>
        <v>0</v>
      </c>
      <c r="JP24">
        <f/>
        <v>0</v>
      </c>
      <c r="JQ24">
        <f/>
        <v>0</v>
      </c>
      <c r="JR24">
        <f/>
        <v>0</v>
      </c>
      <c r="JS24">
        <f/>
        <v>0</v>
      </c>
      <c r="JT24">
        <f/>
        <v>0</v>
      </c>
      <c r="JU24">
        <f/>
        <v>0</v>
      </c>
      <c r="JV24">
        <f/>
        <v>0</v>
      </c>
      <c r="JW24">
        <f/>
        <v>0</v>
      </c>
      <c r="JX24">
        <f/>
        <v>0</v>
      </c>
      <c r="JY24">
        <f/>
        <v>0</v>
      </c>
      <c r="JZ24">
        <f/>
        <v>0</v>
      </c>
      <c r="KA24">
        <f/>
        <v>0</v>
      </c>
      <c r="KB24">
        <f/>
        <v>0</v>
      </c>
      <c r="KC24">
        <f/>
        <v>0</v>
      </c>
      <c r="KD24">
        <f/>
        <v>0</v>
      </c>
      <c r="KE24">
        <f/>
        <v>0</v>
      </c>
      <c r="KF24">
        <f/>
        <v>0</v>
      </c>
      <c r="KG24">
        <f/>
        <v>0</v>
      </c>
      <c r="KH24">
        <f/>
        <v>0</v>
      </c>
      <c r="KI24">
        <f/>
        <v>0</v>
      </c>
      <c r="KJ24">
        <f/>
        <v>0</v>
      </c>
      <c r="KK24">
        <f/>
        <v>0</v>
      </c>
      <c r="KL24">
        <f/>
        <v>0</v>
      </c>
      <c r="KM24">
        <f/>
        <v>0</v>
      </c>
      <c r="KN24">
        <f/>
        <v>0</v>
      </c>
      <c r="KO24">
        <f/>
        <v>0</v>
      </c>
      <c r="KP24">
        <f/>
        <v>0</v>
      </c>
      <c r="KQ24">
        <f/>
        <v>0</v>
      </c>
      <c r="KR24">
        <f/>
        <v>0</v>
      </c>
      <c r="KS24">
        <f/>
        <v>0</v>
      </c>
      <c r="KT24">
        <f/>
        <v>0</v>
      </c>
      <c r="KU24">
        <f/>
        <v>0</v>
      </c>
      <c r="KV24">
        <f/>
        <v>0</v>
      </c>
      <c r="KW24">
        <f/>
        <v>0</v>
      </c>
      <c r="KX24">
        <f/>
        <v>0</v>
      </c>
      <c r="KY24">
        <f/>
        <v>0</v>
      </c>
      <c r="KZ24">
        <f/>
        <v>0</v>
      </c>
      <c r="LA24">
        <f/>
        <v>0</v>
      </c>
      <c r="LB24">
        <f/>
        <v>0</v>
      </c>
      <c r="LC24">
        <f/>
        <v>0</v>
      </c>
      <c r="LD24">
        <f/>
        <v>0</v>
      </c>
      <c r="LE24">
        <f/>
        <v>0</v>
      </c>
      <c r="LF24">
        <f/>
        <v>0</v>
      </c>
      <c r="LG24">
        <f/>
        <v>0</v>
      </c>
      <c r="LH24">
        <f/>
        <v>0</v>
      </c>
      <c r="LI24">
        <f/>
        <v>0</v>
      </c>
      <c r="LJ24">
        <f/>
        <v>0</v>
      </c>
      <c r="LK24">
        <f/>
        <v>0</v>
      </c>
      <c r="LL24">
        <f/>
        <v>0</v>
      </c>
      <c r="LM24">
        <f/>
        <v>0</v>
      </c>
      <c r="LN24">
        <f/>
        <v>0</v>
      </c>
      <c r="LO24">
        <f/>
        <v>0</v>
      </c>
      <c r="LP24">
        <f/>
        <v>0</v>
      </c>
      <c r="LQ24">
        <f/>
        <v>0</v>
      </c>
      <c r="LR24">
        <f/>
        <v>0</v>
      </c>
      <c r="LS24">
        <f/>
        <v>0</v>
      </c>
      <c r="LT24">
        <f/>
        <v>0</v>
      </c>
      <c r="LU24">
        <f/>
        <v>0</v>
      </c>
      <c r="LV24">
        <f/>
        <v>0</v>
      </c>
      <c r="LW24">
        <f/>
        <v>0</v>
      </c>
      <c r="LX24">
        <f/>
        <v>0</v>
      </c>
      <c r="LY24">
        <f/>
        <v>0</v>
      </c>
      <c r="LZ24">
        <f/>
        <v>0</v>
      </c>
      <c r="MA24">
        <f/>
        <v>0</v>
      </c>
      <c r="MB24">
        <f/>
        <v>0</v>
      </c>
      <c r="MC24">
        <f/>
        <v>0</v>
      </c>
      <c r="MD24">
        <f/>
        <v>0</v>
      </c>
      <c r="ME24">
        <f/>
        <v>0</v>
      </c>
      <c r="MF24">
        <f/>
        <v>0</v>
      </c>
      <c r="MG24">
        <f/>
        <v>0</v>
      </c>
      <c r="MH24">
        <f/>
        <v>0</v>
      </c>
      <c r="MI24">
        <f/>
        <v>0</v>
      </c>
      <c r="MJ24">
        <f/>
        <v>0</v>
      </c>
      <c r="MK24">
        <f/>
        <v>0</v>
      </c>
      <c r="ML24">
        <f/>
        <v>0</v>
      </c>
      <c r="MM24">
        <f/>
        <v>0</v>
      </c>
      <c r="MN24">
        <f/>
        <v>0</v>
      </c>
      <c r="MO24">
        <f/>
        <v>0</v>
      </c>
      <c r="MP24">
        <f/>
        <v>0</v>
      </c>
      <c r="MQ24">
        <f/>
        <v>0</v>
      </c>
      <c r="MR24">
        <f/>
        <v>0</v>
      </c>
      <c r="MS24">
        <f/>
        <v>0</v>
      </c>
      <c r="MT24">
        <f/>
        <v>0</v>
      </c>
      <c r="MU24">
        <f/>
        <v>0</v>
      </c>
      <c r="MV24">
        <f/>
        <v>0</v>
      </c>
      <c r="MW24">
        <f/>
        <v>0</v>
      </c>
      <c r="MX24">
        <f/>
        <v>0</v>
      </c>
      <c r="MY24">
        <f/>
        <v>0</v>
      </c>
      <c r="MZ24">
        <f/>
        <v>0</v>
      </c>
      <c r="NA24">
        <f/>
        <v>0</v>
      </c>
      <c r="NB24">
        <f/>
        <v>0</v>
      </c>
      <c r="NC24">
        <f/>
        <v>0</v>
      </c>
    </row>
    <row r="25" spans="1:367" x14ac:dyDescent="0.25">
      <c r="A25" s="141">
        <v>46305</v>
      </c>
      <c r="B25" s="162" cm="1">
        <f t="array" ref="B25">nabla.f.TimelineOffsetλ(A25,_xlfn.ANCHORARRAY( $C$18))</f>
        <v>4</v>
      </c>
      <c r="C25" cm="1">
        <f t="array" ref="C25:NC25">N(_xlfn.ANCHORARRAY($C$18)=INDEX(_xlfn.ANCHORARRAY($C$18),B25+1))</f>
        <v>0</v>
      </c>
      <c r="D25">
        <f/>
        <v>0</v>
      </c>
      <c r="E25">
        <f/>
        <v>0</v>
      </c>
      <c r="F25">
        <f/>
        <v>0</v>
      </c>
      <c r="G25">
        <f/>
        <v>1</v>
      </c>
      <c r="H25">
        <f/>
        <v>0</v>
      </c>
      <c r="I25">
        <f/>
        <v>0</v>
      </c>
      <c r="J25">
        <f/>
        <v>0</v>
      </c>
      <c r="K25">
        <f/>
        <v>0</v>
      </c>
      <c r="L25">
        <f/>
        <v>0</v>
      </c>
      <c r="M25">
        <f/>
        <v>0</v>
      </c>
      <c r="N25">
        <f/>
        <v>0</v>
      </c>
      <c r="O25">
        <f/>
        <v>0</v>
      </c>
      <c r="P25">
        <f/>
        <v>0</v>
      </c>
      <c r="Q25">
        <f/>
        <v>0</v>
      </c>
      <c r="R25">
        <f/>
        <v>0</v>
      </c>
      <c r="S25">
        <f/>
        <v>0</v>
      </c>
      <c r="T25">
        <f/>
        <v>0</v>
      </c>
      <c r="U25">
        <f/>
        <v>0</v>
      </c>
      <c r="V25">
        <f/>
        <v>0</v>
      </c>
      <c r="W25">
        <f/>
        <v>0</v>
      </c>
      <c r="X25">
        <f/>
        <v>0</v>
      </c>
      <c r="Y25">
        <f/>
        <v>0</v>
      </c>
      <c r="Z25">
        <f/>
        <v>0</v>
      </c>
      <c r="AA25">
        <f/>
        <v>0</v>
      </c>
      <c r="AB25">
        <f/>
        <v>0</v>
      </c>
      <c r="AC25">
        <f/>
        <v>0</v>
      </c>
      <c r="AD25">
        <f/>
        <v>0</v>
      </c>
      <c r="AE25">
        <f/>
        <v>0</v>
      </c>
      <c r="AF25">
        <f/>
        <v>0</v>
      </c>
      <c r="AG25">
        <f/>
        <v>0</v>
      </c>
      <c r="AH25">
        <f/>
        <v>0</v>
      </c>
      <c r="AI25">
        <f/>
        <v>0</v>
      </c>
      <c r="AJ25">
        <f/>
        <v>0</v>
      </c>
      <c r="AK25">
        <f/>
        <v>0</v>
      </c>
      <c r="AL25">
        <f/>
        <v>0</v>
      </c>
      <c r="AM25">
        <f/>
        <v>0</v>
      </c>
      <c r="AN25">
        <f/>
        <v>0</v>
      </c>
      <c r="AO25">
        <f/>
        <v>0</v>
      </c>
      <c r="AP25">
        <f/>
        <v>0</v>
      </c>
      <c r="AQ25">
        <f/>
        <v>0</v>
      </c>
      <c r="AR25">
        <f/>
        <v>0</v>
      </c>
      <c r="AS25">
        <f/>
        <v>0</v>
      </c>
      <c r="AT25">
        <f/>
        <v>0</v>
      </c>
      <c r="AU25">
        <f/>
        <v>0</v>
      </c>
      <c r="AV25">
        <f/>
        <v>0</v>
      </c>
      <c r="AW25">
        <f/>
        <v>0</v>
      </c>
      <c r="AX25">
        <f/>
        <v>0</v>
      </c>
      <c r="AY25">
        <f/>
        <v>0</v>
      </c>
      <c r="AZ25">
        <f/>
        <v>0</v>
      </c>
      <c r="BA25">
        <f/>
        <v>0</v>
      </c>
      <c r="BB25">
        <f/>
        <v>0</v>
      </c>
      <c r="BC25">
        <f/>
        <v>0</v>
      </c>
      <c r="BD25">
        <f/>
        <v>0</v>
      </c>
      <c r="BE25">
        <f/>
        <v>0</v>
      </c>
      <c r="BF25">
        <f/>
        <v>0</v>
      </c>
      <c r="BG25">
        <f/>
        <v>0</v>
      </c>
      <c r="BH25">
        <f/>
        <v>0</v>
      </c>
      <c r="BI25">
        <f/>
        <v>0</v>
      </c>
      <c r="BJ25">
        <f/>
        <v>0</v>
      </c>
      <c r="BK25">
        <f/>
        <v>0</v>
      </c>
      <c r="BL25">
        <f/>
        <v>0</v>
      </c>
      <c r="BM25">
        <f/>
        <v>0</v>
      </c>
      <c r="BN25">
        <f/>
        <v>0</v>
      </c>
      <c r="BO25">
        <f/>
        <v>0</v>
      </c>
      <c r="BP25">
        <f/>
        <v>0</v>
      </c>
      <c r="BQ25">
        <f/>
        <v>0</v>
      </c>
      <c r="BR25">
        <f/>
        <v>0</v>
      </c>
      <c r="BS25">
        <f/>
        <v>0</v>
      </c>
      <c r="BT25">
        <f/>
        <v>0</v>
      </c>
      <c r="BU25">
        <f/>
        <v>0</v>
      </c>
      <c r="BV25">
        <f/>
        <v>0</v>
      </c>
      <c r="BW25">
        <f/>
        <v>0</v>
      </c>
      <c r="BX25">
        <f/>
        <v>0</v>
      </c>
      <c r="BY25">
        <f/>
        <v>0</v>
      </c>
      <c r="BZ25">
        <f/>
        <v>0</v>
      </c>
      <c r="CA25">
        <f/>
        <v>0</v>
      </c>
      <c r="CB25">
        <f/>
        <v>0</v>
      </c>
      <c r="CC25">
        <f/>
        <v>0</v>
      </c>
      <c r="CD25">
        <f/>
        <v>0</v>
      </c>
      <c r="CE25">
        <f/>
        <v>0</v>
      </c>
      <c r="CF25">
        <f/>
        <v>0</v>
      </c>
      <c r="CG25">
        <f/>
        <v>0</v>
      </c>
      <c r="CH25">
        <f/>
        <v>0</v>
      </c>
      <c r="CI25">
        <f/>
        <v>0</v>
      </c>
      <c r="CJ25">
        <f/>
        <v>0</v>
      </c>
      <c r="CK25">
        <f/>
        <v>0</v>
      </c>
      <c r="CL25">
        <f/>
        <v>0</v>
      </c>
      <c r="CM25">
        <f/>
        <v>0</v>
      </c>
      <c r="CN25">
        <f/>
        <v>0</v>
      </c>
      <c r="CO25">
        <f/>
        <v>0</v>
      </c>
      <c r="CP25">
        <f/>
        <v>0</v>
      </c>
      <c r="CQ25">
        <f/>
        <v>0</v>
      </c>
      <c r="CR25">
        <f/>
        <v>0</v>
      </c>
      <c r="CS25">
        <f/>
        <v>0</v>
      </c>
      <c r="CT25">
        <f/>
        <v>0</v>
      </c>
      <c r="CU25">
        <f/>
        <v>0</v>
      </c>
      <c r="CV25">
        <f/>
        <v>0</v>
      </c>
      <c r="CW25">
        <f/>
        <v>0</v>
      </c>
      <c r="CX25">
        <f/>
        <v>0</v>
      </c>
      <c r="CY25">
        <f/>
        <v>0</v>
      </c>
      <c r="CZ25">
        <f/>
        <v>0</v>
      </c>
      <c r="DA25">
        <f/>
        <v>0</v>
      </c>
      <c r="DB25">
        <f/>
        <v>0</v>
      </c>
      <c r="DC25">
        <f/>
        <v>0</v>
      </c>
      <c r="DD25">
        <f/>
        <v>0</v>
      </c>
      <c r="DE25">
        <f/>
        <v>0</v>
      </c>
      <c r="DF25">
        <f/>
        <v>0</v>
      </c>
      <c r="DG25">
        <f/>
        <v>0</v>
      </c>
      <c r="DH25">
        <f/>
        <v>0</v>
      </c>
      <c r="DI25">
        <f/>
        <v>0</v>
      </c>
      <c r="DJ25">
        <f/>
        <v>0</v>
      </c>
      <c r="DK25">
        <f/>
        <v>0</v>
      </c>
      <c r="DL25">
        <f/>
        <v>0</v>
      </c>
      <c r="DM25">
        <f/>
        <v>0</v>
      </c>
      <c r="DN25">
        <f/>
        <v>0</v>
      </c>
      <c r="DO25">
        <f/>
        <v>0</v>
      </c>
      <c r="DP25">
        <f/>
        <v>0</v>
      </c>
      <c r="DQ25">
        <f/>
        <v>0</v>
      </c>
      <c r="DR25">
        <f/>
        <v>0</v>
      </c>
      <c r="DS25">
        <f/>
        <v>0</v>
      </c>
      <c r="DT25">
        <f/>
        <v>0</v>
      </c>
      <c r="DU25">
        <f/>
        <v>0</v>
      </c>
      <c r="DV25">
        <f/>
        <v>0</v>
      </c>
      <c r="DW25">
        <f/>
        <v>0</v>
      </c>
      <c r="DX25">
        <f/>
        <v>0</v>
      </c>
      <c r="DY25">
        <f/>
        <v>0</v>
      </c>
      <c r="DZ25">
        <f/>
        <v>0</v>
      </c>
      <c r="EA25">
        <f/>
        <v>0</v>
      </c>
      <c r="EB25">
        <f/>
        <v>0</v>
      </c>
      <c r="EC25">
        <f/>
        <v>0</v>
      </c>
      <c r="ED25">
        <f/>
        <v>0</v>
      </c>
      <c r="EE25">
        <f/>
        <v>0</v>
      </c>
      <c r="EF25">
        <f/>
        <v>0</v>
      </c>
      <c r="EG25">
        <f/>
        <v>0</v>
      </c>
      <c r="EH25">
        <f/>
        <v>0</v>
      </c>
      <c r="EI25">
        <f/>
        <v>0</v>
      </c>
      <c r="EJ25">
        <f/>
        <v>0</v>
      </c>
      <c r="EK25">
        <f/>
        <v>0</v>
      </c>
      <c r="EL25">
        <f/>
        <v>0</v>
      </c>
      <c r="EM25">
        <f/>
        <v>0</v>
      </c>
      <c r="EN25">
        <f/>
        <v>0</v>
      </c>
      <c r="EO25">
        <f/>
        <v>0</v>
      </c>
      <c r="EP25">
        <f/>
        <v>0</v>
      </c>
      <c r="EQ25">
        <f/>
        <v>0</v>
      </c>
      <c r="ER25">
        <f/>
        <v>0</v>
      </c>
      <c r="ES25">
        <f/>
        <v>0</v>
      </c>
      <c r="ET25">
        <f/>
        <v>0</v>
      </c>
      <c r="EU25">
        <f/>
        <v>0</v>
      </c>
      <c r="EV25">
        <f/>
        <v>0</v>
      </c>
      <c r="EW25">
        <f/>
        <v>0</v>
      </c>
      <c r="EX25">
        <f/>
        <v>0</v>
      </c>
      <c r="EY25">
        <f/>
        <v>0</v>
      </c>
      <c r="EZ25">
        <f/>
        <v>0</v>
      </c>
      <c r="FA25">
        <f/>
        <v>0</v>
      </c>
      <c r="FB25">
        <f/>
        <v>0</v>
      </c>
      <c r="FC25">
        <f/>
        <v>0</v>
      </c>
      <c r="FD25">
        <f/>
        <v>0</v>
      </c>
      <c r="FE25">
        <f/>
        <v>0</v>
      </c>
      <c r="FF25">
        <f/>
        <v>0</v>
      </c>
      <c r="FG25">
        <f/>
        <v>0</v>
      </c>
      <c r="FH25">
        <f/>
        <v>0</v>
      </c>
      <c r="FI25">
        <f/>
        <v>0</v>
      </c>
      <c r="FJ25">
        <f/>
        <v>0</v>
      </c>
      <c r="FK25">
        <f/>
        <v>0</v>
      </c>
      <c r="FL25">
        <f/>
        <v>0</v>
      </c>
      <c r="FM25">
        <f/>
        <v>0</v>
      </c>
      <c r="FN25">
        <f/>
        <v>0</v>
      </c>
      <c r="FO25">
        <f/>
        <v>0</v>
      </c>
      <c r="FP25">
        <f/>
        <v>0</v>
      </c>
      <c r="FQ25">
        <f/>
        <v>0</v>
      </c>
      <c r="FR25">
        <f/>
        <v>0</v>
      </c>
      <c r="FS25">
        <f/>
        <v>0</v>
      </c>
      <c r="FT25">
        <f/>
        <v>0</v>
      </c>
      <c r="FU25">
        <f/>
        <v>0</v>
      </c>
      <c r="FV25">
        <f/>
        <v>0</v>
      </c>
      <c r="FW25">
        <f/>
        <v>0</v>
      </c>
      <c r="FX25">
        <f/>
        <v>0</v>
      </c>
      <c r="FY25">
        <f/>
        <v>0</v>
      </c>
      <c r="FZ25">
        <f/>
        <v>0</v>
      </c>
      <c r="GA25">
        <f/>
        <v>0</v>
      </c>
      <c r="GB25">
        <f/>
        <v>0</v>
      </c>
      <c r="GC25">
        <f/>
        <v>0</v>
      </c>
      <c r="GD25">
        <f/>
        <v>0</v>
      </c>
      <c r="GE25">
        <f/>
        <v>0</v>
      </c>
      <c r="GF25">
        <f/>
        <v>0</v>
      </c>
      <c r="GG25">
        <f/>
        <v>0</v>
      </c>
      <c r="GH25">
        <f/>
        <v>0</v>
      </c>
      <c r="GI25">
        <f/>
        <v>0</v>
      </c>
      <c r="GJ25">
        <f/>
        <v>0</v>
      </c>
      <c r="GK25">
        <f/>
        <v>0</v>
      </c>
      <c r="GL25">
        <f/>
        <v>0</v>
      </c>
      <c r="GM25">
        <f/>
        <v>0</v>
      </c>
      <c r="GN25">
        <f/>
        <v>0</v>
      </c>
      <c r="GO25">
        <f/>
        <v>0</v>
      </c>
      <c r="GP25">
        <f/>
        <v>0</v>
      </c>
      <c r="GQ25">
        <f/>
        <v>0</v>
      </c>
      <c r="GR25">
        <f/>
        <v>0</v>
      </c>
      <c r="GS25">
        <f/>
        <v>0</v>
      </c>
      <c r="GT25">
        <f/>
        <v>0</v>
      </c>
      <c r="GU25">
        <f/>
        <v>0</v>
      </c>
      <c r="GV25">
        <f/>
        <v>0</v>
      </c>
      <c r="GW25">
        <f/>
        <v>0</v>
      </c>
      <c r="GX25">
        <f/>
        <v>0</v>
      </c>
      <c r="GY25">
        <f/>
        <v>0</v>
      </c>
      <c r="GZ25">
        <f/>
        <v>0</v>
      </c>
      <c r="HA25">
        <f/>
        <v>0</v>
      </c>
      <c r="HB25">
        <f/>
        <v>0</v>
      </c>
      <c r="HC25">
        <f/>
        <v>0</v>
      </c>
      <c r="HD25">
        <f/>
        <v>0</v>
      </c>
      <c r="HE25">
        <f/>
        <v>0</v>
      </c>
      <c r="HF25">
        <f/>
        <v>0</v>
      </c>
      <c r="HG25">
        <f/>
        <v>0</v>
      </c>
      <c r="HH25">
        <f/>
        <v>0</v>
      </c>
      <c r="HI25">
        <f/>
        <v>0</v>
      </c>
      <c r="HJ25">
        <f/>
        <v>0</v>
      </c>
      <c r="HK25">
        <f/>
        <v>0</v>
      </c>
      <c r="HL25">
        <f/>
        <v>0</v>
      </c>
      <c r="HM25">
        <f/>
        <v>0</v>
      </c>
      <c r="HN25">
        <f/>
        <v>0</v>
      </c>
      <c r="HO25">
        <f/>
        <v>0</v>
      </c>
      <c r="HP25">
        <f/>
        <v>0</v>
      </c>
      <c r="HQ25">
        <f/>
        <v>0</v>
      </c>
      <c r="HR25">
        <f/>
        <v>0</v>
      </c>
      <c r="HS25">
        <f/>
        <v>0</v>
      </c>
      <c r="HT25">
        <f/>
        <v>0</v>
      </c>
      <c r="HU25">
        <f/>
        <v>0</v>
      </c>
      <c r="HV25">
        <f/>
        <v>0</v>
      </c>
      <c r="HW25">
        <f/>
        <v>0</v>
      </c>
      <c r="HX25">
        <f/>
        <v>0</v>
      </c>
      <c r="HY25">
        <f/>
        <v>0</v>
      </c>
      <c r="HZ25">
        <f/>
        <v>0</v>
      </c>
      <c r="IA25">
        <f/>
        <v>0</v>
      </c>
      <c r="IB25">
        <f/>
        <v>0</v>
      </c>
      <c r="IC25">
        <f/>
        <v>0</v>
      </c>
      <c r="ID25">
        <f/>
        <v>0</v>
      </c>
      <c r="IE25">
        <f/>
        <v>0</v>
      </c>
      <c r="IF25">
        <f/>
        <v>0</v>
      </c>
      <c r="IG25">
        <f/>
        <v>0</v>
      </c>
      <c r="IH25">
        <f/>
        <v>0</v>
      </c>
      <c r="II25">
        <f/>
        <v>0</v>
      </c>
      <c r="IJ25">
        <f/>
        <v>0</v>
      </c>
      <c r="IK25">
        <f/>
        <v>0</v>
      </c>
      <c r="IL25">
        <f/>
        <v>0</v>
      </c>
      <c r="IM25">
        <f/>
        <v>0</v>
      </c>
      <c r="IN25">
        <f/>
        <v>0</v>
      </c>
      <c r="IO25">
        <f/>
        <v>0</v>
      </c>
      <c r="IP25">
        <f/>
        <v>0</v>
      </c>
      <c r="IQ25">
        <f/>
        <v>0</v>
      </c>
      <c r="IR25">
        <f/>
        <v>0</v>
      </c>
      <c r="IS25">
        <f/>
        <v>0</v>
      </c>
      <c r="IT25">
        <f/>
        <v>0</v>
      </c>
      <c r="IU25">
        <f/>
        <v>0</v>
      </c>
      <c r="IV25">
        <f/>
        <v>0</v>
      </c>
      <c r="IW25">
        <f/>
        <v>0</v>
      </c>
      <c r="IX25">
        <f/>
        <v>0</v>
      </c>
      <c r="IY25">
        <f/>
        <v>0</v>
      </c>
      <c r="IZ25">
        <f/>
        <v>0</v>
      </c>
      <c r="JA25">
        <f/>
        <v>0</v>
      </c>
      <c r="JB25">
        <f/>
        <v>0</v>
      </c>
      <c r="JC25">
        <f/>
        <v>0</v>
      </c>
      <c r="JD25">
        <f/>
        <v>0</v>
      </c>
      <c r="JE25">
        <f/>
        <v>0</v>
      </c>
      <c r="JF25">
        <f/>
        <v>0</v>
      </c>
      <c r="JG25">
        <f/>
        <v>0</v>
      </c>
      <c r="JH25">
        <f/>
        <v>0</v>
      </c>
      <c r="JI25">
        <f/>
        <v>0</v>
      </c>
      <c r="JJ25">
        <f/>
        <v>0</v>
      </c>
      <c r="JK25">
        <f/>
        <v>0</v>
      </c>
      <c r="JL25">
        <f/>
        <v>0</v>
      </c>
      <c r="JM25">
        <f/>
        <v>0</v>
      </c>
      <c r="JN25">
        <f/>
        <v>0</v>
      </c>
      <c r="JO25">
        <f/>
        <v>0</v>
      </c>
      <c r="JP25">
        <f/>
        <v>0</v>
      </c>
      <c r="JQ25">
        <f/>
        <v>0</v>
      </c>
      <c r="JR25">
        <f/>
        <v>0</v>
      </c>
      <c r="JS25">
        <f/>
        <v>0</v>
      </c>
      <c r="JT25">
        <f/>
        <v>0</v>
      </c>
      <c r="JU25">
        <f/>
        <v>0</v>
      </c>
      <c r="JV25">
        <f/>
        <v>0</v>
      </c>
      <c r="JW25">
        <f/>
        <v>0</v>
      </c>
      <c r="JX25">
        <f/>
        <v>0</v>
      </c>
      <c r="JY25">
        <f/>
        <v>0</v>
      </c>
      <c r="JZ25">
        <f/>
        <v>0</v>
      </c>
      <c r="KA25">
        <f/>
        <v>0</v>
      </c>
      <c r="KB25">
        <f/>
        <v>0</v>
      </c>
      <c r="KC25">
        <f/>
        <v>0</v>
      </c>
      <c r="KD25">
        <f/>
        <v>0</v>
      </c>
      <c r="KE25">
        <f/>
        <v>0</v>
      </c>
      <c r="KF25">
        <f/>
        <v>0</v>
      </c>
      <c r="KG25">
        <f/>
        <v>0</v>
      </c>
      <c r="KH25">
        <f/>
        <v>0</v>
      </c>
      <c r="KI25">
        <f/>
        <v>0</v>
      </c>
      <c r="KJ25">
        <f/>
        <v>0</v>
      </c>
      <c r="KK25">
        <f/>
        <v>0</v>
      </c>
      <c r="KL25">
        <f/>
        <v>0</v>
      </c>
      <c r="KM25">
        <f/>
        <v>0</v>
      </c>
      <c r="KN25">
        <f/>
        <v>0</v>
      </c>
      <c r="KO25">
        <f/>
        <v>0</v>
      </c>
      <c r="KP25">
        <f/>
        <v>0</v>
      </c>
      <c r="KQ25">
        <f/>
        <v>0</v>
      </c>
      <c r="KR25">
        <f/>
        <v>0</v>
      </c>
      <c r="KS25">
        <f/>
        <v>0</v>
      </c>
      <c r="KT25">
        <f/>
        <v>0</v>
      </c>
      <c r="KU25">
        <f/>
        <v>0</v>
      </c>
      <c r="KV25">
        <f/>
        <v>0</v>
      </c>
      <c r="KW25">
        <f/>
        <v>0</v>
      </c>
      <c r="KX25">
        <f/>
        <v>0</v>
      </c>
      <c r="KY25">
        <f/>
        <v>0</v>
      </c>
      <c r="KZ25">
        <f/>
        <v>0</v>
      </c>
      <c r="LA25">
        <f/>
        <v>0</v>
      </c>
      <c r="LB25">
        <f/>
        <v>0</v>
      </c>
      <c r="LC25">
        <f/>
        <v>0</v>
      </c>
      <c r="LD25">
        <f/>
        <v>0</v>
      </c>
      <c r="LE25">
        <f/>
        <v>0</v>
      </c>
      <c r="LF25">
        <f/>
        <v>0</v>
      </c>
      <c r="LG25">
        <f/>
        <v>0</v>
      </c>
      <c r="LH25">
        <f/>
        <v>0</v>
      </c>
      <c r="LI25">
        <f/>
        <v>0</v>
      </c>
      <c r="LJ25">
        <f/>
        <v>0</v>
      </c>
      <c r="LK25">
        <f/>
        <v>0</v>
      </c>
      <c r="LL25">
        <f/>
        <v>0</v>
      </c>
      <c r="LM25">
        <f/>
        <v>0</v>
      </c>
      <c r="LN25">
        <f/>
        <v>0</v>
      </c>
      <c r="LO25">
        <f/>
        <v>0</v>
      </c>
      <c r="LP25">
        <f/>
        <v>0</v>
      </c>
      <c r="LQ25">
        <f/>
        <v>0</v>
      </c>
      <c r="LR25">
        <f/>
        <v>0</v>
      </c>
      <c r="LS25">
        <f/>
        <v>0</v>
      </c>
      <c r="LT25">
        <f/>
        <v>0</v>
      </c>
      <c r="LU25">
        <f/>
        <v>0</v>
      </c>
      <c r="LV25">
        <f/>
        <v>0</v>
      </c>
      <c r="LW25">
        <f/>
        <v>0</v>
      </c>
      <c r="LX25">
        <f/>
        <v>0</v>
      </c>
      <c r="LY25">
        <f/>
        <v>0</v>
      </c>
      <c r="LZ25">
        <f/>
        <v>0</v>
      </c>
      <c r="MA25">
        <f/>
        <v>0</v>
      </c>
      <c r="MB25">
        <f/>
        <v>0</v>
      </c>
      <c r="MC25">
        <f/>
        <v>0</v>
      </c>
      <c r="MD25">
        <f/>
        <v>0</v>
      </c>
      <c r="ME25">
        <f/>
        <v>0</v>
      </c>
      <c r="MF25">
        <f/>
        <v>0</v>
      </c>
      <c r="MG25">
        <f/>
        <v>0</v>
      </c>
      <c r="MH25">
        <f/>
        <v>0</v>
      </c>
      <c r="MI25">
        <f/>
        <v>0</v>
      </c>
      <c r="MJ25">
        <f/>
        <v>0</v>
      </c>
      <c r="MK25">
        <f/>
        <v>0</v>
      </c>
      <c r="ML25">
        <f/>
        <v>0</v>
      </c>
      <c r="MM25">
        <f/>
        <v>0</v>
      </c>
      <c r="MN25">
        <f/>
        <v>0</v>
      </c>
      <c r="MO25">
        <f/>
        <v>0</v>
      </c>
      <c r="MP25">
        <f/>
        <v>0</v>
      </c>
      <c r="MQ25">
        <f/>
        <v>0</v>
      </c>
      <c r="MR25">
        <f/>
        <v>0</v>
      </c>
      <c r="MS25">
        <f/>
        <v>0</v>
      </c>
      <c r="MT25">
        <f/>
        <v>0</v>
      </c>
      <c r="MU25">
        <f/>
        <v>0</v>
      </c>
      <c r="MV25">
        <f/>
        <v>0</v>
      </c>
      <c r="MW25">
        <f/>
        <v>0</v>
      </c>
      <c r="MX25">
        <f/>
        <v>0</v>
      </c>
      <c r="MY25">
        <f/>
        <v>0</v>
      </c>
      <c r="MZ25">
        <f/>
        <v>0</v>
      </c>
      <c r="NA25">
        <f/>
        <v>0</v>
      </c>
      <c r="NB25">
        <f/>
        <v>0</v>
      </c>
      <c r="NC25">
        <f/>
        <v>0</v>
      </c>
    </row>
  </sheetData>
  <mergeCells count="2">
    <mergeCell ref="A1:P1"/>
    <mergeCell ref="A2:R2"/>
  </mergeCells>
  <hyperlinks>
    <hyperlink ref="A1" location="'TOC'!$A$1" display="'TOC'!$A$1" xr:uid="{C09E2D57-B276-4982-9619-1542857F4CDF}"/>
  </hyperlinks>
  <pageMargins left="0.7" right="0.7" top="0.75" bottom="0.75" header="0.3" footer="0.3"/>
  <customProperties>
    <customPr name="Description" r:id="rId1"/>
  </customPropertie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EC2B1-DD7E-4008-AE91-E1CA1E6D1C24}">
  <sheetPr codeName="Sheet59">
    <tabColor rgb="FF157A5F"/>
  </sheetPr>
  <dimension ref="A1:W38"/>
  <sheetViews>
    <sheetView showGridLines="0" workbookViewId="0">
      <selection activeCell="A1" sqref="A1"/>
    </sheetView>
  </sheetViews>
  <sheetFormatPr defaultRowHeight="15" x14ac:dyDescent="0.25"/>
  <cols>
    <col min="1" max="1" width="12.7109375" bestFit="1" customWidth="1"/>
    <col min="5" max="5" width="10" bestFit="1" customWidth="1"/>
    <col min="7" max="7" width="24.42578125" bestFit="1" customWidth="1"/>
    <col min="8" max="8" width="7.5703125" bestFit="1" customWidth="1"/>
    <col min="9" max="38" width="10.140625" bestFit="1" customWidth="1"/>
  </cols>
  <sheetData>
    <row r="1" spans="1:17" ht="45.75" x14ac:dyDescent="0.65">
      <c r="A1" s="270" t="str">
        <f>_xlfn.TEXTAFTER(CELL("filename",A1),"]")</f>
        <v>nabla.f.TimelinePositionλ</v>
      </c>
      <c r="B1" s="270"/>
      <c r="C1" s="270"/>
      <c r="D1" s="270"/>
      <c r="E1" s="270"/>
      <c r="F1" s="270"/>
      <c r="G1" s="270"/>
      <c r="H1" s="270"/>
      <c r="I1" s="270"/>
      <c r="J1" s="270"/>
      <c r="K1" s="270"/>
      <c r="L1" s="270"/>
      <c r="M1" s="270"/>
      <c r="N1" s="270"/>
      <c r="O1" s="270"/>
      <c r="P1" s="270"/>
    </row>
    <row r="2" spans="1:17" x14ac:dyDescent="0.25">
      <c r="A2" s="273" t="s">
        <v>218</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c r="L3" s="104"/>
      <c r="M3" s="104"/>
      <c r="N3" s="104"/>
      <c r="O3" s="104"/>
      <c r="P3" s="104"/>
    </row>
    <row r="4" spans="1:17" x14ac:dyDescent="0.25">
      <c r="A4" s="162" t="str" cm="1">
        <f t="array" ref="A4:B16">nabla.f.TimelinePositionλ()</f>
        <v>FUNCTION:</v>
      </c>
      <c r="B4" t="str">
        <v>TimelinePositionλ(Array, Timeline, Offset)</v>
      </c>
    </row>
    <row r="5" spans="1:17" x14ac:dyDescent="0.25">
      <c r="A5" t="str">
        <v>DESCRIPTION:</v>
      </c>
      <c r="B5" t="str">
        <v>Position an array relative to the model's timeline</v>
      </c>
    </row>
    <row r="6" spans="1:17" x14ac:dyDescent="0.25">
      <c r="A6" t="str">
        <v>WEBPAGE:</v>
      </c>
      <c r="B6" t="str">
        <v>https://github.com/ryanduguid/Nabla</v>
      </c>
    </row>
    <row r="7" spans="1:17" x14ac:dyDescent="0.25">
      <c r="A7" t="str">
        <v>VERSION:</v>
      </c>
      <c r="B7" t="str">
        <v>18 Aug 2026</v>
      </c>
    </row>
    <row r="8" spans="1:17" x14ac:dyDescent="0.25">
      <c r="A8" t="str">
        <v>PARAMETERS:</v>
      </c>
      <c r="B8" t="str">
        <v/>
      </c>
    </row>
    <row r="9" spans="1:17" x14ac:dyDescent="0.25">
      <c r="A9" t="str">
        <v>Array</v>
      </c>
      <c r="B9" t="str">
        <v>(Required) The array to be positioned relative to a model's timeline</v>
      </c>
    </row>
    <row r="10" spans="1:17" x14ac:dyDescent="0.25">
      <c r="A10" t="str">
        <v>Timeline</v>
      </c>
      <c r="B10" t="str">
        <v>(Required) A model's timline</v>
      </c>
    </row>
    <row r="11" spans="1:17" x14ac:dyDescent="0.25">
      <c r="A11" t="str">
        <v>Offset</v>
      </c>
      <c r="B11" t="str">
        <v>(Required) The number of rows or columns to start placing the array within the timeline</v>
      </c>
    </row>
    <row r="12" spans="1:17" x14ac:dyDescent="0.25">
      <c r="A12" t="str">
        <v>NOTES!</v>
      </c>
      <c r="B12" t="str">
        <v/>
      </c>
    </row>
    <row r="13" spans="1:17" x14ac:dyDescent="0.25">
      <c r="A13" t="str">
        <v/>
      </c>
      <c r="B13" t="str">
        <v>Timelines can be vertical or horizontal. Whichever way the timeline goes, the array must match.</v>
      </c>
    </row>
    <row r="14" spans="1:17" x14ac:dyDescent="0.25">
      <c r="A14" t="str">
        <v>EXAMPLES:</v>
      </c>
      <c r="B14" t="str">
        <v/>
      </c>
    </row>
    <row r="15" spans="1:17" x14ac:dyDescent="0.25">
      <c r="A15" t="str">
        <v>Result</v>
      </c>
      <c r="B15" t="str">
        <v>Formula (nabla.f is assumed to be the module's name)</v>
      </c>
    </row>
    <row r="16" spans="1:17" x14ac:dyDescent="0.25">
      <c r="A16" t="str">
        <v/>
      </c>
      <c r="B16" t="str">
        <v>=nabla.f.TimelinePositionλ(SEQUENCE(3,3), EDATE("1/1/2025", SEQUENCE( , 12, 0)), 12)</v>
      </c>
    </row>
    <row r="20" spans="1:23" ht="20.25" x14ac:dyDescent="0.3">
      <c r="A20" s="302" t="s">
        <v>317</v>
      </c>
      <c r="B20" s="302"/>
      <c r="C20" s="302"/>
      <c r="G20" s="289" t="s">
        <v>325</v>
      </c>
      <c r="H20" s="307"/>
      <c r="I20" s="307"/>
      <c r="J20" s="307"/>
      <c r="K20" s="307"/>
      <c r="L20" s="307"/>
      <c r="M20" s="307"/>
      <c r="N20" s="307"/>
      <c r="O20" s="307"/>
      <c r="P20" s="307"/>
      <c r="Q20" s="307"/>
      <c r="R20" s="307"/>
      <c r="S20" s="307"/>
      <c r="T20" s="307"/>
      <c r="U20" s="307"/>
      <c r="V20" s="307"/>
      <c r="W20" s="290"/>
    </row>
    <row r="22" spans="1:23" x14ac:dyDescent="0.25">
      <c r="A22" s="161" t="s">
        <v>131</v>
      </c>
      <c r="B22" s="160" t="s">
        <v>285</v>
      </c>
      <c r="C22" s="160" t="s">
        <v>286</v>
      </c>
      <c r="D22" s="160" t="s">
        <v>287</v>
      </c>
      <c r="E22" s="160" t="s">
        <v>288</v>
      </c>
      <c r="F22" s="174"/>
      <c r="G22" s="228" t="s">
        <v>66</v>
      </c>
      <c r="H22" s="115" t="s">
        <v>289</v>
      </c>
      <c r="I22" s="1" cm="1">
        <f t="array" ref="I22:R22">nabla.d.Timelineλ( E23, D23, "Y")</f>
        <v>43831</v>
      </c>
      <c r="J22" s="1">
        <v>44927</v>
      </c>
      <c r="K22" s="1">
        <v>45292</v>
      </c>
      <c r="L22" s="1">
        <v>45658</v>
      </c>
      <c r="M22" s="1">
        <v>46023</v>
      </c>
      <c r="N22" s="1">
        <v>46388</v>
      </c>
      <c r="O22" s="1">
        <v>46753</v>
      </c>
      <c r="P22" s="1">
        <v>47119</v>
      </c>
      <c r="Q22" s="1">
        <v>47484</v>
      </c>
      <c r="R22" s="1">
        <v>47849</v>
      </c>
      <c r="S22" s="1"/>
      <c r="T22" s="1"/>
      <c r="U22" s="1"/>
      <c r="V22" s="1"/>
      <c r="W22" s="1"/>
    </row>
    <row r="23" spans="1:23" x14ac:dyDescent="0.25">
      <c r="A23" s="189" t="s">
        <v>290</v>
      </c>
      <c r="B23" s="178">
        <v>50000</v>
      </c>
      <c r="C23" s="179">
        <v>7.0000000000000007E-2</v>
      </c>
      <c r="D23" s="180">
        <v>10</v>
      </c>
      <c r="E23" s="231">
        <v>44562</v>
      </c>
      <c r="G23" s="182" t="str" cm="1">
        <f t="array" ref="G23:G28">nabla.f.LabelAmortiseλ(A23)</f>
        <v>Renovation Debt Issuance</v>
      </c>
      <c r="H23" s="202" cm="1">
        <f t="array" ref="H23:H28">nabla.f.SumAmortiseλ(_xlfn.ANCHORARRAY(I23))</f>
        <v>0</v>
      </c>
      <c r="I23" s="202" cm="1">
        <f t="array" ref="I23:R28">nabla.f.Amortiseλ( B23,C23,D23,E23,_xlfn.ANCHORARRAY( I22))</f>
        <v>50000</v>
      </c>
      <c r="J23" s="186">
        <v>0</v>
      </c>
      <c r="K23" s="186">
        <v>0</v>
      </c>
      <c r="L23" s="186">
        <v>0</v>
      </c>
      <c r="M23" s="186">
        <v>0</v>
      </c>
      <c r="N23" s="186">
        <v>0</v>
      </c>
      <c r="O23" s="186">
        <v>0</v>
      </c>
      <c r="P23" s="186">
        <v>0</v>
      </c>
      <c r="Q23" s="186">
        <v>0</v>
      </c>
      <c r="R23" s="186">
        <v>0</v>
      </c>
      <c r="S23" s="186"/>
      <c r="T23" s="186"/>
      <c r="U23" s="186"/>
      <c r="V23" s="186"/>
      <c r="W23" s="186"/>
    </row>
    <row r="24" spans="1:23" x14ac:dyDescent="0.25">
      <c r="G24" s="182" t="str">
        <v>Renovation Debt Balance</v>
      </c>
      <c r="H24" s="186">
        <v>0</v>
      </c>
      <c r="I24" s="186">
        <v>50000</v>
      </c>
      <c r="J24" s="186">
        <v>0</v>
      </c>
      <c r="K24" s="186">
        <v>0</v>
      </c>
      <c r="L24" s="186">
        <v>0</v>
      </c>
      <c r="M24" s="186">
        <v>0</v>
      </c>
      <c r="N24" s="186">
        <v>0</v>
      </c>
      <c r="O24" s="186">
        <v>0</v>
      </c>
      <c r="P24" s="186">
        <v>0</v>
      </c>
      <c r="Q24" s="186">
        <v>0</v>
      </c>
      <c r="R24" s="186">
        <v>0</v>
      </c>
      <c r="S24" s="186"/>
      <c r="T24" s="186"/>
      <c r="U24" s="186"/>
      <c r="V24" s="186"/>
      <c r="W24" s="186"/>
    </row>
    <row r="25" spans="1:23" x14ac:dyDescent="0.25">
      <c r="G25" s="182" t="str">
        <v>Renovation Interest</v>
      </c>
      <c r="H25" s="186">
        <v>1618.161546888447</v>
      </c>
      <c r="I25" s="186">
        <v>1618.161546888447</v>
      </c>
      <c r="J25" s="186">
        <v>0</v>
      </c>
      <c r="K25" s="186">
        <v>0</v>
      </c>
      <c r="L25" s="186">
        <v>0</v>
      </c>
      <c r="M25" s="186">
        <v>0</v>
      </c>
      <c r="N25" s="186">
        <v>0</v>
      </c>
      <c r="O25" s="186">
        <v>0</v>
      </c>
      <c r="P25" s="186">
        <v>0</v>
      </c>
      <c r="Q25" s="186">
        <v>0</v>
      </c>
      <c r="R25" s="186">
        <v>0</v>
      </c>
      <c r="S25" s="186"/>
      <c r="T25" s="186"/>
      <c r="U25" s="186"/>
      <c r="V25" s="186"/>
      <c r="W25" s="186"/>
    </row>
    <row r="26" spans="1:23" x14ac:dyDescent="0.25">
      <c r="G26" s="182" t="str">
        <v>Renovation Debt Services</v>
      </c>
      <c r="H26" s="186">
        <v>-51618.161546888448</v>
      </c>
      <c r="I26" s="186">
        <v>-51618.161546888448</v>
      </c>
      <c r="J26" s="186">
        <v>0</v>
      </c>
      <c r="K26" s="186">
        <v>0</v>
      </c>
      <c r="L26" s="186">
        <v>0</v>
      </c>
      <c r="M26" s="186">
        <v>0</v>
      </c>
      <c r="N26" s="186">
        <v>0</v>
      </c>
      <c r="O26" s="186">
        <v>0</v>
      </c>
      <c r="P26" s="186">
        <v>0</v>
      </c>
      <c r="Q26" s="186">
        <v>0</v>
      </c>
      <c r="R26" s="186">
        <v>0</v>
      </c>
      <c r="S26" s="186"/>
      <c r="T26" s="186"/>
      <c r="U26" s="186"/>
      <c r="V26" s="186"/>
      <c r="W26" s="186"/>
    </row>
    <row r="27" spans="1:23" x14ac:dyDescent="0.25">
      <c r="G27" s="182" t="str">
        <v>Renovation Closing Balance</v>
      </c>
      <c r="H27" s="186">
        <v>0</v>
      </c>
      <c r="I27" s="186">
        <v>0</v>
      </c>
      <c r="J27" s="186">
        <v>0</v>
      </c>
      <c r="K27" s="186">
        <v>0</v>
      </c>
      <c r="L27" s="186">
        <v>0</v>
      </c>
      <c r="M27" s="186">
        <v>0</v>
      </c>
      <c r="N27" s="186">
        <v>0</v>
      </c>
      <c r="O27" s="186">
        <v>0</v>
      </c>
      <c r="P27" s="186">
        <v>0</v>
      </c>
      <c r="Q27" s="186">
        <v>0</v>
      </c>
      <c r="R27" s="186">
        <v>0</v>
      </c>
      <c r="S27" s="186"/>
      <c r="T27" s="186"/>
      <c r="U27" s="186"/>
      <c r="V27" s="186"/>
      <c r="W27" s="186"/>
    </row>
    <row r="28" spans="1:23" x14ac:dyDescent="0.25">
      <c r="G28" s="182" t="str">
        <v>Renovation Debt Repayment</v>
      </c>
      <c r="H28" s="186">
        <v>50000</v>
      </c>
      <c r="I28" s="186">
        <v>50000</v>
      </c>
      <c r="J28" s="186">
        <v>0</v>
      </c>
      <c r="K28" s="186">
        <v>0</v>
      </c>
      <c r="L28" s="186">
        <v>0</v>
      </c>
      <c r="M28" s="186">
        <v>0</v>
      </c>
      <c r="N28" s="186">
        <v>0</v>
      </c>
      <c r="O28" s="186">
        <v>0</v>
      </c>
      <c r="P28" s="186">
        <v>0</v>
      </c>
      <c r="Q28" s="186">
        <v>0</v>
      </c>
      <c r="R28" s="186">
        <v>0</v>
      </c>
      <c r="S28" s="186"/>
      <c r="T28" s="186"/>
      <c r="U28" s="186"/>
      <c r="V28" s="186"/>
      <c r="W28" s="186"/>
    </row>
    <row r="30" spans="1:23" ht="20.25" x14ac:dyDescent="0.3">
      <c r="G30" s="289" t="s">
        <v>324</v>
      </c>
      <c r="H30" s="307"/>
      <c r="I30" s="307"/>
      <c r="J30" s="307"/>
      <c r="K30" s="307"/>
      <c r="L30" s="307"/>
      <c r="M30" s="307"/>
      <c r="N30" s="307"/>
      <c r="O30" s="307"/>
      <c r="P30" s="307"/>
      <c r="Q30" s="307"/>
      <c r="R30" s="307"/>
      <c r="S30" s="307"/>
      <c r="T30" s="307"/>
      <c r="U30" s="307"/>
      <c r="V30" s="307"/>
      <c r="W30" s="290"/>
    </row>
    <row r="32" spans="1:23" x14ac:dyDescent="0.25">
      <c r="G32" s="228" t="s">
        <v>66</v>
      </c>
      <c r="H32" s="115" t="s">
        <v>289</v>
      </c>
      <c r="I32" s="1" cm="1">
        <f t="array" ref="I32:T32">nabla.d.Timelineλ("1/1/2026", 12, "Y")</f>
        <v>45292</v>
      </c>
      <c r="J32" s="1">
        <v>46388</v>
      </c>
      <c r="K32" s="1">
        <v>46753</v>
      </c>
      <c r="L32" s="1">
        <v>47119</v>
      </c>
      <c r="M32" s="1">
        <v>47484</v>
      </c>
      <c r="N32" s="1">
        <v>47849</v>
      </c>
      <c r="O32" s="1">
        <v>48214</v>
      </c>
      <c r="P32" s="1">
        <v>48580</v>
      </c>
      <c r="Q32" s="1">
        <v>48945</v>
      </c>
      <c r="R32" s="1">
        <v>49310</v>
      </c>
      <c r="S32" s="1">
        <v>49675</v>
      </c>
      <c r="T32" s="1">
        <v>50041</v>
      </c>
      <c r="U32" s="1"/>
      <c r="V32" s="1"/>
      <c r="W32" s="1"/>
    </row>
    <row r="33" spans="7:20" x14ac:dyDescent="0.25">
      <c r="G33" s="182" t="str" cm="1">
        <f t="array" ref="G33:G38">nabla.f.LabelAmortiseλ(A23)</f>
        <v>Renovation Debt Issuance</v>
      </c>
      <c r="H33" s="202" cm="1">
        <f t="array" ref="H33:H38">nabla.f.SumAmortiseλ(_xlfn.ANCHORARRAY(I33))</f>
        <v>0</v>
      </c>
      <c r="I33" s="162" cm="1">
        <f t="array" ref="I33:T38">nabla.f.TimelinePositionλ(_xlfn.ANCHORARRAY(I23),_xlfn.ANCHORARRAY(I32), nabla.f.TimelineOffsetλ(E23,_xlfn.ANCHORARRAY($I$32)))</f>
        <v>0</v>
      </c>
      <c r="J33">
        <v>0</v>
      </c>
      <c r="K33">
        <v>0</v>
      </c>
      <c r="L33">
        <v>0</v>
      </c>
      <c r="M33">
        <v>0</v>
      </c>
      <c r="N33">
        <v>0</v>
      </c>
      <c r="O33">
        <v>0</v>
      </c>
      <c r="P33">
        <v>0</v>
      </c>
      <c r="Q33">
        <v>0</v>
      </c>
      <c r="R33">
        <v>0</v>
      </c>
      <c r="S33">
        <v>0</v>
      </c>
      <c r="T33">
        <v>0</v>
      </c>
    </row>
    <row r="34" spans="7:20" x14ac:dyDescent="0.25">
      <c r="G34" t="str">
        <v>Renovation Debt Balance</v>
      </c>
      <c r="H34">
        <v>0</v>
      </c>
      <c r="I34">
        <v>0</v>
      </c>
      <c r="J34">
        <v>0</v>
      </c>
      <c r="K34">
        <v>0</v>
      </c>
      <c r="L34">
        <v>0</v>
      </c>
      <c r="M34">
        <v>0</v>
      </c>
      <c r="N34">
        <v>0</v>
      </c>
      <c r="O34">
        <v>0</v>
      </c>
      <c r="P34">
        <v>0</v>
      </c>
      <c r="Q34">
        <v>0</v>
      </c>
      <c r="R34">
        <v>0</v>
      </c>
      <c r="S34">
        <v>0</v>
      </c>
      <c r="T34">
        <v>0</v>
      </c>
    </row>
    <row r="35" spans="7:20" x14ac:dyDescent="0.25">
      <c r="G35" t="str">
        <v>Renovation Interest</v>
      </c>
      <c r="H35">
        <v>0</v>
      </c>
      <c r="I35">
        <v>0</v>
      </c>
      <c r="J35">
        <v>0</v>
      </c>
      <c r="K35">
        <v>0</v>
      </c>
      <c r="L35">
        <v>0</v>
      </c>
      <c r="M35">
        <v>0</v>
      </c>
      <c r="N35">
        <v>0</v>
      </c>
      <c r="O35">
        <v>0</v>
      </c>
      <c r="P35">
        <v>0</v>
      </c>
      <c r="Q35">
        <v>0</v>
      </c>
      <c r="R35">
        <v>0</v>
      </c>
      <c r="S35">
        <v>0</v>
      </c>
      <c r="T35">
        <v>0</v>
      </c>
    </row>
    <row r="36" spans="7:20" x14ac:dyDescent="0.25">
      <c r="G36" t="str">
        <v>Renovation Debt Services</v>
      </c>
      <c r="H36">
        <v>0</v>
      </c>
      <c r="I36">
        <v>0</v>
      </c>
      <c r="J36">
        <v>0</v>
      </c>
      <c r="K36">
        <v>0</v>
      </c>
      <c r="L36">
        <v>0</v>
      </c>
      <c r="M36">
        <v>0</v>
      </c>
      <c r="N36">
        <v>0</v>
      </c>
      <c r="O36">
        <v>0</v>
      </c>
      <c r="P36">
        <v>0</v>
      </c>
      <c r="Q36">
        <v>0</v>
      </c>
      <c r="R36">
        <v>0</v>
      </c>
      <c r="S36">
        <v>0</v>
      </c>
      <c r="T36">
        <v>0</v>
      </c>
    </row>
    <row r="37" spans="7:20" x14ac:dyDescent="0.25">
      <c r="G37" t="str">
        <v>Renovation Closing Balance</v>
      </c>
      <c r="H37">
        <v>0</v>
      </c>
      <c r="I37">
        <v>0</v>
      </c>
      <c r="J37">
        <v>0</v>
      </c>
      <c r="K37">
        <v>0</v>
      </c>
      <c r="L37">
        <v>0</v>
      </c>
      <c r="M37">
        <v>0</v>
      </c>
      <c r="N37">
        <v>0</v>
      </c>
      <c r="O37">
        <v>0</v>
      </c>
      <c r="P37">
        <v>0</v>
      </c>
      <c r="Q37">
        <v>0</v>
      </c>
      <c r="R37">
        <v>0</v>
      </c>
      <c r="S37">
        <v>0</v>
      </c>
      <c r="T37">
        <v>0</v>
      </c>
    </row>
    <row r="38" spans="7:20" x14ac:dyDescent="0.25">
      <c r="G38" t="str">
        <v>Renovation Debt Repayment</v>
      </c>
      <c r="H38">
        <v>0</v>
      </c>
      <c r="I38">
        <v>0</v>
      </c>
      <c r="J38">
        <v>0</v>
      </c>
      <c r="K38">
        <v>0</v>
      </c>
      <c r="L38">
        <v>0</v>
      </c>
      <c r="M38">
        <v>0</v>
      </c>
      <c r="N38">
        <v>0</v>
      </c>
      <c r="O38">
        <v>0</v>
      </c>
      <c r="P38">
        <v>0</v>
      </c>
      <c r="Q38">
        <v>0</v>
      </c>
      <c r="R38">
        <v>0</v>
      </c>
      <c r="S38">
        <v>0</v>
      </c>
      <c r="T38">
        <v>0</v>
      </c>
    </row>
  </sheetData>
  <mergeCells count="5">
    <mergeCell ref="A1:P1"/>
    <mergeCell ref="A20:C20"/>
    <mergeCell ref="G30:W30"/>
    <mergeCell ref="G20:W20"/>
    <mergeCell ref="A2:Q2"/>
  </mergeCells>
  <conditionalFormatting sqref="A23:E23">
    <cfRule type="expression" dxfId="3" priority="7">
      <formula>MOD(ROW(),2)=0</formula>
    </cfRule>
  </conditionalFormatting>
  <conditionalFormatting sqref="G33:H33">
    <cfRule type="expression" dxfId="2" priority="1">
      <formula>FIND("Closing",$G33)</formula>
    </cfRule>
  </conditionalFormatting>
  <conditionalFormatting sqref="G23:W28">
    <cfRule type="expression" dxfId="1" priority="9">
      <formula>FIND("Closing",$G23)</formula>
    </cfRule>
  </conditionalFormatting>
  <conditionalFormatting sqref="H27:H28">
    <cfRule type="expression" dxfId="0" priority="8">
      <formula>FIND("Closing",$G27)</formula>
    </cfRule>
  </conditionalFormatting>
  <hyperlinks>
    <hyperlink ref="A1" location="'TOC'!$A$1" display="'TOC'!$A$1" xr:uid="{CE0E8EAD-2FC0-48CC-876C-811AE9A43B38}"/>
  </hyperlinks>
  <pageMargins left="0.7" right="0.7" top="0.75" bottom="0.75" header="0.3" footer="0.3"/>
  <customProperties>
    <customPr name="Description" r:id="rId1"/>
  </customPropertie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3B3A3-3CC3-4FD6-91B5-BD1607A8E8D3}">
  <sheetPr codeName="Sheet21">
    <tabColor rgb="FF2E75B6"/>
  </sheetPr>
  <dimension ref="A1:N8"/>
  <sheetViews>
    <sheetView showGridLines="0" workbookViewId="0">
      <selection activeCell="A1" sqref="A1"/>
    </sheetView>
  </sheetViews>
  <sheetFormatPr defaultRowHeight="15" x14ac:dyDescent="0.25"/>
  <cols>
    <col min="1" max="1" width="22" bestFit="1" customWidth="1"/>
    <col min="2" max="2" width="99.7109375" bestFit="1" customWidth="1"/>
  </cols>
  <sheetData>
    <row r="1" spans="1:14" ht="45.75" x14ac:dyDescent="0.65">
      <c r="A1" s="270" t="str">
        <f>_xlfn.TEXTAFTER(CELL("filename",A1),"]")</f>
        <v>nabla.e.Aboutλ</v>
      </c>
      <c r="B1" s="270"/>
      <c r="C1" s="270"/>
      <c r="D1" s="270"/>
      <c r="E1" s="270"/>
      <c r="F1" s="112"/>
      <c r="G1" s="112"/>
      <c r="H1" s="112"/>
      <c r="I1" s="112"/>
      <c r="J1" s="112"/>
      <c r="K1" s="112"/>
      <c r="L1" s="112"/>
      <c r="M1" s="112"/>
      <c r="N1" s="112"/>
    </row>
    <row r="2" spans="1:14" x14ac:dyDescent="0.25">
      <c r="A2" s="273" t="s">
        <v>380</v>
      </c>
      <c r="B2" s="287"/>
      <c r="C2" s="287"/>
      <c r="D2" s="287"/>
      <c r="E2" s="287"/>
      <c r="F2" s="287"/>
      <c r="G2" s="287"/>
      <c r="H2" s="287"/>
      <c r="I2" s="288"/>
      <c r="J2" s="104"/>
      <c r="K2" s="104"/>
      <c r="L2" s="104"/>
      <c r="M2" s="104"/>
      <c r="N2" s="104"/>
    </row>
    <row r="3" spans="1:14" x14ac:dyDescent="0.25">
      <c r="A3" s="104"/>
      <c r="B3" s="104"/>
      <c r="C3" s="104"/>
      <c r="D3" s="104"/>
      <c r="E3" s="104"/>
      <c r="F3" s="104"/>
      <c r="G3" s="104"/>
      <c r="H3" s="104"/>
      <c r="I3" s="104"/>
      <c r="J3" s="104"/>
      <c r="K3" s="104"/>
      <c r="L3" s="104"/>
      <c r="M3" s="104"/>
      <c r="N3" s="104"/>
    </row>
    <row r="5" spans="1:14" x14ac:dyDescent="0.25">
      <c r="A5" s="131" t="e" cm="1">
        <f t="array" ref="A5">nabla.e.Aboutλ</f>
        <v>#NAME?</v>
      </c>
    </row>
    <row r="8" spans="1:14" x14ac:dyDescent="0.25">
      <c r="D8" s="103"/>
    </row>
  </sheetData>
  <mergeCells count="2">
    <mergeCell ref="A1:E1"/>
    <mergeCell ref="A2:I2"/>
  </mergeCells>
  <hyperlinks>
    <hyperlink ref="A1" location="'TOC'!$A$1" display="'TOC'!$A$1" xr:uid="{B6AE302E-D617-484D-8915-B28641065E9C}"/>
  </hyperlinks>
  <pageMargins left="0.7" right="0.7" top="0.75" bottom="0.75" header="0.3" footer="0.3"/>
  <customProperties>
    <customPr name="Description" r:id="rId1"/>
  </customPropertie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3D5D-5080-400A-ADA8-02E89DF86758}">
  <sheetPr codeName="Sheet22">
    <tabColor rgb="FF2E75B6"/>
  </sheetPr>
  <dimension ref="A1:Q21"/>
  <sheetViews>
    <sheetView showGridLines="0" workbookViewId="0">
      <selection activeCell="A1" sqref="A1"/>
    </sheetView>
  </sheetViews>
  <sheetFormatPr defaultRowHeight="15" x14ac:dyDescent="0.25"/>
  <cols>
    <col min="1" max="1" width="12.7109375" bestFit="1" customWidth="1"/>
    <col min="2" max="2" width="23.85546875" customWidth="1"/>
    <col min="3" max="3" width="9.85546875" bestFit="1" customWidth="1"/>
    <col min="4" max="4" width="6.140625" bestFit="1" customWidth="1"/>
    <col min="5" max="5" width="22.140625" bestFit="1" customWidth="1"/>
    <col min="6" max="6" width="15.5703125" bestFit="1" customWidth="1"/>
    <col min="7" max="18" width="10.140625" bestFit="1" customWidth="1"/>
  </cols>
  <sheetData>
    <row r="1" spans="1:17" ht="45.75" x14ac:dyDescent="0.65">
      <c r="A1" s="270" t="str">
        <f>_xlfn.TEXTAFTER(CELL("filename",A1),"]")</f>
        <v>nabla.e.CountCλ</v>
      </c>
      <c r="B1" s="270"/>
      <c r="C1" s="270"/>
      <c r="D1" s="270"/>
      <c r="E1" s="270"/>
      <c r="F1" s="270"/>
      <c r="G1" s="270"/>
      <c r="H1" s="270"/>
      <c r="I1" s="270"/>
      <c r="J1" s="270"/>
      <c r="K1" s="270"/>
    </row>
    <row r="2" spans="1:17" x14ac:dyDescent="0.25">
      <c r="A2" s="273" t="s">
        <v>213</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row>
    <row r="4" spans="1:17" x14ac:dyDescent="0.25">
      <c r="A4" s="162" t="str" cm="1">
        <f t="array" ref="A4:B13">nabla.e.CountCλ()</f>
        <v>FUNCTION:</v>
      </c>
      <c r="B4" t="str">
        <v>CountCλ( Text, Characters)</v>
      </c>
    </row>
    <row r="5" spans="1:17" x14ac:dyDescent="0.25">
      <c r="A5" t="str">
        <v>DESCRIPTION:</v>
      </c>
      <c r="B5" t="str">
        <v>Count how many of one or more characters are in a string.</v>
      </c>
    </row>
    <row r="6" spans="1:17" x14ac:dyDescent="0.25">
      <c r="A6" t="str">
        <v>WEBPAGE:</v>
      </c>
      <c r="B6" t="str">
        <v>https://github.com/ryanduguid/Nabla</v>
      </c>
    </row>
    <row r="7" spans="1:17" x14ac:dyDescent="0.25">
      <c r="A7" t="str">
        <v>VERSION:</v>
      </c>
      <c r="B7" t="str">
        <v>18 Aug 2026</v>
      </c>
    </row>
    <row r="8" spans="1:17" x14ac:dyDescent="0.25">
      <c r="A8" t="str">
        <v>PARAMETERS:</v>
      </c>
      <c r="B8" t="str">
        <v/>
      </c>
    </row>
    <row r="9" spans="1:17" x14ac:dyDescent="0.25">
      <c r="A9" t="str">
        <v>Text</v>
      </c>
      <c r="B9" t="str">
        <v>(Required) The string to interrogate</v>
      </c>
    </row>
    <row r="10" spans="1:17" x14ac:dyDescent="0.25">
      <c r="A10" t="str">
        <v>Characters</v>
      </c>
      <c r="B10" t="str">
        <v>(Required) A single character, or CSV of characters to find in Text</v>
      </c>
    </row>
    <row r="11" spans="1:17" x14ac:dyDescent="0.25">
      <c r="A11" t="str">
        <v/>
      </c>
      <c r="B11" t="str">
        <v>NOTE! Case sensitive</v>
      </c>
    </row>
    <row r="12" spans="1:17" x14ac:dyDescent="0.25">
      <c r="A12" t="str">
        <v>EXAMPLES:</v>
      </c>
      <c r="B12" t="str">
        <v>Formula (nabla.e is assumed to be the module's name)</v>
      </c>
    </row>
    <row r="13" spans="1:17" x14ac:dyDescent="0.25">
      <c r="A13" t="str">
        <v/>
      </c>
      <c r="B13" t="str">
        <v>=nabla.e.CountCλ( "Mary had a little lamb", "a,b")</v>
      </c>
    </row>
    <row r="16" spans="1:17" x14ac:dyDescent="0.25">
      <c r="B16" s="190" t="s">
        <v>391</v>
      </c>
      <c r="C16" s="190" t="s">
        <v>390</v>
      </c>
      <c r="D16" s="1" t="s">
        <v>392</v>
      </c>
      <c r="E16" s="250" t="s">
        <v>398</v>
      </c>
      <c r="F16" s="1"/>
      <c r="G16" s="1"/>
      <c r="H16" s="1"/>
      <c r="I16" s="1"/>
      <c r="J16" s="1"/>
      <c r="K16" s="1"/>
      <c r="L16" s="1"/>
      <c r="M16" s="1"/>
      <c r="N16" s="1"/>
      <c r="O16" s="1"/>
    </row>
    <row r="17" spans="2:5" x14ac:dyDescent="0.25">
      <c r="B17" s="121" t="s">
        <v>393</v>
      </c>
      <c r="C17" s="174" t="s">
        <v>394</v>
      </c>
      <c r="D17" s="162" cm="1">
        <f t="array" ref="D17">nabla.e.CountCλ(B17,C17)</f>
        <v>5</v>
      </c>
      <c r="E17" t="s">
        <v>399</v>
      </c>
    </row>
    <row r="18" spans="2:5" x14ac:dyDescent="0.25">
      <c r="B18" s="121" t="s">
        <v>393</v>
      </c>
      <c r="C18" s="174" t="s">
        <v>144</v>
      </c>
      <c r="D18" s="162" cm="1">
        <f t="array" ref="D18">nabla.e.CountCλ(B18,C18)</f>
        <v>1</v>
      </c>
      <c r="E18" t="s">
        <v>400</v>
      </c>
    </row>
    <row r="19" spans="2:5" x14ac:dyDescent="0.25">
      <c r="B19" s="121" t="s">
        <v>393</v>
      </c>
      <c r="C19" s="174" t="s">
        <v>395</v>
      </c>
      <c r="D19" s="162" cm="1">
        <f t="array" ref="D19">nabla.e.CountCλ(B19,C19)</f>
        <v>2</v>
      </c>
    </row>
    <row r="20" spans="2:5" x14ac:dyDescent="0.25">
      <c r="B20" s="121" t="s">
        <v>393</v>
      </c>
      <c r="C20" s="174" t="s">
        <v>396</v>
      </c>
      <c r="D20" s="162" cm="1">
        <f t="array" ref="D20">nabla.e.CountCλ(B20,C20)</f>
        <v>3</v>
      </c>
    </row>
    <row r="21" spans="2:5" x14ac:dyDescent="0.25">
      <c r="B21" s="121" t="s">
        <v>393</v>
      </c>
      <c r="C21" s="174" t="s">
        <v>397</v>
      </c>
      <c r="D21" s="162" cm="1">
        <f t="array" ref="D21">nabla.e.CountCλ(B21,C21)</f>
        <v>3</v>
      </c>
      <c r="E21" t="s">
        <v>401</v>
      </c>
    </row>
  </sheetData>
  <mergeCells count="2">
    <mergeCell ref="A1:K1"/>
    <mergeCell ref="A2:Q2"/>
  </mergeCells>
  <hyperlinks>
    <hyperlink ref="A1" location="'TOC'!$A$1" display="'TOC'!$A$1" xr:uid="{A745DC2E-F8AB-4E84-B9E0-B68127444689}"/>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737BA-5C36-4C12-8821-56EB1BFBD90B}">
  <sheetPr codeName="Sheet49">
    <tabColor rgb="FF2E75B6"/>
  </sheetPr>
  <dimension ref="A1:R26"/>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7" ht="45.75" x14ac:dyDescent="0.65">
      <c r="A1" s="270" t="str">
        <f>_xlfn.TEXTAFTER(CELL("filename",A1),"]")</f>
        <v>nabla.e.SumRowsλ</v>
      </c>
      <c r="B1" s="270"/>
      <c r="C1" s="270"/>
      <c r="D1" s="270"/>
      <c r="E1" s="270"/>
      <c r="F1" s="270"/>
      <c r="G1" s="270"/>
      <c r="H1" s="270"/>
      <c r="I1" s="270"/>
      <c r="J1" s="270"/>
      <c r="K1" s="270"/>
    </row>
    <row r="2" spans="1:17" x14ac:dyDescent="0.25">
      <c r="A2" s="273" t="s">
        <v>213</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row>
    <row r="4" spans="1:17" x14ac:dyDescent="0.25">
      <c r="A4" s="162" t="str" cm="1">
        <f t="array" ref="A4:B11">nabla.e.SumRowsλ()</f>
        <v>FUNCTION:</v>
      </c>
      <c r="B4" t="str">
        <v>SumRowsλ( Array)</v>
      </c>
    </row>
    <row r="5" spans="1:17" x14ac:dyDescent="0.25">
      <c r="A5" t="str">
        <v>DESCRIPTION:</v>
      </c>
      <c r="B5" t="str">
        <v>Get the total of each row</v>
      </c>
    </row>
    <row r="6" spans="1:17" x14ac:dyDescent="0.25">
      <c r="A6" t="str">
        <v>WEBPAGE:</v>
      </c>
      <c r="B6" t="str">
        <v>https://github.com/ryanduguid/Nabla</v>
      </c>
    </row>
    <row r="7" spans="1:17" x14ac:dyDescent="0.25">
      <c r="A7" t="str">
        <v>VERSION:</v>
      </c>
      <c r="B7" t="str">
        <v>18 Aug 2026</v>
      </c>
    </row>
    <row r="8" spans="1:17" x14ac:dyDescent="0.25">
      <c r="A8" t="str">
        <v>PARAMETERS:</v>
      </c>
      <c r="B8" t="str">
        <v/>
      </c>
    </row>
    <row r="9" spans="1:17" x14ac:dyDescent="0.25">
      <c r="A9" t="str">
        <v>Array</v>
      </c>
      <c r="B9" t="str">
        <v>(Required) A two dimensional array/range containing values to be totalled by row.</v>
      </c>
    </row>
    <row r="10" spans="1:17" x14ac:dyDescent="0.25">
      <c r="A10" t="str">
        <v>EXAMPLES:</v>
      </c>
      <c r="B10" t="str">
        <v>Formula (nabla.e is assumed to be the module's name)</v>
      </c>
    </row>
    <row r="11" spans="1:17" x14ac:dyDescent="0.25">
      <c r="A11" t="str">
        <v/>
      </c>
      <c r="B11" t="str">
        <v>=nabla.e.SumRowsλ( SEQUENCE(5,5))</v>
      </c>
    </row>
    <row r="17" spans="1:18" ht="20.25" x14ac:dyDescent="0.3">
      <c r="A17" s="302" t="s">
        <v>272</v>
      </c>
      <c r="B17" s="302"/>
      <c r="C17" s="302"/>
    </row>
    <row r="19" spans="1:18" x14ac:dyDescent="0.25">
      <c r="A19" s="161" t="s">
        <v>273</v>
      </c>
      <c r="B19" s="161" t="s">
        <v>138</v>
      </c>
      <c r="C19" s="161" t="s">
        <v>139</v>
      </c>
      <c r="E19" s="190" t="s">
        <v>131</v>
      </c>
      <c r="F19" s="190" t="s">
        <v>276</v>
      </c>
      <c r="G19" s="1" cm="1">
        <f t="array" ref="G19:R19">nabla.d.Timelineλ($B$20,$B$21,$B$22)</f>
        <v>45292</v>
      </c>
      <c r="H19" s="1">
        <v>46388</v>
      </c>
      <c r="I19" s="1">
        <v>46753</v>
      </c>
      <c r="J19" s="1">
        <v>47119</v>
      </c>
      <c r="K19" s="1">
        <v>47484</v>
      </c>
      <c r="L19" s="1">
        <v>47849</v>
      </c>
      <c r="M19" s="1">
        <v>48214</v>
      </c>
      <c r="N19" s="1">
        <v>48580</v>
      </c>
      <c r="O19" s="1">
        <v>48945</v>
      </c>
      <c r="P19" s="1">
        <v>49310</v>
      </c>
      <c r="Q19" s="1">
        <v>49675</v>
      </c>
      <c r="R19" s="1">
        <v>50041</v>
      </c>
    </row>
    <row r="20" spans="1:18" x14ac:dyDescent="0.25">
      <c r="A20" t="s">
        <v>236</v>
      </c>
      <c r="B20" s="141">
        <v>46023</v>
      </c>
      <c r="C20" t="s">
        <v>145</v>
      </c>
      <c r="E20" s="121" t="str" cm="1">
        <f t="array" ref="E20:E24">tblCT[Customer]</f>
        <v>ACME</v>
      </c>
      <c r="F20" s="236" cm="1">
        <f t="array" ref="F20:F24">nabla.e.SumRowsλ(_xlfn.ANCHORARRAY(G20))</f>
        <v>53801.688410351358</v>
      </c>
      <c r="G20" s="235" cm="1">
        <f t="array" ref="G20:R24">_xlfn.RANDARRAY( COUNTA(_xlfn.ANCHORARRAY( E20)), COUNTA(_xlfn.ANCHORARRAY( G19)), 1000, 10000)</f>
        <v>8319.7474334553026</v>
      </c>
      <c r="H20">
        <f/>
        <v>4072.6957796761053</v>
      </c>
      <c r="I20">
        <f/>
        <v>2329.1572604719095</v>
      </c>
      <c r="J20">
        <f/>
        <v>4247.5362341117634</v>
      </c>
      <c r="K20">
        <f/>
        <v>4219.6715599182007</v>
      </c>
      <c r="L20">
        <f/>
        <v>1006.7725066957028</v>
      </c>
      <c r="M20">
        <f/>
        <v>5023.9735897096398</v>
      </c>
      <c r="N20">
        <f/>
        <v>2837.7674813553149</v>
      </c>
      <c r="O20">
        <f/>
        <v>3377.7690093926321</v>
      </c>
      <c r="P20">
        <f/>
        <v>9813.5376945078951</v>
      </c>
      <c r="Q20">
        <f/>
        <v>7037.2813694559627</v>
      </c>
      <c r="R20">
        <f/>
        <v>1515.7784916009241</v>
      </c>
    </row>
    <row r="21" spans="1:18" x14ac:dyDescent="0.25">
      <c r="A21" t="s">
        <v>141</v>
      </c>
      <c r="B21">
        <v>12</v>
      </c>
      <c r="C21" t="s">
        <v>146</v>
      </c>
      <c r="E21" s="121" t="str">
        <v>Wool*Art</v>
      </c>
      <c r="F21" s="174">
        <f/>
        <v>72237.148877239175</v>
      </c>
      <c r="G21" s="174">
        <f/>
        <v>7377.2598545200981</v>
      </c>
      <c r="H21">
        <f/>
        <v>4885.1259791158682</v>
      </c>
      <c r="I21">
        <f/>
        <v>6695.4367156571443</v>
      </c>
      <c r="J21">
        <f/>
        <v>2643.9185583345989</v>
      </c>
      <c r="K21">
        <f/>
        <v>4144.3814924523249</v>
      </c>
      <c r="L21">
        <f/>
        <v>8617.9715621891701</v>
      </c>
      <c r="M21">
        <f/>
        <v>9814.3250195114342</v>
      </c>
      <c r="N21">
        <f/>
        <v>1590.852791585854</v>
      </c>
      <c r="O21">
        <f/>
        <v>2924.6491703584506</v>
      </c>
      <c r="P21">
        <f/>
        <v>4717.2197051652693</v>
      </c>
      <c r="Q21">
        <f/>
        <v>9673.9885033068713</v>
      </c>
      <c r="R21">
        <f/>
        <v>9152.0195250420948</v>
      </c>
    </row>
    <row r="22" spans="1:18" x14ac:dyDescent="0.25">
      <c r="A22" t="s">
        <v>142</v>
      </c>
      <c r="B22" t="s">
        <v>24</v>
      </c>
      <c r="E22" s="121" t="str">
        <v>Town Hall</v>
      </c>
      <c r="F22" s="174">
        <f/>
        <v>78188.931130421683</v>
      </c>
      <c r="G22" s="174">
        <f/>
        <v>4386.620804760294</v>
      </c>
      <c r="H22">
        <f/>
        <v>1915.0847249369108</v>
      </c>
      <c r="I22">
        <f/>
        <v>8062.6652487086794</v>
      </c>
      <c r="J22">
        <f/>
        <v>9787.3321483259078</v>
      </c>
      <c r="K22">
        <f/>
        <v>8634.6670235627535</v>
      </c>
      <c r="L22">
        <f/>
        <v>3772.9352788501565</v>
      </c>
      <c r="M22">
        <f/>
        <v>9585.3280333014463</v>
      </c>
      <c r="N22">
        <f/>
        <v>1632.6105307088255</v>
      </c>
      <c r="O22">
        <f/>
        <v>7247.5243028887198</v>
      </c>
      <c r="P22">
        <f/>
        <v>9317.8040367739177</v>
      </c>
      <c r="Q22">
        <f/>
        <v>7430.3768581124623</v>
      </c>
      <c r="R22">
        <f/>
        <v>6415.9821394916089</v>
      </c>
    </row>
    <row r="23" spans="1:18" x14ac:dyDescent="0.25">
      <c r="E23" s="121" t="str">
        <v>Jacqie Penee</v>
      </c>
      <c r="F23" s="174">
        <f/>
        <v>60169.437102809898</v>
      </c>
      <c r="G23">
        <f/>
        <v>7263.3725972473494</v>
      </c>
      <c r="H23">
        <f/>
        <v>4269.1832581988492</v>
      </c>
      <c r="I23">
        <f/>
        <v>6772.2542632418445</v>
      </c>
      <c r="J23">
        <f/>
        <v>2989.613896176661</v>
      </c>
      <c r="K23">
        <f/>
        <v>1094.9959445481982</v>
      </c>
      <c r="L23">
        <f/>
        <v>8978.1712415202019</v>
      </c>
      <c r="M23">
        <f/>
        <v>9108.887821691611</v>
      </c>
      <c r="N23">
        <f/>
        <v>4932.1792341087403</v>
      </c>
      <c r="O23">
        <f/>
        <v>4190.9199944558495</v>
      </c>
      <c r="P23">
        <f/>
        <v>4652.8693016806847</v>
      </c>
      <c r="Q23">
        <f/>
        <v>3714.2642322444844</v>
      </c>
      <c r="R23">
        <f/>
        <v>2202.7253176954109</v>
      </c>
    </row>
    <row r="24" spans="1:18" x14ac:dyDescent="0.25">
      <c r="E24" s="121" t="str">
        <v>Amazonia</v>
      </c>
      <c r="F24" s="174">
        <f/>
        <v>62043.866965536385</v>
      </c>
      <c r="G24">
        <f/>
        <v>1974.2328667137972</v>
      </c>
      <c r="H24">
        <f/>
        <v>5403.1317178657137</v>
      </c>
      <c r="I24">
        <f/>
        <v>1882.1894824609208</v>
      </c>
      <c r="J24">
        <f/>
        <v>7753.2745254056208</v>
      </c>
      <c r="K24">
        <f/>
        <v>1935.2863762562229</v>
      </c>
      <c r="L24">
        <f/>
        <v>9925.9698089778849</v>
      </c>
      <c r="M24">
        <f/>
        <v>3821.5835692540641</v>
      </c>
      <c r="N24">
        <f/>
        <v>1498.6022151323323</v>
      </c>
      <c r="O24">
        <f/>
        <v>5073.3244938373628</v>
      </c>
      <c r="P24">
        <f/>
        <v>3628.6600141312792</v>
      </c>
      <c r="Q24">
        <f/>
        <v>9291.0682039010408</v>
      </c>
      <c r="R24">
        <f/>
        <v>9856.5436916001399</v>
      </c>
    </row>
    <row r="25" spans="1:18" ht="15.75" thickBot="1" x14ac:dyDescent="0.3">
      <c r="E25" s="203" t="s">
        <v>63</v>
      </c>
      <c r="F25" s="171">
        <f>SUM(_xlfn.ANCHORARRAY(G25))</f>
        <v>326441.07248635852</v>
      </c>
      <c r="G25" s="171" cm="1">
        <f t="array" ref="G25:R25">nabla.e.SumColsλ(_xlfn.ANCHORARRAY(G20))</f>
        <v>29321.23355669684</v>
      </c>
      <c r="H25" s="171">
        <f/>
        <v>20545.221459793447</v>
      </c>
      <c r="I25" s="171">
        <f/>
        <v>25741.7029705405</v>
      </c>
      <c r="J25" s="171">
        <f/>
        <v>27421.675362354552</v>
      </c>
      <c r="K25" s="171">
        <f/>
        <v>20029.002396737698</v>
      </c>
      <c r="L25" s="171">
        <f/>
        <v>32301.820398233118</v>
      </c>
      <c r="M25" s="171">
        <f/>
        <v>37354.098033468195</v>
      </c>
      <c r="N25" s="171">
        <f/>
        <v>12492.012252891067</v>
      </c>
      <c r="O25" s="171">
        <f/>
        <v>22814.186970933013</v>
      </c>
      <c r="P25" s="171">
        <f/>
        <v>32130.09075225905</v>
      </c>
      <c r="Q25" s="171">
        <f/>
        <v>37146.979167020821</v>
      </c>
      <c r="R25" s="171">
        <f/>
        <v>29143.04916543018</v>
      </c>
    </row>
    <row r="26" spans="1:18" ht="15.75" thickTop="1" x14ac:dyDescent="0.25"/>
  </sheetData>
  <mergeCells count="3">
    <mergeCell ref="A1:K1"/>
    <mergeCell ref="A17:C17"/>
    <mergeCell ref="A2:Q2"/>
  </mergeCells>
  <hyperlinks>
    <hyperlink ref="A1" location="'TOC'!$A$1" display="'TOC'!$A$1" xr:uid="{4AB2A53D-4913-401C-9816-B1BB1FB12942}"/>
  </hyperlinks>
  <pageMargins left="0.7" right="0.7" top="0.75" bottom="0.75" header="0.3" footer="0.3"/>
  <customProperties>
    <customPr name="Description" r:id="rId1"/>
  </customPropertie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2C8ED-CB6E-49D4-9B48-1967C20B45F3}">
  <sheetPr codeName="Sheet50">
    <tabColor rgb="FF2E75B6"/>
  </sheetPr>
  <dimension ref="A1:S42"/>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9" ht="45.75" x14ac:dyDescent="0.65">
      <c r="A1" s="270" t="str">
        <f>_xlfn.TEXTAFTER(CELL("filename",A1),"]")</f>
        <v>nabla.e.SumColsλ</v>
      </c>
      <c r="B1" s="270"/>
      <c r="C1" s="270"/>
      <c r="D1" s="270"/>
      <c r="E1" s="270"/>
      <c r="F1" s="270"/>
      <c r="G1" s="270"/>
      <c r="H1" s="270"/>
      <c r="I1" s="270"/>
      <c r="J1" s="270"/>
      <c r="K1" s="270"/>
      <c r="L1" s="270"/>
      <c r="M1" s="270"/>
      <c r="N1" s="270"/>
      <c r="O1" s="270"/>
      <c r="P1" s="270"/>
    </row>
    <row r="2" spans="1:19" x14ac:dyDescent="0.25">
      <c r="A2" s="273" t="s">
        <v>385</v>
      </c>
      <c r="B2" s="274"/>
      <c r="C2" s="274"/>
      <c r="D2" s="274"/>
      <c r="E2" s="274"/>
      <c r="F2" s="274"/>
      <c r="G2" s="274"/>
      <c r="H2" s="274"/>
      <c r="I2" s="274"/>
      <c r="J2" s="274"/>
      <c r="K2" s="274"/>
      <c r="L2" s="274"/>
      <c r="M2" s="274"/>
      <c r="N2" s="274"/>
      <c r="O2" s="274"/>
      <c r="P2" s="274"/>
      <c r="Q2" s="274"/>
      <c r="R2" s="274"/>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nabla.e.SumColsλ()</f>
        <v>FUNCTION:</v>
      </c>
      <c r="B4" t="str">
        <v>SumColsλ( Array)</v>
      </c>
    </row>
    <row r="5" spans="1:19" x14ac:dyDescent="0.25">
      <c r="A5" t="str">
        <v>DESCRIPTION:</v>
      </c>
      <c r="B5" t="str">
        <v>Get the total of each column</v>
      </c>
    </row>
    <row r="6" spans="1:19" x14ac:dyDescent="0.25">
      <c r="A6" t="str">
        <v>WEBPAGE:</v>
      </c>
      <c r="B6" t="str">
        <v>https://github.com/ryanduguid/Nabla</v>
      </c>
    </row>
    <row r="7" spans="1:19" x14ac:dyDescent="0.25">
      <c r="A7" t="str">
        <v>VERSION:</v>
      </c>
      <c r="B7" t="str">
        <v>18 Aug 2026</v>
      </c>
    </row>
    <row r="8" spans="1:19" x14ac:dyDescent="0.25">
      <c r="A8" t="str">
        <v>PARAMETERS:</v>
      </c>
      <c r="B8" t="str">
        <v/>
      </c>
    </row>
    <row r="9" spans="1:19" x14ac:dyDescent="0.25">
      <c r="A9" t="str">
        <v>Array</v>
      </c>
      <c r="B9" t="str">
        <v>(Required) A two dimensional array/range containing values to be totalled by column.</v>
      </c>
    </row>
    <row r="10" spans="1:19" x14ac:dyDescent="0.25">
      <c r="A10" t="str">
        <v>EXAMPLES:</v>
      </c>
      <c r="B10" t="str">
        <v>Formula (nabla.e is assumed to be the module's name)</v>
      </c>
    </row>
    <row r="11" spans="1:19" x14ac:dyDescent="0.25">
      <c r="A11" t="str">
        <v/>
      </c>
      <c r="B11" t="str">
        <v>=nabla.e.SumColsλ( SEQUENCE(5,5))</v>
      </c>
    </row>
    <row r="14" spans="1:19" ht="20.25" x14ac:dyDescent="0.3">
      <c r="A14" s="302" t="s">
        <v>272</v>
      </c>
      <c r="B14" s="302"/>
      <c r="C14" s="302"/>
    </row>
    <row r="16" spans="1:19" x14ac:dyDescent="0.25">
      <c r="A16" s="161" t="s">
        <v>273</v>
      </c>
      <c r="B16" s="161" t="s">
        <v>138</v>
      </c>
      <c r="C16" s="161" t="s">
        <v>139</v>
      </c>
      <c r="F16" s="161" t="s">
        <v>264</v>
      </c>
      <c r="G16" s="155" t="s">
        <v>276</v>
      </c>
      <c r="H16" s="156" cm="1">
        <f t="array" ref="H16:S16">nabla.d.Timelineλ($B$17, $B$18, $B$19)</f>
        <v>45292</v>
      </c>
      <c r="I16" s="1">
        <v>46054</v>
      </c>
      <c r="J16" s="1">
        <v>46082</v>
      </c>
      <c r="K16" s="1">
        <v>46113</v>
      </c>
      <c r="L16" s="1">
        <v>46143</v>
      </c>
      <c r="M16" s="1">
        <v>46174</v>
      </c>
      <c r="N16" s="1">
        <v>46204</v>
      </c>
      <c r="O16" s="1">
        <v>46235</v>
      </c>
      <c r="P16" s="1">
        <v>46266</v>
      </c>
      <c r="Q16" s="1">
        <v>46296</v>
      </c>
      <c r="R16" s="1">
        <v>46327</v>
      </c>
      <c r="S16" s="1">
        <v>46357</v>
      </c>
    </row>
    <row r="17" spans="1:19" x14ac:dyDescent="0.25">
      <c r="A17" t="s">
        <v>236</v>
      </c>
      <c r="B17" s="141">
        <v>46023</v>
      </c>
      <c r="C17" t="s">
        <v>145</v>
      </c>
      <c r="F17" t="str" cm="1">
        <f t="array" ref="F17:F21">tblCT[Customer]</f>
        <v>ACME</v>
      </c>
      <c r="G17" cm="1">
        <f t="array" ref="G17:G21">nabla.e.SumRowsλ(_xlfn.ANCHORARRAY(H17))</f>
        <v>65790.082892959283</v>
      </c>
      <c r="H17" s="192" cm="1">
        <f t="array" ref="H17:S21">_xlfn.RANDARRAY(COUNTA(_xlfn.ANCHORARRAY(F17)), COUNTA(_xlfn.ANCHORARRAY(H16)), 1000, 10000)</f>
        <v>3204.4841327589074</v>
      </c>
      <c r="I17">
        <f/>
        <v>7687.2341118580916</v>
      </c>
      <c r="J17">
        <f/>
        <v>7806.3147645171339</v>
      </c>
      <c r="K17">
        <f/>
        <v>6340.2593946732304</v>
      </c>
      <c r="L17">
        <f/>
        <v>7293.8039123659964</v>
      </c>
      <c r="M17">
        <f/>
        <v>5697.0028460170124</v>
      </c>
      <c r="N17">
        <f/>
        <v>2765.7815170300364</v>
      </c>
      <c r="O17">
        <f/>
        <v>5550.8507352921697</v>
      </c>
      <c r="P17">
        <f/>
        <v>7502.212880979554</v>
      </c>
      <c r="Q17">
        <f/>
        <v>1776.9424299652219</v>
      </c>
      <c r="R17">
        <f/>
        <v>3159.0428064227654</v>
      </c>
      <c r="S17">
        <f/>
        <v>7006.1533610791575</v>
      </c>
    </row>
    <row r="18" spans="1:19" x14ac:dyDescent="0.25">
      <c r="A18" t="s">
        <v>141</v>
      </c>
      <c r="B18">
        <v>12</v>
      </c>
      <c r="C18" t="s">
        <v>146</v>
      </c>
      <c r="F18" t="str">
        <v>Wool*Art</v>
      </c>
      <c r="G18">
        <f/>
        <v>67953.257858987388</v>
      </c>
      <c r="H18">
        <f/>
        <v>9744.127410604362</v>
      </c>
      <c r="I18">
        <f/>
        <v>6657.2060069204181</v>
      </c>
      <c r="J18">
        <f/>
        <v>4231.7876377644843</v>
      </c>
      <c r="K18">
        <f/>
        <v>8469.9618284807584</v>
      </c>
      <c r="L18">
        <f/>
        <v>5498.7572168808201</v>
      </c>
      <c r="M18">
        <f/>
        <v>8243.3272707922315</v>
      </c>
      <c r="N18">
        <f/>
        <v>2421.9589610449893</v>
      </c>
      <c r="O18">
        <f/>
        <v>3266.2046968940413</v>
      </c>
      <c r="P18">
        <f/>
        <v>7376.0001095222033</v>
      </c>
      <c r="Q18">
        <f/>
        <v>9809.1519251024238</v>
      </c>
      <c r="R18">
        <f/>
        <v>1036.9068959977994</v>
      </c>
      <c r="S18">
        <f/>
        <v>1197.8678989828477</v>
      </c>
    </row>
    <row r="19" spans="1:19" x14ac:dyDescent="0.25">
      <c r="A19" t="s">
        <v>142</v>
      </c>
      <c r="B19" t="s">
        <v>144</v>
      </c>
      <c r="F19" t="str">
        <v>Town Hall</v>
      </c>
      <c r="G19">
        <f/>
        <v>49474.467103212141</v>
      </c>
      <c r="H19">
        <f/>
        <v>2871.2072254874947</v>
      </c>
      <c r="I19">
        <f/>
        <v>6791.494246783277</v>
      </c>
      <c r="J19">
        <f/>
        <v>3067.1439347602372</v>
      </c>
      <c r="K19">
        <f/>
        <v>4624.1462940542697</v>
      </c>
      <c r="L19">
        <f/>
        <v>1994.6463022976368</v>
      </c>
      <c r="M19">
        <f/>
        <v>1658.144771867137</v>
      </c>
      <c r="N19">
        <f/>
        <v>1925.1282211469243</v>
      </c>
      <c r="O19">
        <f/>
        <v>5536.711462383073</v>
      </c>
      <c r="P19">
        <f/>
        <v>1578.7045548230908</v>
      </c>
      <c r="Q19">
        <f/>
        <v>6139.9248662564896</v>
      </c>
      <c r="R19">
        <f/>
        <v>5397.7064160959744</v>
      </c>
      <c r="S19">
        <f/>
        <v>7889.5088072565395</v>
      </c>
    </row>
    <row r="20" spans="1:19" x14ac:dyDescent="0.25">
      <c r="F20" t="str">
        <v>Jacqie Penee</v>
      </c>
      <c r="G20">
        <f/>
        <v>74620.556104386254</v>
      </c>
      <c r="H20">
        <f/>
        <v>4283.2656805869847</v>
      </c>
      <c r="I20">
        <f/>
        <v>1619.2557135637107</v>
      </c>
      <c r="J20">
        <f/>
        <v>6635.1818593479529</v>
      </c>
      <c r="K20">
        <f/>
        <v>9363.4608544285238</v>
      </c>
      <c r="L20">
        <f/>
        <v>3716.7494754711661</v>
      </c>
      <c r="M20">
        <f/>
        <v>8608.6615436660068</v>
      </c>
      <c r="N20">
        <f/>
        <v>6386.7504431093366</v>
      </c>
      <c r="O20">
        <f/>
        <v>9910.2643444385467</v>
      </c>
      <c r="P20">
        <f/>
        <v>4720.3590586519895</v>
      </c>
      <c r="Q20">
        <f/>
        <v>9077.9414744741443</v>
      </c>
      <c r="R20">
        <f/>
        <v>4872.3111541920916</v>
      </c>
      <c r="S20">
        <f/>
        <v>5426.3545024558098</v>
      </c>
    </row>
    <row r="21" spans="1:19" x14ac:dyDescent="0.25">
      <c r="F21" t="str">
        <v>Amazonia</v>
      </c>
      <c r="G21">
        <f/>
        <v>80328.671381449705</v>
      </c>
      <c r="H21">
        <f/>
        <v>7417.0317682773584</v>
      </c>
      <c r="I21">
        <f/>
        <v>2306.4264530335367</v>
      </c>
      <c r="J21">
        <f/>
        <v>4030.6971310272402</v>
      </c>
      <c r="K21">
        <f/>
        <v>9780.0365508725117</v>
      </c>
      <c r="L21">
        <f/>
        <v>6990.4824183023011</v>
      </c>
      <c r="M21">
        <f/>
        <v>7389.009574303198</v>
      </c>
      <c r="N21">
        <f/>
        <v>5844.983321716214</v>
      </c>
      <c r="O21">
        <f/>
        <v>7280.4802452572276</v>
      </c>
      <c r="P21">
        <f/>
        <v>7884.7145225271925</v>
      </c>
      <c r="Q21">
        <f/>
        <v>8040.6455639435771</v>
      </c>
      <c r="R21">
        <f/>
        <v>5945.7380098719768</v>
      </c>
      <c r="S21">
        <f/>
        <v>7418.4258223173856</v>
      </c>
    </row>
    <row r="22" spans="1:19" x14ac:dyDescent="0.25">
      <c r="F22" s="167" t="s">
        <v>283</v>
      </c>
      <c r="G22" s="167">
        <f>SUM(_xlfn.ANCHORARRAY(H22))</f>
        <v>338167.03534099483</v>
      </c>
      <c r="H22" s="204" cm="1">
        <f t="array" ref="H22:S22">nabla.e.SumColsλ(_xlfn.ANCHORARRAY(H17))</f>
        <v>27520.116217715105</v>
      </c>
      <c r="I22" s="167">
        <f/>
        <v>25061.616532159031</v>
      </c>
      <c r="J22" s="167">
        <f/>
        <v>25771.125327417052</v>
      </c>
      <c r="K22" s="167">
        <f/>
        <v>38577.864922509296</v>
      </c>
      <c r="L22" s="167">
        <f/>
        <v>25494.439325317922</v>
      </c>
      <c r="M22" s="167">
        <f/>
        <v>31596.146006645584</v>
      </c>
      <c r="N22" s="167">
        <f/>
        <v>19344.602464047501</v>
      </c>
      <c r="O22" s="167">
        <f/>
        <v>31544.511484265058</v>
      </c>
      <c r="P22" s="167">
        <f/>
        <v>29061.991126504028</v>
      </c>
      <c r="Q22" s="167">
        <f/>
        <v>34844.606259741857</v>
      </c>
      <c r="R22" s="167">
        <f/>
        <v>20411.705282580609</v>
      </c>
      <c r="S22" s="167">
        <f/>
        <v>28938.310392091738</v>
      </c>
    </row>
    <row r="42" spans="14:14" x14ac:dyDescent="0.25">
      <c r="N42" s="159"/>
    </row>
  </sheetData>
  <mergeCells count="3">
    <mergeCell ref="A1:P1"/>
    <mergeCell ref="A14:C14"/>
    <mergeCell ref="A2:R2"/>
  </mergeCells>
  <hyperlinks>
    <hyperlink ref="A1" location="'TOC'!$A$1" display="'TOC'!$A$1" xr:uid="{775083F9-1866-4C3F-B4C6-E07B2BBE8F4B}"/>
  </hyperlinks>
  <pageMargins left="0.7" right="0.7" top="0.75" bottom="0.75" header="0.3" footer="0.3"/>
  <customProperties>
    <customPr name="Description" r:id="rId1"/>
  </customPropertie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2445-5A34-4EFA-9DCB-EB7B32DC8D18}">
  <sheetPr codeName="Sheet23">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nabla.e.AvgRowsλ</v>
      </c>
      <c r="B1" s="270"/>
      <c r="C1" s="270"/>
      <c r="D1" s="270"/>
      <c r="E1" s="270"/>
      <c r="F1" s="270"/>
      <c r="G1" s="270"/>
      <c r="H1" s="270"/>
      <c r="I1" s="270"/>
      <c r="J1" s="270"/>
      <c r="K1" s="270"/>
    </row>
    <row r="2" spans="1:18" x14ac:dyDescent="0.25">
      <c r="A2" s="273" t="s">
        <v>384</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nabla.e.AvgRowsλ()</f>
        <v>FUNCTION:</v>
      </c>
      <c r="B4" t="str">
        <v>AvgRowsλ( Array)</v>
      </c>
    </row>
    <row r="5" spans="1:18" x14ac:dyDescent="0.25">
      <c r="A5" t="str">
        <v>DESCRIPTION:</v>
      </c>
      <c r="B5" t="str">
        <v>Get the average of each row</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values to be averaged by row.</v>
      </c>
    </row>
    <row r="10" spans="1:18" x14ac:dyDescent="0.25">
      <c r="A10" t="str">
        <v>EXAMPLES:</v>
      </c>
      <c r="B10" t="str">
        <v>Formula (nabla.e is assumed to be the module's name)</v>
      </c>
    </row>
    <row r="11" spans="1:18" x14ac:dyDescent="0.25">
      <c r="A11" t="str">
        <v/>
      </c>
      <c r="B11" t="str">
        <v>=nabla.e.AvgRowsλ( SEQUENCE(5,5))</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236" cm="1">
        <f t="array" ref="F17:F21">nabla.e.AvgRowsλ(_xlfn.ANCHORARRAY(G17))</f>
        <v>5317.0694354970619</v>
      </c>
      <c r="G17" s="235" cm="1">
        <f t="array" ref="G17:R21">_xlfn.RANDARRAY( COUNTA(_xlfn.ANCHORARRAY( E17)), COUNTA(_xlfn.ANCHORARRAY( G16)), 1000, 10000)</f>
        <v>4610.0341445928025</v>
      </c>
      <c r="H17">
        <f/>
        <v>6994.0074743131281</v>
      </c>
      <c r="I17">
        <f/>
        <v>1794.5770659256996</v>
      </c>
      <c r="J17">
        <f/>
        <v>5361.9795018419827</v>
      </c>
      <c r="K17">
        <f/>
        <v>3384.0226485751609</v>
      </c>
      <c r="L17">
        <f/>
        <v>5700.6690820789718</v>
      </c>
      <c r="M17">
        <f/>
        <v>4995.4886815660684</v>
      </c>
      <c r="N17">
        <f/>
        <v>7452.0984920195842</v>
      </c>
      <c r="O17">
        <f/>
        <v>5375.6087074471707</v>
      </c>
      <c r="P17">
        <f/>
        <v>1694.8455330568722</v>
      </c>
      <c r="Q17">
        <f/>
        <v>6459.7907446472527</v>
      </c>
      <c r="R17">
        <f/>
        <v>9981.7111499000439</v>
      </c>
    </row>
    <row r="18" spans="1:18" x14ac:dyDescent="0.25">
      <c r="A18" t="s">
        <v>141</v>
      </c>
      <c r="B18">
        <v>12</v>
      </c>
      <c r="C18" t="s">
        <v>146</v>
      </c>
      <c r="E18" s="121" t="str">
        <v>Wool*Art</v>
      </c>
      <c r="F18" s="174">
        <f/>
        <v>5128.1349627996633</v>
      </c>
      <c r="G18" s="174">
        <f/>
        <v>4288.8368192564849</v>
      </c>
      <c r="H18">
        <f/>
        <v>6821.357323423028</v>
      </c>
      <c r="I18">
        <f/>
        <v>5272.7555308938972</v>
      </c>
      <c r="J18">
        <f/>
        <v>7210.7946691718626</v>
      </c>
      <c r="K18">
        <f/>
        <v>5416.5627620589785</v>
      </c>
      <c r="L18">
        <f/>
        <v>6821.1863872789818</v>
      </c>
      <c r="M18">
        <f/>
        <v>3297.5655125653921</v>
      </c>
      <c r="N18">
        <f/>
        <v>5756.0848822297467</v>
      </c>
      <c r="O18">
        <f/>
        <v>6058.9112869940054</v>
      </c>
      <c r="P18">
        <f/>
        <v>3629.4568583206492</v>
      </c>
      <c r="Q18">
        <f/>
        <v>4177.0960285195633</v>
      </c>
      <c r="R18">
        <f/>
        <v>2787.0114928833627</v>
      </c>
    </row>
    <row r="19" spans="1:18" x14ac:dyDescent="0.25">
      <c r="A19" t="s">
        <v>142</v>
      </c>
      <c r="B19" t="s">
        <v>24</v>
      </c>
      <c r="E19" s="121" t="str">
        <v>Town Hall</v>
      </c>
      <c r="F19" s="174">
        <f/>
        <v>5873.5252015078831</v>
      </c>
      <c r="G19" s="174">
        <f/>
        <v>4475.7853815471335</v>
      </c>
      <c r="H19">
        <f/>
        <v>6078.1869472566741</v>
      </c>
      <c r="I19">
        <f/>
        <v>8715.1377446674487</v>
      </c>
      <c r="J19">
        <f/>
        <v>6679.3028773176484</v>
      </c>
      <c r="K19">
        <f/>
        <v>1545.3122750198399</v>
      </c>
      <c r="L19">
        <f/>
        <v>9885.9971661953496</v>
      </c>
      <c r="M19">
        <f/>
        <v>9632.8676625492444</v>
      </c>
      <c r="N19">
        <f/>
        <v>1142.6359361725808</v>
      </c>
      <c r="O19">
        <f/>
        <v>4923.1895535536423</v>
      </c>
      <c r="P19">
        <f/>
        <v>7094.4505294560367</v>
      </c>
      <c r="Q19">
        <f/>
        <v>6041.8167540017675</v>
      </c>
      <c r="R19">
        <f/>
        <v>4267.6195903572061</v>
      </c>
    </row>
    <row r="20" spans="1:18" x14ac:dyDescent="0.25">
      <c r="E20" s="121" t="str">
        <v>Jacqie Penee</v>
      </c>
      <c r="F20" s="174">
        <f/>
        <v>4590.7347776639235</v>
      </c>
      <c r="G20">
        <f/>
        <v>8146.0847094268847</v>
      </c>
      <c r="H20">
        <f/>
        <v>8966.3579775846611</v>
      </c>
      <c r="I20">
        <f/>
        <v>5543.592994716606</v>
      </c>
      <c r="J20">
        <f/>
        <v>4276.3183806907273</v>
      </c>
      <c r="K20">
        <f/>
        <v>1481.0496008512146</v>
      </c>
      <c r="L20">
        <f/>
        <v>5667.6704859646852</v>
      </c>
      <c r="M20">
        <f/>
        <v>1570.172870276343</v>
      </c>
      <c r="N20">
        <f/>
        <v>1200.7673871846509</v>
      </c>
      <c r="O20">
        <f/>
        <v>5275.2770679907189</v>
      </c>
      <c r="P20">
        <f/>
        <v>1527.681535457572</v>
      </c>
      <c r="Q20">
        <f/>
        <v>7961.6663253298066</v>
      </c>
      <c r="R20">
        <f/>
        <v>3472.1779964932139</v>
      </c>
    </row>
    <row r="21" spans="1:18" x14ac:dyDescent="0.25">
      <c r="E21" s="121" t="str">
        <v>Amazonia</v>
      </c>
      <c r="F21" s="174">
        <f/>
        <v>6473.0814491959572</v>
      </c>
      <c r="G21">
        <f/>
        <v>7481.4332569323469</v>
      </c>
      <c r="H21">
        <f/>
        <v>9524.4738115030577</v>
      </c>
      <c r="I21">
        <f/>
        <v>3086.6187894590803</v>
      </c>
      <c r="J21">
        <f/>
        <v>4722.8913470982061</v>
      </c>
      <c r="K21">
        <f/>
        <v>8575.8710564514258</v>
      </c>
      <c r="L21">
        <f/>
        <v>6592.3498129916006</v>
      </c>
      <c r="M21">
        <f/>
        <v>8785.0997014474815</v>
      </c>
      <c r="N21">
        <f/>
        <v>5552.2059197669914</v>
      </c>
      <c r="O21">
        <f/>
        <v>7174.1053330328814</v>
      </c>
      <c r="P21">
        <f/>
        <v>3719.102064852299</v>
      </c>
      <c r="Q21">
        <f/>
        <v>5983.4378340372805</v>
      </c>
      <c r="R21">
        <f/>
        <v>6479.388462778832</v>
      </c>
    </row>
    <row r="22" spans="1:18" ht="15.75" thickBot="1" x14ac:dyDescent="0.3">
      <c r="E22" s="203" t="s">
        <v>63</v>
      </c>
      <c r="F22" s="171">
        <f>SUM(_xlfn.ANCHORARRAY(G22))</f>
        <v>328590.54991997383</v>
      </c>
      <c r="G22" s="171" cm="1">
        <f t="array" ref="G22:R22">nabla.e.SumColsλ(_xlfn.ANCHORARRAY(G17))</f>
        <v>29002.174311755654</v>
      </c>
      <c r="H22" s="171">
        <f/>
        <v>38384.383534080545</v>
      </c>
      <c r="I22" s="171">
        <f/>
        <v>24412.682125662734</v>
      </c>
      <c r="J22" s="171">
        <f/>
        <v>28251.286776120425</v>
      </c>
      <c r="K22" s="171">
        <f/>
        <v>20402.81834295662</v>
      </c>
      <c r="L22" s="171">
        <f/>
        <v>34667.872934509593</v>
      </c>
      <c r="M22" s="171">
        <f/>
        <v>28281.194428404528</v>
      </c>
      <c r="N22" s="171">
        <f/>
        <v>21103.792617373554</v>
      </c>
      <c r="O22" s="171">
        <f/>
        <v>28807.091949018417</v>
      </c>
      <c r="P22" s="171">
        <f/>
        <v>17665.536521143429</v>
      </c>
      <c r="Q22" s="171">
        <f/>
        <v>30623.807686535671</v>
      </c>
      <c r="R22" s="171">
        <f/>
        <v>26987.908692412657</v>
      </c>
    </row>
    <row r="23" spans="1:18" ht="15.75" thickTop="1" x14ac:dyDescent="0.25"/>
  </sheetData>
  <mergeCells count="3">
    <mergeCell ref="A1:K1"/>
    <mergeCell ref="A14:C14"/>
    <mergeCell ref="A2:Q2"/>
  </mergeCells>
  <hyperlinks>
    <hyperlink ref="A1" location="'TOC'!$A$1" display="'TOC'!$A$1" xr:uid="{7EC2FDFB-D606-49BB-B861-1E86349E7EAB}"/>
  </hyperlinks>
  <pageMargins left="0.7" right="0.7" top="0.75" bottom="0.75" header="0.3" footer="0.3"/>
  <customProperties>
    <customPr name="Description" r:id="rId1"/>
  </customPropertie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002B7-F1CF-42E8-B241-DD6FF54CB586}">
  <sheetPr codeName="Sheet24">
    <tabColor rgb="FF2E75B6"/>
  </sheetPr>
  <dimension ref="A1:S42"/>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9" ht="45.75" x14ac:dyDescent="0.65">
      <c r="A1" s="270" t="str">
        <f>_xlfn.TEXTAFTER(CELL("filename",A1),"]")</f>
        <v>nabla.e.AvgColsλ</v>
      </c>
      <c r="B1" s="270"/>
      <c r="C1" s="270"/>
      <c r="D1" s="270"/>
      <c r="E1" s="270"/>
      <c r="F1" s="270"/>
      <c r="G1" s="270"/>
      <c r="H1" s="270"/>
      <c r="I1" s="270"/>
      <c r="J1" s="270"/>
      <c r="K1" s="270"/>
      <c r="L1" s="270"/>
      <c r="M1" s="270"/>
      <c r="N1" s="270"/>
      <c r="O1" s="270"/>
      <c r="P1" s="270"/>
    </row>
    <row r="2" spans="1:19" x14ac:dyDescent="0.25">
      <c r="A2" s="273" t="s">
        <v>383</v>
      </c>
      <c r="B2" s="274"/>
      <c r="C2" s="274"/>
      <c r="D2" s="274"/>
      <c r="E2" s="274"/>
      <c r="F2" s="274"/>
      <c r="G2" s="274"/>
      <c r="H2" s="274"/>
      <c r="I2" s="274"/>
      <c r="J2" s="274"/>
      <c r="K2" s="274"/>
      <c r="L2" s="274"/>
      <c r="M2" s="274"/>
      <c r="N2" s="274"/>
      <c r="O2" s="274"/>
      <c r="P2" s="274"/>
      <c r="Q2" s="274"/>
      <c r="R2" s="274"/>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nabla.e.AvgColsλ()</f>
        <v>FUNCTION:</v>
      </c>
      <c r="B4" t="str">
        <v>SumColsλ( Array)</v>
      </c>
    </row>
    <row r="5" spans="1:19" x14ac:dyDescent="0.25">
      <c r="A5" t="str">
        <v>DESCRIPTION:</v>
      </c>
      <c r="B5" t="str">
        <v>Get the average for each Column</v>
      </c>
    </row>
    <row r="6" spans="1:19" x14ac:dyDescent="0.25">
      <c r="A6" t="str">
        <v>WEBPAGE:</v>
      </c>
      <c r="B6" t="str">
        <v>https://github.com/ryanduguid/Nabla</v>
      </c>
    </row>
    <row r="7" spans="1:19" x14ac:dyDescent="0.25">
      <c r="A7" t="str">
        <v>VERSION:</v>
      </c>
      <c r="B7" t="str">
        <v>18 Aug 2026</v>
      </c>
    </row>
    <row r="8" spans="1:19" x14ac:dyDescent="0.25">
      <c r="A8" t="str">
        <v>PARAMETERS:</v>
      </c>
      <c r="B8" t="str">
        <v/>
      </c>
    </row>
    <row r="9" spans="1:19" x14ac:dyDescent="0.25">
      <c r="A9" t="str">
        <v>Array</v>
      </c>
      <c r="B9" t="str">
        <v>(Required) A two dimensional array/range containing values to be averaged by column.</v>
      </c>
    </row>
    <row r="10" spans="1:19" x14ac:dyDescent="0.25">
      <c r="A10" t="str">
        <v>EXAMPLES:</v>
      </c>
      <c r="B10" t="str">
        <v>Formula (nabla.e is assumed to be the module's name)</v>
      </c>
    </row>
    <row r="11" spans="1:19" x14ac:dyDescent="0.25">
      <c r="A11" t="str">
        <v/>
      </c>
      <c r="B11" t="str">
        <v>=nabla.e.AvgColsλ( SEQUENCE(5,5))</v>
      </c>
    </row>
    <row r="14" spans="1:19" ht="20.25" x14ac:dyDescent="0.3">
      <c r="A14" s="302" t="s">
        <v>272</v>
      </c>
      <c r="B14" s="302"/>
      <c r="C14" s="302"/>
    </row>
    <row r="16" spans="1:19" x14ac:dyDescent="0.25">
      <c r="A16" s="161" t="s">
        <v>273</v>
      </c>
      <c r="B16" s="161" t="s">
        <v>138</v>
      </c>
      <c r="C16" s="161" t="s">
        <v>139</v>
      </c>
      <c r="F16" s="161" t="s">
        <v>264</v>
      </c>
      <c r="G16" s="155" t="s">
        <v>276</v>
      </c>
      <c r="H16" s="156" cm="1">
        <f t="array" ref="H16:S16">nabla.d.Timelineλ($B$17, $B$18, $B$19)</f>
        <v>45292</v>
      </c>
      <c r="I16" s="1">
        <v>46054</v>
      </c>
      <c r="J16" s="1">
        <v>46082</v>
      </c>
      <c r="K16" s="1">
        <v>46113</v>
      </c>
      <c r="L16" s="1">
        <v>46143</v>
      </c>
      <c r="M16" s="1">
        <v>46174</v>
      </c>
      <c r="N16" s="1">
        <v>46204</v>
      </c>
      <c r="O16" s="1">
        <v>46235</v>
      </c>
      <c r="P16" s="1">
        <v>46266</v>
      </c>
      <c r="Q16" s="1">
        <v>46296</v>
      </c>
      <c r="R16" s="1">
        <v>46327</v>
      </c>
      <c r="S16" s="1">
        <v>46357</v>
      </c>
    </row>
    <row r="17" spans="1:19" x14ac:dyDescent="0.25">
      <c r="A17" t="s">
        <v>236</v>
      </c>
      <c r="B17" s="141">
        <v>46023</v>
      </c>
      <c r="C17" t="s">
        <v>145</v>
      </c>
      <c r="F17" t="str" cm="1">
        <f t="array" ref="F17:F21">tblCT[Customer]</f>
        <v>ACME</v>
      </c>
      <c r="G17" cm="1">
        <f t="array" ref="G17:G21">nabla.e.SumRowsλ(_xlfn.ANCHORARRAY(H17))</f>
        <v>65523.062848063681</v>
      </c>
      <c r="H17" s="192" cm="1">
        <f t="array" ref="H17:S21">_xlfn.RANDARRAY(COUNTA(_xlfn.ANCHORARRAY(F17)), COUNTA(_xlfn.ANCHORARRAY(H16)), 100, 10000)</f>
        <v>8877.707386065782</v>
      </c>
      <c r="I17">
        <f/>
        <v>5848.01500121348</v>
      </c>
      <c r="J17">
        <f/>
        <v>7009.8923744683434</v>
      </c>
      <c r="K17">
        <f/>
        <v>2363.0147109371228</v>
      </c>
      <c r="L17">
        <f/>
        <v>9033.0272156849242</v>
      </c>
      <c r="M17">
        <f/>
        <v>5409.3427084638279</v>
      </c>
      <c r="N17">
        <f/>
        <v>4382.9810780797015</v>
      </c>
      <c r="O17">
        <f/>
        <v>9591.5389882953932</v>
      </c>
      <c r="P17">
        <f/>
        <v>199.953889286513</v>
      </c>
      <c r="Q17">
        <f/>
        <v>1070.0567330283666</v>
      </c>
      <c r="R17">
        <f/>
        <v>2769.2282195702501</v>
      </c>
      <c r="S17">
        <f/>
        <v>8968.304542969996</v>
      </c>
    </row>
    <row r="18" spans="1:19" x14ac:dyDescent="0.25">
      <c r="A18" t="s">
        <v>141</v>
      </c>
      <c r="B18">
        <v>12</v>
      </c>
      <c r="C18" t="s">
        <v>146</v>
      </c>
      <c r="F18" t="str">
        <v>Wool*Art</v>
      </c>
      <c r="G18">
        <f/>
        <v>62011.984340121337</v>
      </c>
      <c r="H18">
        <f/>
        <v>4857.2050884969885</v>
      </c>
      <c r="I18">
        <f/>
        <v>9849.0603773283365</v>
      </c>
      <c r="J18">
        <f/>
        <v>8427.8693560557749</v>
      </c>
      <c r="K18">
        <f/>
        <v>8973.555824969384</v>
      </c>
      <c r="L18">
        <f/>
        <v>8422.24146786854</v>
      </c>
      <c r="M18">
        <f/>
        <v>7283.3770706303294</v>
      </c>
      <c r="N18">
        <f/>
        <v>1843.9192710079042</v>
      </c>
      <c r="O18">
        <f/>
        <v>8768.8085430402225</v>
      </c>
      <c r="P18">
        <f/>
        <v>1779.9172294325872</v>
      </c>
      <c r="Q18">
        <f/>
        <v>331.96617179166424</v>
      </c>
      <c r="R18">
        <f/>
        <v>768.34324658467813</v>
      </c>
      <c r="S18">
        <f/>
        <v>705.72069291492517</v>
      </c>
    </row>
    <row r="19" spans="1:19" x14ac:dyDescent="0.25">
      <c r="A19" t="s">
        <v>142</v>
      </c>
      <c r="B19" t="s">
        <v>144</v>
      </c>
      <c r="F19" t="str">
        <v>Town Hall</v>
      </c>
      <c r="G19">
        <f/>
        <v>58603.87506669874</v>
      </c>
      <c r="H19">
        <f/>
        <v>6472.8729776914315</v>
      </c>
      <c r="I19">
        <f/>
        <v>5671.2086450484312</v>
      </c>
      <c r="J19">
        <f/>
        <v>1551.1820467678099</v>
      </c>
      <c r="K19">
        <f/>
        <v>6616.9109024250702</v>
      </c>
      <c r="L19">
        <f/>
        <v>9881.0468351223062</v>
      </c>
      <c r="M19">
        <f/>
        <v>6876.152746444528</v>
      </c>
      <c r="N19">
        <f/>
        <v>4832.2500041573494</v>
      </c>
      <c r="O19">
        <f/>
        <v>5783.8563084001071</v>
      </c>
      <c r="P19">
        <f/>
        <v>4294.962667148593</v>
      </c>
      <c r="Q19">
        <f/>
        <v>2678.5646596905099</v>
      </c>
      <c r="R19">
        <f/>
        <v>2055.7968242412044</v>
      </c>
      <c r="S19">
        <f/>
        <v>1889.0704495613954</v>
      </c>
    </row>
    <row r="20" spans="1:19" x14ac:dyDescent="0.25">
      <c r="F20" t="str">
        <v>Jacqie Penee</v>
      </c>
      <c r="G20">
        <f/>
        <v>58618.312610622597</v>
      </c>
      <c r="H20">
        <f/>
        <v>686.62207554787346</v>
      </c>
      <c r="I20">
        <f/>
        <v>393.10396696106909</v>
      </c>
      <c r="J20">
        <f/>
        <v>8865.9659180578983</v>
      </c>
      <c r="K20">
        <f/>
        <v>1113.2813545457975</v>
      </c>
      <c r="L20">
        <f/>
        <v>5794.4887434502307</v>
      </c>
      <c r="M20">
        <f/>
        <v>6941.2708690822365</v>
      </c>
      <c r="N20">
        <f/>
        <v>7823.9184186346611</v>
      </c>
      <c r="O20">
        <f/>
        <v>4475.6264659335229</v>
      </c>
      <c r="P20">
        <f/>
        <v>6376.0731407060448</v>
      </c>
      <c r="Q20">
        <f/>
        <v>4707.1519127799529</v>
      </c>
      <c r="R20">
        <f/>
        <v>6893.034553365278</v>
      </c>
      <c r="S20">
        <f/>
        <v>4547.7751915580302</v>
      </c>
    </row>
    <row r="21" spans="1:19" x14ac:dyDescent="0.25">
      <c r="F21" t="str">
        <v>Amazonia</v>
      </c>
      <c r="G21">
        <f/>
        <v>67578.493413903168</v>
      </c>
      <c r="H21">
        <f/>
        <v>9960.6613612300389</v>
      </c>
      <c r="I21">
        <f/>
        <v>4165.224522505785</v>
      </c>
      <c r="J21">
        <f/>
        <v>9590.7637615684744</v>
      </c>
      <c r="K21">
        <f/>
        <v>2925.9051828185675</v>
      </c>
      <c r="L21">
        <f/>
        <v>943.07596328275758</v>
      </c>
      <c r="M21">
        <f/>
        <v>1336.5874433871195</v>
      </c>
      <c r="N21">
        <f/>
        <v>9832.1544649109692</v>
      </c>
      <c r="O21">
        <f/>
        <v>9735.6383084413392</v>
      </c>
      <c r="P21">
        <f/>
        <v>5369.4400863950705</v>
      </c>
      <c r="Q21">
        <f/>
        <v>5378.8656615932014</v>
      </c>
      <c r="R21">
        <f/>
        <v>2922.1341186483878</v>
      </c>
      <c r="S21">
        <f/>
        <v>5418.0425391214467</v>
      </c>
    </row>
    <row r="22" spans="1:19" x14ac:dyDescent="0.25">
      <c r="F22" s="167" t="s">
        <v>283</v>
      </c>
      <c r="G22" s="167">
        <f>SUM(_xlfn.ANCHORARRAY(H22))</f>
        <v>62467.145655881905</v>
      </c>
      <c r="H22" s="204" cm="1">
        <f t="array" ref="H22:S22">nabla.e.AvgColsλ(_xlfn.ANCHORARRAY(H17))</f>
        <v>6171.0137778064227</v>
      </c>
      <c r="I22" s="167">
        <f/>
        <v>5185.3225026114205</v>
      </c>
      <c r="J22" s="167">
        <f/>
        <v>7089.1346913836587</v>
      </c>
      <c r="K22" s="167">
        <f/>
        <v>4398.533595139188</v>
      </c>
      <c r="L22" s="167">
        <f/>
        <v>6814.7760450817495</v>
      </c>
      <c r="M22" s="167">
        <f/>
        <v>5569.3461676016086</v>
      </c>
      <c r="N22" s="167">
        <f/>
        <v>5743.0446473581178</v>
      </c>
      <c r="O22" s="167">
        <f/>
        <v>7671.0937228221173</v>
      </c>
      <c r="P22" s="167">
        <f/>
        <v>3604.0694025937614</v>
      </c>
      <c r="Q22" s="167">
        <f/>
        <v>2833.3210277767389</v>
      </c>
      <c r="R22" s="167">
        <f/>
        <v>3081.7073924819597</v>
      </c>
      <c r="S22" s="167">
        <f/>
        <v>4305.7826832251585</v>
      </c>
    </row>
    <row r="42" spans="14:14" x14ac:dyDescent="0.25">
      <c r="N42" s="159"/>
    </row>
  </sheetData>
  <mergeCells count="3">
    <mergeCell ref="A1:P1"/>
    <mergeCell ref="A14:C14"/>
    <mergeCell ref="A2:R2"/>
  </mergeCells>
  <hyperlinks>
    <hyperlink ref="A1" location="'TOC'!$A$1" display="'TOC'!$A$1" xr:uid="{EB8AA815-4618-410B-9B7C-0CFFCFC28A4A}"/>
  </hyperlinks>
  <pageMargins left="0.7" right="0.7" top="0.75" bottom="0.75" header="0.3" footer="0.3"/>
  <customProperties>
    <customPr name="Description" r:id="rId1"/>
  </customPropertie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2BDE-65D1-404B-AB31-43D57F2EE4A8}">
  <sheetPr codeName="Sheet25">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nabla.e.MinRowsλ</v>
      </c>
      <c r="B1" s="270"/>
      <c r="C1" s="270"/>
      <c r="D1" s="270"/>
      <c r="E1" s="270"/>
      <c r="F1" s="270"/>
      <c r="G1" s="270"/>
      <c r="H1" s="270"/>
      <c r="I1" s="270"/>
      <c r="J1" s="270"/>
      <c r="K1" s="270"/>
    </row>
    <row r="2" spans="1:18" x14ac:dyDescent="0.25">
      <c r="A2" s="273" t="s">
        <v>386</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nabla.e.MinRowsλ()</f>
        <v>FUNCTION:</v>
      </c>
      <c r="B4" t="str">
        <v>MinRowsλ( Array)</v>
      </c>
    </row>
    <row r="5" spans="1:18" x14ac:dyDescent="0.25">
      <c r="A5" t="str">
        <v>DESCRIPTION:</v>
      </c>
      <c r="B5" t="str">
        <v>Get the minimum of each row</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values to find the minimum by row.</v>
      </c>
    </row>
    <row r="10" spans="1:18" x14ac:dyDescent="0.25">
      <c r="A10" t="str">
        <v>EXAMPLES:</v>
      </c>
      <c r="B10" t="str">
        <v>Formula (nabla.e is assumed to be the module's name)</v>
      </c>
    </row>
    <row r="11" spans="1:18" x14ac:dyDescent="0.25">
      <c r="A11" t="str">
        <v/>
      </c>
      <c r="B11" t="str">
        <v>=nabla.e.MinRowsλ( SEQUENCE(5,5))</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236" cm="1">
        <f t="array" ref="F17:F21">nabla.e.MinRowsλ(_xlfn.ANCHORARRAY(G17))</f>
        <v>1089.8429780705537</v>
      </c>
      <c r="G17" s="235" cm="1">
        <f t="array" ref="G17:R21">_xlfn.RANDARRAY(COUNTA(_xlfn.ANCHORARRAY(E17)),COUNTA(_xlfn.ANCHORARRAY(G16)),100,10000)</f>
        <v>7175.1103393423346</v>
      </c>
      <c r="H17">
        <f/>
        <v>9200.6334875714183</v>
      </c>
      <c r="I17">
        <f/>
        <v>1089.8429780705537</v>
      </c>
      <c r="J17">
        <f/>
        <v>9538.7264992937289</v>
      </c>
      <c r="K17">
        <f/>
        <v>9077.8062714049629</v>
      </c>
      <c r="L17">
        <f/>
        <v>4702.6282500558664</v>
      </c>
      <c r="M17">
        <f/>
        <v>1186.3622492447776</v>
      </c>
      <c r="N17">
        <f/>
        <v>6519.9696630430517</v>
      </c>
      <c r="O17">
        <f/>
        <v>8783.3493267083886</v>
      </c>
      <c r="P17">
        <f/>
        <v>1573.6081421260478</v>
      </c>
      <c r="Q17">
        <f/>
        <v>4605.4536376904489</v>
      </c>
      <c r="R17">
        <f/>
        <v>1473.1176545879734</v>
      </c>
    </row>
    <row r="18" spans="1:18" x14ac:dyDescent="0.25">
      <c r="A18" t="s">
        <v>141</v>
      </c>
      <c r="B18">
        <v>12</v>
      </c>
      <c r="C18" t="s">
        <v>146</v>
      </c>
      <c r="E18" s="121" t="str">
        <v>Wool*Art</v>
      </c>
      <c r="F18" s="174">
        <f/>
        <v>809.48715643598007</v>
      </c>
      <c r="G18" s="174">
        <f/>
        <v>3229.1501451317454</v>
      </c>
      <c r="H18">
        <f/>
        <v>1912.8558325847916</v>
      </c>
      <c r="I18">
        <f/>
        <v>9102.8990955414447</v>
      </c>
      <c r="J18">
        <f/>
        <v>1060.8462218416917</v>
      </c>
      <c r="K18">
        <f/>
        <v>3781.123645127358</v>
      </c>
      <c r="L18">
        <f/>
        <v>5683.9694575509293</v>
      </c>
      <c r="M18">
        <f/>
        <v>5419.5178987111631</v>
      </c>
      <c r="N18">
        <f/>
        <v>9510.1603282207361</v>
      </c>
      <c r="O18">
        <f/>
        <v>9243.4193718649003</v>
      </c>
      <c r="P18">
        <f/>
        <v>5188.4232430746815</v>
      </c>
      <c r="Q18">
        <f/>
        <v>1471.473536689804</v>
      </c>
      <c r="R18">
        <f/>
        <v>809.48715643598007</v>
      </c>
    </row>
    <row r="19" spans="1:18" x14ac:dyDescent="0.25">
      <c r="A19" t="s">
        <v>142</v>
      </c>
      <c r="B19" t="s">
        <v>24</v>
      </c>
      <c r="E19" s="121" t="str">
        <v>Town Hall</v>
      </c>
      <c r="F19" s="174">
        <f/>
        <v>215.15587905857319</v>
      </c>
      <c r="G19" s="174">
        <f/>
        <v>6039.6383196754978</v>
      </c>
      <c r="H19">
        <f/>
        <v>2455.3740390047733</v>
      </c>
      <c r="I19">
        <f/>
        <v>2531.8180590257252</v>
      </c>
      <c r="J19">
        <f/>
        <v>215.15587905857319</v>
      </c>
      <c r="K19">
        <f/>
        <v>9456.7777110983843</v>
      </c>
      <c r="L19">
        <f/>
        <v>5112.4796497007756</v>
      </c>
      <c r="M19">
        <f/>
        <v>6901.212091206502</v>
      </c>
      <c r="N19">
        <f/>
        <v>521.10532579817664</v>
      </c>
      <c r="O19">
        <f/>
        <v>4872.2522147307209</v>
      </c>
      <c r="P19">
        <f/>
        <v>8434.3095224043955</v>
      </c>
      <c r="Q19">
        <f/>
        <v>2179.7946798013018</v>
      </c>
      <c r="R19">
        <f/>
        <v>2160.8014757720903</v>
      </c>
    </row>
    <row r="20" spans="1:18" x14ac:dyDescent="0.25">
      <c r="E20" s="121" t="str">
        <v>Jacqie Penee</v>
      </c>
      <c r="F20" s="174">
        <f/>
        <v>1472.1439435436841</v>
      </c>
      <c r="G20">
        <f/>
        <v>1472.1439435436841</v>
      </c>
      <c r="H20">
        <f/>
        <v>7588.5541459525684</v>
      </c>
      <c r="I20">
        <f/>
        <v>2853.3443264725011</v>
      </c>
      <c r="J20">
        <f/>
        <v>3514.8509469349792</v>
      </c>
      <c r="K20">
        <f/>
        <v>7926.3988380443625</v>
      </c>
      <c r="L20">
        <f/>
        <v>8320.5418178316195</v>
      </c>
      <c r="M20">
        <f/>
        <v>4023.2600939787226</v>
      </c>
      <c r="N20">
        <f/>
        <v>6216.295765897401</v>
      </c>
      <c r="O20">
        <f/>
        <v>8834.3968085039178</v>
      </c>
      <c r="P20">
        <f/>
        <v>6383.908369696288</v>
      </c>
      <c r="Q20">
        <f/>
        <v>2335.3496083653408</v>
      </c>
      <c r="R20">
        <f/>
        <v>9652.6749845450668</v>
      </c>
    </row>
    <row r="21" spans="1:18" x14ac:dyDescent="0.25">
      <c r="E21" s="121" t="str">
        <v>Amazonia</v>
      </c>
      <c r="F21" s="174">
        <f/>
        <v>301.64979089591907</v>
      </c>
      <c r="G21">
        <f/>
        <v>9467.0949419288681</v>
      </c>
      <c r="H21">
        <f/>
        <v>301.64979089591907</v>
      </c>
      <c r="I21">
        <f/>
        <v>4720.9937091546926</v>
      </c>
      <c r="J21">
        <f/>
        <v>2236.4015730877709</v>
      </c>
      <c r="K21">
        <f/>
        <v>8962.667730059251</v>
      </c>
      <c r="L21">
        <f/>
        <v>5591.995663306956</v>
      </c>
      <c r="M21">
        <f/>
        <v>8265.1892260050681</v>
      </c>
      <c r="N21">
        <f/>
        <v>409.87653810499796</v>
      </c>
      <c r="O21">
        <f/>
        <v>2538.8969018471489</v>
      </c>
      <c r="P21">
        <f/>
        <v>2459.1549743590003</v>
      </c>
      <c r="Q21">
        <f/>
        <v>3650.0277695163313</v>
      </c>
      <c r="R21">
        <f/>
        <v>1774.3442996890226</v>
      </c>
    </row>
    <row r="22" spans="1:18" ht="15.75" thickBot="1" x14ac:dyDescent="0.3">
      <c r="E22" s="203" t="s">
        <v>63</v>
      </c>
      <c r="F22" s="171">
        <f>SUM(_xlfn.ANCHORARRAY(G22))</f>
        <v>291720.66616691317</v>
      </c>
      <c r="G22" s="171" cm="1">
        <f t="array" ref="G22:R22">nabla.e.SumColsλ(_xlfn.ANCHORARRAY(G17))</f>
        <v>27383.137689622126</v>
      </c>
      <c r="H22" s="171">
        <f/>
        <v>21459.067296009474</v>
      </c>
      <c r="I22" s="171">
        <f/>
        <v>20298.898168264917</v>
      </c>
      <c r="J22" s="171">
        <f/>
        <v>16565.981120216744</v>
      </c>
      <c r="K22" s="171">
        <f/>
        <v>39204.774195734317</v>
      </c>
      <c r="L22" s="171">
        <f/>
        <v>29411.614838446145</v>
      </c>
      <c r="M22" s="171">
        <f/>
        <v>25795.54155914623</v>
      </c>
      <c r="N22" s="171">
        <f/>
        <v>23177.407621064362</v>
      </c>
      <c r="O22" s="171">
        <f/>
        <v>34272.314623655075</v>
      </c>
      <c r="P22" s="171">
        <f/>
        <v>24039.404251660413</v>
      </c>
      <c r="Q22" s="171">
        <f/>
        <v>14242.099232063227</v>
      </c>
      <c r="R22" s="171">
        <f/>
        <v>15870.425571030133</v>
      </c>
    </row>
    <row r="23" spans="1:18" ht="15.75" thickTop="1" x14ac:dyDescent="0.25"/>
  </sheetData>
  <mergeCells count="3">
    <mergeCell ref="A1:K1"/>
    <mergeCell ref="A14:C14"/>
    <mergeCell ref="A2:Q2"/>
  </mergeCells>
  <hyperlinks>
    <hyperlink ref="A1" location="'TOC'!$A$1" display="'TOC'!$A$1" xr:uid="{12995ECD-B50D-4A84-B688-27BBD06F1A74}"/>
  </hyperlinks>
  <pageMargins left="0.7" right="0.7" top="0.75" bottom="0.75" header="0.3" footer="0.3"/>
  <customProperties>
    <customPr name="Description" r:id="rId1"/>
  </customPropertie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E9667-9C1F-484B-A7DA-708F53747198}">
  <sheetPr codeName="Sheet26">
    <tabColor rgb="FF2E75B6"/>
  </sheetPr>
  <dimension ref="A1:S42"/>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9" ht="45.75" x14ac:dyDescent="0.65">
      <c r="A1" s="270" t="str">
        <f>_xlfn.TEXTAFTER(CELL("filename",A1),"]")</f>
        <v>nabla.e.MinColsλ</v>
      </c>
      <c r="B1" s="270"/>
      <c r="C1" s="270"/>
      <c r="D1" s="270"/>
      <c r="E1" s="270"/>
      <c r="F1" s="270"/>
      <c r="G1" s="270"/>
      <c r="H1" s="270"/>
      <c r="I1" s="270"/>
      <c r="J1" s="270"/>
      <c r="K1" s="270"/>
      <c r="L1" s="270"/>
      <c r="M1" s="270"/>
      <c r="N1" s="270"/>
      <c r="O1" s="270"/>
      <c r="P1" s="270"/>
    </row>
    <row r="2" spans="1:19" x14ac:dyDescent="0.25">
      <c r="A2" s="273" t="s">
        <v>382</v>
      </c>
      <c r="B2" s="274"/>
      <c r="C2" s="274"/>
      <c r="D2" s="274"/>
      <c r="E2" s="274"/>
      <c r="F2" s="274"/>
      <c r="G2" s="274"/>
      <c r="H2" s="274"/>
      <c r="I2" s="274"/>
      <c r="J2" s="274"/>
      <c r="K2" s="274"/>
      <c r="L2" s="274"/>
      <c r="M2" s="274"/>
      <c r="N2" s="274"/>
      <c r="O2" s="274"/>
      <c r="P2" s="274"/>
      <c r="Q2" s="274"/>
      <c r="R2" s="274"/>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nabla.e.MinColsλ()</f>
        <v>FUNCTION:</v>
      </c>
      <c r="B4" t="str">
        <v>MinColsλ( Array)</v>
      </c>
    </row>
    <row r="5" spans="1:19" x14ac:dyDescent="0.25">
      <c r="A5" t="str">
        <v>DESCRIPTION:</v>
      </c>
      <c r="B5" t="str">
        <v>Get the minimum for each Column</v>
      </c>
    </row>
    <row r="6" spans="1:19" x14ac:dyDescent="0.25">
      <c r="A6" t="str">
        <v>WEBPAGE:</v>
      </c>
      <c r="B6" t="str">
        <v>https://github.com/ryanduguid/Nabla</v>
      </c>
    </row>
    <row r="7" spans="1:19" x14ac:dyDescent="0.25">
      <c r="A7" t="str">
        <v>VERSION:</v>
      </c>
      <c r="B7" t="str">
        <v>18 Aug 2026</v>
      </c>
    </row>
    <row r="8" spans="1:19" x14ac:dyDescent="0.25">
      <c r="A8" t="str">
        <v>PARAMETERS:</v>
      </c>
      <c r="B8" t="str">
        <v/>
      </c>
    </row>
    <row r="9" spans="1:19" x14ac:dyDescent="0.25">
      <c r="A9" t="str">
        <v>Array</v>
      </c>
      <c r="B9" t="str">
        <v>(Required) A two dimensional array/range containing values to find the minumum by column.</v>
      </c>
    </row>
    <row r="10" spans="1:19" x14ac:dyDescent="0.25">
      <c r="A10" t="str">
        <v>EXAMPLES:</v>
      </c>
      <c r="B10" t="str">
        <v>Formula (nabla.e is assumed to be the module's name)</v>
      </c>
    </row>
    <row r="11" spans="1:19" x14ac:dyDescent="0.25">
      <c r="A11" t="str">
        <v/>
      </c>
      <c r="B11" t="str">
        <v>=nabla.e.MinColsλ( SEQUENCE(5,5))</v>
      </c>
    </row>
    <row r="14" spans="1:19" ht="20.25" x14ac:dyDescent="0.3">
      <c r="A14" s="302" t="s">
        <v>272</v>
      </c>
      <c r="B14" s="302"/>
      <c r="C14" s="302"/>
    </row>
    <row r="16" spans="1:19" x14ac:dyDescent="0.25">
      <c r="A16" s="161" t="s">
        <v>273</v>
      </c>
      <c r="B16" s="161" t="s">
        <v>138</v>
      </c>
      <c r="C16" s="161" t="s">
        <v>139</v>
      </c>
      <c r="F16" s="161" t="s">
        <v>264</v>
      </c>
      <c r="G16" s="155" t="s">
        <v>276</v>
      </c>
      <c r="H16" s="156" cm="1">
        <f t="array" ref="H16:S16">nabla.d.Timelineλ($B$17, $B$18, $B$19)</f>
        <v>45292</v>
      </c>
      <c r="I16" s="1">
        <v>46054</v>
      </c>
      <c r="J16" s="1">
        <v>46082</v>
      </c>
      <c r="K16" s="1">
        <v>46113</v>
      </c>
      <c r="L16" s="1">
        <v>46143</v>
      </c>
      <c r="M16" s="1">
        <v>46174</v>
      </c>
      <c r="N16" s="1">
        <v>46204</v>
      </c>
      <c r="O16" s="1">
        <v>46235</v>
      </c>
      <c r="P16" s="1">
        <v>46266</v>
      </c>
      <c r="Q16" s="1">
        <v>46296</v>
      </c>
      <c r="R16" s="1">
        <v>46327</v>
      </c>
      <c r="S16" s="1">
        <v>46357</v>
      </c>
    </row>
    <row r="17" spans="1:19" x14ac:dyDescent="0.25">
      <c r="A17" t="s">
        <v>236</v>
      </c>
      <c r="B17" s="141">
        <v>46023</v>
      </c>
      <c r="C17" t="s">
        <v>145</v>
      </c>
      <c r="F17" t="str" cm="1">
        <f t="array" ref="F17:F21">tblCT[Customer]</f>
        <v>ACME</v>
      </c>
      <c r="G17" cm="1">
        <f t="array" ref="G17:G21">nabla.e.SumRowsλ(_xlfn.ANCHORARRAY(H17))</f>
        <v>57868.921032785103</v>
      </c>
      <c r="H17" s="192" cm="1">
        <f t="array" ref="H17:S21">_xlfn.RANDARRAY(COUNTA(_xlfn.ANCHORARRAY(F17)), COUNTA(_xlfn.ANCHORARRAY(H16)), 100, 10000)</f>
        <v>761.09947765227116</v>
      </c>
      <c r="I17">
        <f/>
        <v>5200.0696730219297</v>
      </c>
      <c r="J17">
        <f/>
        <v>4550.6963784819764</v>
      </c>
      <c r="K17">
        <f/>
        <v>3827.4126995541246</v>
      </c>
      <c r="L17">
        <f/>
        <v>1866.8116304412033</v>
      </c>
      <c r="M17">
        <f/>
        <v>2433.126117002761</v>
      </c>
      <c r="N17">
        <f/>
        <v>5027.1669266396493</v>
      </c>
      <c r="O17">
        <f/>
        <v>7862.4686056424489</v>
      </c>
      <c r="P17">
        <f/>
        <v>7013.2139484406725</v>
      </c>
      <c r="Q17">
        <f/>
        <v>2452.9720068569004</v>
      </c>
      <c r="R17">
        <f/>
        <v>8325.225789936223</v>
      </c>
      <c r="S17">
        <f/>
        <v>8548.6577791149502</v>
      </c>
    </row>
    <row r="18" spans="1:19" x14ac:dyDescent="0.25">
      <c r="A18" t="s">
        <v>141</v>
      </c>
      <c r="B18">
        <v>12</v>
      </c>
      <c r="C18" t="s">
        <v>146</v>
      </c>
      <c r="F18" t="str">
        <v>Wool*Art</v>
      </c>
      <c r="G18">
        <f/>
        <v>46088.610506903613</v>
      </c>
      <c r="H18">
        <f/>
        <v>5499.3527057811589</v>
      </c>
      <c r="I18">
        <f/>
        <v>4905.8148569747718</v>
      </c>
      <c r="J18">
        <f/>
        <v>4167.6610908201928</v>
      </c>
      <c r="K18">
        <f/>
        <v>7764.1743305961736</v>
      </c>
      <c r="L18">
        <f/>
        <v>3159.8780152717209</v>
      </c>
      <c r="M18">
        <f/>
        <v>1432.1834880492352</v>
      </c>
      <c r="N18">
        <f/>
        <v>7123.9472871531616</v>
      </c>
      <c r="O18">
        <f/>
        <v>3546.1313148988083</v>
      </c>
      <c r="P18">
        <f/>
        <v>777.61916274485338</v>
      </c>
      <c r="Q18">
        <f/>
        <v>563.85332593377825</v>
      </c>
      <c r="R18">
        <f/>
        <v>403.82124561791898</v>
      </c>
      <c r="S18">
        <f/>
        <v>6744.1736830618356</v>
      </c>
    </row>
    <row r="19" spans="1:19" x14ac:dyDescent="0.25">
      <c r="A19" t="s">
        <v>142</v>
      </c>
      <c r="B19" t="s">
        <v>144</v>
      </c>
      <c r="F19" t="str">
        <v>Town Hall</v>
      </c>
      <c r="G19">
        <f/>
        <v>77442.991613261489</v>
      </c>
      <c r="H19">
        <f/>
        <v>3085.7728904359628</v>
      </c>
      <c r="I19">
        <f/>
        <v>7226.1631854984134</v>
      </c>
      <c r="J19">
        <f/>
        <v>3253.5294852790321</v>
      </c>
      <c r="K19">
        <f/>
        <v>5082.3947987541796</v>
      </c>
      <c r="L19">
        <f/>
        <v>7444.6312722327493</v>
      </c>
      <c r="M19">
        <f/>
        <v>8575.0002683371622</v>
      </c>
      <c r="N19">
        <f/>
        <v>6836.2446870842305</v>
      </c>
      <c r="O19">
        <f/>
        <v>7109.54627437616</v>
      </c>
      <c r="P19">
        <f/>
        <v>7848.5346663607834</v>
      </c>
      <c r="Q19">
        <f/>
        <v>8711.6296278767586</v>
      </c>
      <c r="R19">
        <f/>
        <v>3368.3286819716468</v>
      </c>
      <c r="S19">
        <f/>
        <v>8901.2157750544084</v>
      </c>
    </row>
    <row r="20" spans="1:19" x14ac:dyDescent="0.25">
      <c r="F20" t="str">
        <v>Jacqie Penee</v>
      </c>
      <c r="G20">
        <f/>
        <v>68005.490862096762</v>
      </c>
      <c r="H20">
        <f/>
        <v>4712.7866529728981</v>
      </c>
      <c r="I20">
        <f/>
        <v>9131.6112543989912</v>
      </c>
      <c r="J20">
        <f/>
        <v>3942.81153571502</v>
      </c>
      <c r="K20">
        <f/>
        <v>9687.6441774518407</v>
      </c>
      <c r="L20">
        <f/>
        <v>7329.3210122713481</v>
      </c>
      <c r="M20">
        <f/>
        <v>2565.0291643114197</v>
      </c>
      <c r="N20">
        <f/>
        <v>3458.4821274529004</v>
      </c>
      <c r="O20">
        <f/>
        <v>1231.0740269311991</v>
      </c>
      <c r="P20">
        <f/>
        <v>9121.5440339095949</v>
      </c>
      <c r="Q20">
        <f/>
        <v>7275.5972599053057</v>
      </c>
      <c r="R20">
        <f/>
        <v>2729.6686383978977</v>
      </c>
      <c r="S20">
        <f/>
        <v>6819.9209783783463</v>
      </c>
    </row>
    <row r="21" spans="1:19" x14ac:dyDescent="0.25">
      <c r="F21" t="str">
        <v>Amazonia</v>
      </c>
      <c r="G21">
        <f/>
        <v>50698.53323307792</v>
      </c>
      <c r="H21">
        <f/>
        <v>4955.6139709667077</v>
      </c>
      <c r="I21">
        <f/>
        <v>1055.2315451643262</v>
      </c>
      <c r="J21">
        <f/>
        <v>1103.0680924124517</v>
      </c>
      <c r="K21">
        <f/>
        <v>690.84649261892264</v>
      </c>
      <c r="L21">
        <f/>
        <v>5359.4629518589009</v>
      </c>
      <c r="M21">
        <f/>
        <v>6733.8068628111632</v>
      </c>
      <c r="N21">
        <f/>
        <v>6795.5116099062707</v>
      </c>
      <c r="O21">
        <f/>
        <v>2404.9004022632362</v>
      </c>
      <c r="P21">
        <f/>
        <v>8532.3388280455401</v>
      </c>
      <c r="Q21">
        <f/>
        <v>5095.0988093626202</v>
      </c>
      <c r="R21">
        <f/>
        <v>1651.6446534522183</v>
      </c>
      <c r="S21">
        <f/>
        <v>6321.0090142155605</v>
      </c>
    </row>
    <row r="22" spans="1:19" x14ac:dyDescent="0.25">
      <c r="F22" s="167" t="s">
        <v>283</v>
      </c>
      <c r="G22" s="167">
        <f>SUM(_xlfn.ANCHORARRAY(H22))</f>
        <v>19665.099629234621</v>
      </c>
      <c r="H22" s="204" cm="1">
        <f t="array" ref="H22:S22">nabla.e.MinColsλ(_xlfn.ANCHORARRAY(H17))</f>
        <v>761.09947765227116</v>
      </c>
      <c r="I22" s="167">
        <f/>
        <v>1055.2315451643262</v>
      </c>
      <c r="J22" s="167">
        <f/>
        <v>1103.0680924124517</v>
      </c>
      <c r="K22" s="167">
        <f/>
        <v>690.84649261892264</v>
      </c>
      <c r="L22" s="167">
        <f/>
        <v>1866.8116304412033</v>
      </c>
      <c r="M22" s="167">
        <f/>
        <v>1432.1834880492352</v>
      </c>
      <c r="N22" s="167">
        <f/>
        <v>3458.4821274529004</v>
      </c>
      <c r="O22" s="167">
        <f/>
        <v>1231.0740269311991</v>
      </c>
      <c r="P22" s="167">
        <f/>
        <v>777.61916274485338</v>
      </c>
      <c r="Q22" s="167">
        <f/>
        <v>563.85332593377825</v>
      </c>
      <c r="R22" s="167">
        <f/>
        <v>403.82124561791898</v>
      </c>
      <c r="S22" s="167">
        <f/>
        <v>6321.0090142155605</v>
      </c>
    </row>
    <row r="42" spans="14:14" x14ac:dyDescent="0.25">
      <c r="N42" s="159"/>
    </row>
  </sheetData>
  <mergeCells count="3">
    <mergeCell ref="A1:P1"/>
    <mergeCell ref="A14:C14"/>
    <mergeCell ref="A2:R2"/>
  </mergeCells>
  <hyperlinks>
    <hyperlink ref="A1" location="'TOC'!$A$1" display="'TOC'!$A$1" xr:uid="{9B5EA9D2-BD68-4FA6-A9DC-2476CAA1563C}"/>
  </hyperlinks>
  <pageMargins left="0.7" right="0.7" top="0.75" bottom="0.75" header="0.3" footer="0.3"/>
  <customProperties>
    <customPr name="Description" r:id="rId1"/>
  </customPropertie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922D-BBC0-4605-B051-5DE2B762F601}">
  <sheetPr codeName="Sheet27">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nabla.e.MaxRowsλ</v>
      </c>
      <c r="B1" s="270"/>
      <c r="C1" s="270"/>
      <c r="D1" s="270"/>
      <c r="E1" s="270"/>
      <c r="F1" s="270"/>
      <c r="G1" s="270"/>
      <c r="H1" s="270"/>
      <c r="I1" s="270"/>
      <c r="J1" s="270"/>
      <c r="K1" s="270"/>
    </row>
    <row r="2" spans="1:18" x14ac:dyDescent="0.25">
      <c r="A2" s="273" t="s">
        <v>387</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nabla.e.MaxRowsλ()</f>
        <v>FUNCTION:</v>
      </c>
      <c r="B4" t="str">
        <v>MaxRowsλ( Array)</v>
      </c>
    </row>
    <row r="5" spans="1:18" x14ac:dyDescent="0.25">
      <c r="A5" t="str">
        <v>DESCRIPTION:</v>
      </c>
      <c r="B5" t="str">
        <v>Get the maximum of each row</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values to find the maximum by row.</v>
      </c>
    </row>
    <row r="10" spans="1:18" x14ac:dyDescent="0.25">
      <c r="A10" t="str">
        <v>EXAMPLES:</v>
      </c>
      <c r="B10" t="str">
        <v>Formula (nabla.e is assumed to be the module's name)</v>
      </c>
    </row>
    <row r="11" spans="1:18" x14ac:dyDescent="0.25">
      <c r="A11" t="str">
        <v/>
      </c>
      <c r="B11" t="str">
        <v>=nabla.e.MaxRowsλ( SEQUENCE(5,5))</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236" cm="1">
        <f t="array" ref="F17:F21">nabla.e.MaxRowsλ(_xlfn.ANCHORARRAY(G17))</f>
        <v>9479.686615825216</v>
      </c>
      <c r="G17" s="235" cm="1">
        <f t="array" ref="G17:R21">_xlfn.RANDARRAY( COUNTA(_xlfn.ANCHORARRAY( E17)), COUNTA(_xlfn.ANCHORARRAY( G16)), 100, 10000)</f>
        <v>7553.1887363091992</v>
      </c>
      <c r="H17">
        <f/>
        <v>9291.3092589351527</v>
      </c>
      <c r="I17">
        <f/>
        <v>5979.0044472142363</v>
      </c>
      <c r="J17">
        <f/>
        <v>6818.31281190134</v>
      </c>
      <c r="K17">
        <f/>
        <v>4059.4911772708292</v>
      </c>
      <c r="L17">
        <f/>
        <v>8442.7008892783324</v>
      </c>
      <c r="M17">
        <f/>
        <v>9080.4508338022952</v>
      </c>
      <c r="N17">
        <f/>
        <v>9479.686615825216</v>
      </c>
      <c r="O17">
        <f/>
        <v>3994.7977194207833</v>
      </c>
      <c r="P17">
        <f/>
        <v>5638.0761241354921</v>
      </c>
      <c r="Q17">
        <f/>
        <v>5662.5884427978399</v>
      </c>
      <c r="R17">
        <f/>
        <v>8889.6757145701667</v>
      </c>
    </row>
    <row r="18" spans="1:18" x14ac:dyDescent="0.25">
      <c r="A18" t="s">
        <v>141</v>
      </c>
      <c r="B18">
        <v>12</v>
      </c>
      <c r="C18" t="s">
        <v>146</v>
      </c>
      <c r="E18" s="121" t="str">
        <v>Wool*Art</v>
      </c>
      <c r="F18" s="174">
        <f/>
        <v>9241.6180236079326</v>
      </c>
      <c r="G18" s="174">
        <f/>
        <v>296.37179998837019</v>
      </c>
      <c r="H18">
        <f/>
        <v>2611.5380425149779</v>
      </c>
      <c r="I18">
        <f/>
        <v>369.19780227733463</v>
      </c>
      <c r="J18">
        <f/>
        <v>8972.9462487318051</v>
      </c>
      <c r="K18">
        <f/>
        <v>6177.1464286518494</v>
      </c>
      <c r="L18">
        <f/>
        <v>9241.6180236079326</v>
      </c>
      <c r="M18">
        <f/>
        <v>6608.4740591477985</v>
      </c>
      <c r="N18">
        <f/>
        <v>3417.8256243563083</v>
      </c>
      <c r="O18">
        <f/>
        <v>2209.5733995304199</v>
      </c>
      <c r="P18">
        <f/>
        <v>3598.7342105458993</v>
      </c>
      <c r="Q18">
        <f/>
        <v>1921.2779045204024</v>
      </c>
      <c r="R18">
        <f/>
        <v>541.69161370968868</v>
      </c>
    </row>
    <row r="19" spans="1:18" x14ac:dyDescent="0.25">
      <c r="A19" t="s">
        <v>142</v>
      </c>
      <c r="B19" t="s">
        <v>24</v>
      </c>
      <c r="E19" s="121" t="str">
        <v>Town Hall</v>
      </c>
      <c r="F19" s="174">
        <f/>
        <v>8182.9559223559081</v>
      </c>
      <c r="G19" s="174">
        <f/>
        <v>6023.3071124023008</v>
      </c>
      <c r="H19">
        <f/>
        <v>8182.9559223559081</v>
      </c>
      <c r="I19">
        <f/>
        <v>7245.1582440641414</v>
      </c>
      <c r="J19">
        <f/>
        <v>6304.2946568475145</v>
      </c>
      <c r="K19">
        <f/>
        <v>1337.4006179597218</v>
      </c>
      <c r="L19">
        <f/>
        <v>5714.4412807440476</v>
      </c>
      <c r="M19">
        <f/>
        <v>351.16159556023558</v>
      </c>
      <c r="N19">
        <f/>
        <v>4493.0389608153564</v>
      </c>
      <c r="O19">
        <f/>
        <v>8121.5415680626011</v>
      </c>
      <c r="P19">
        <f/>
        <v>3179.2654902483628</v>
      </c>
      <c r="Q19">
        <f/>
        <v>3588.9685963592219</v>
      </c>
      <c r="R19">
        <f/>
        <v>6598.8574216870165</v>
      </c>
    </row>
    <row r="20" spans="1:18" x14ac:dyDescent="0.25">
      <c r="E20" s="121" t="str">
        <v>Jacqie Penee</v>
      </c>
      <c r="F20" s="174">
        <f/>
        <v>9654.6334458875353</v>
      </c>
      <c r="G20">
        <f/>
        <v>1135.4821481969175</v>
      </c>
      <c r="H20">
        <f/>
        <v>7142.5779789434018</v>
      </c>
      <c r="I20">
        <f/>
        <v>9654.6334458875353</v>
      </c>
      <c r="J20">
        <f/>
        <v>4428.8666407983328</v>
      </c>
      <c r="K20">
        <f/>
        <v>6233.2496241406243</v>
      </c>
      <c r="L20">
        <f/>
        <v>5412.2762178596586</v>
      </c>
      <c r="M20">
        <f/>
        <v>3377.1857073309147</v>
      </c>
      <c r="N20">
        <f/>
        <v>4695.1679292750887</v>
      </c>
      <c r="O20">
        <f/>
        <v>2186.0888088081447</v>
      </c>
      <c r="P20">
        <f/>
        <v>4021.7473015164705</v>
      </c>
      <c r="Q20">
        <f/>
        <v>1477.4409582379012</v>
      </c>
      <c r="R20">
        <f/>
        <v>5940.4663592096149</v>
      </c>
    </row>
    <row r="21" spans="1:18" x14ac:dyDescent="0.25">
      <c r="E21" s="121" t="str">
        <v>Amazonia</v>
      </c>
      <c r="F21" s="174">
        <f/>
        <v>9481.6346029608576</v>
      </c>
      <c r="G21">
        <f/>
        <v>6243.7943775763997</v>
      </c>
      <c r="H21">
        <f/>
        <v>5181.2341131407957</v>
      </c>
      <c r="I21">
        <f/>
        <v>9481.6346029608576</v>
      </c>
      <c r="J21">
        <f/>
        <v>2678.9145216073011</v>
      </c>
      <c r="K21">
        <f/>
        <v>7655.8680935168759</v>
      </c>
      <c r="L21">
        <f/>
        <v>7872.3844783084551</v>
      </c>
      <c r="M21">
        <f/>
        <v>6526.5183753024594</v>
      </c>
      <c r="N21">
        <f/>
        <v>3490.7166687787685</v>
      </c>
      <c r="O21">
        <f/>
        <v>8627.8625690371246</v>
      </c>
      <c r="P21">
        <f/>
        <v>8728.2118259361141</v>
      </c>
      <c r="Q21">
        <f/>
        <v>3283.2395547451251</v>
      </c>
      <c r="R21">
        <f/>
        <v>6867.4724652008535</v>
      </c>
    </row>
    <row r="22" spans="1:18" ht="15.75" thickBot="1" x14ac:dyDescent="0.3">
      <c r="E22" s="203" t="s">
        <v>63</v>
      </c>
      <c r="F22" s="171">
        <f>SUM(_xlfn.ANCHORARRAY(G22))</f>
        <v>324339.10416246578</v>
      </c>
      <c r="G22" s="171" cm="1">
        <f t="array" ref="G22:R22">nabla.e.SumColsλ(_xlfn.ANCHORARRAY(G17))</f>
        <v>21252.144174473186</v>
      </c>
      <c r="H22" s="171">
        <f/>
        <v>32409.615315890238</v>
      </c>
      <c r="I22" s="171">
        <f/>
        <v>32729.628542404105</v>
      </c>
      <c r="J22" s="171">
        <f/>
        <v>29203.334879886293</v>
      </c>
      <c r="K22" s="171">
        <f/>
        <v>25463.155941539902</v>
      </c>
      <c r="L22" s="171">
        <f/>
        <v>36683.420889798428</v>
      </c>
      <c r="M22" s="171">
        <f/>
        <v>25943.790571143705</v>
      </c>
      <c r="N22" s="171">
        <f/>
        <v>25576.435799050738</v>
      </c>
      <c r="O22" s="171">
        <f/>
        <v>25139.864064859074</v>
      </c>
      <c r="P22" s="171">
        <f/>
        <v>25166.034952382339</v>
      </c>
      <c r="Q22" s="171">
        <f/>
        <v>15933.515456660491</v>
      </c>
      <c r="R22" s="171">
        <f/>
        <v>28838.163574377337</v>
      </c>
    </row>
    <row r="23" spans="1:18" ht="15.75" thickTop="1" x14ac:dyDescent="0.25"/>
  </sheetData>
  <mergeCells count="3">
    <mergeCell ref="A1:K1"/>
    <mergeCell ref="A14:C14"/>
    <mergeCell ref="A2:Q2"/>
  </mergeCells>
  <hyperlinks>
    <hyperlink ref="A1" location="'TOC'!$A$1" display="'TOC'!$A$1" xr:uid="{EC6DE38F-774F-4E30-A41A-8DCE612A90DD}"/>
  </hyperlinks>
  <pageMargins left="0.7" right="0.7" top="0.75" bottom="0.75" header="0.3" footer="0.3"/>
  <customProperties>
    <customPr name="Description" r:id="rId1"/>
  </customPropertie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9E3D-BDE0-46F9-AA93-7953E759A8AA}">
  <sheetPr codeName="Sheet28">
    <tabColor rgb="FF2E75B6"/>
  </sheetPr>
  <dimension ref="A1:S42"/>
  <sheetViews>
    <sheetView showGridLines="0" workbookViewId="0">
      <selection activeCell="A1" sqref="A1"/>
    </sheetView>
  </sheetViews>
  <sheetFormatPr defaultRowHeight="15" x14ac:dyDescent="0.25"/>
  <cols>
    <col min="1" max="1" width="12.7109375" bestFit="1" customWidth="1"/>
    <col min="2" max="2" width="11.5703125" customWidth="1"/>
    <col min="3" max="3" width="7" bestFit="1" customWidth="1"/>
    <col min="5" max="5" width="5.28515625" bestFit="1" customWidth="1"/>
    <col min="6" max="6" width="11.42578125" bestFit="1" customWidth="1"/>
    <col min="7" max="7" width="15.5703125" bestFit="1" customWidth="1"/>
    <col min="8" max="8" width="10.140625" bestFit="1" customWidth="1"/>
    <col min="9" max="9" width="10.28515625" bestFit="1" customWidth="1"/>
    <col min="10" max="10" width="10.7109375" bestFit="1" customWidth="1"/>
    <col min="11" max="11" width="10.28515625" bestFit="1" customWidth="1"/>
    <col min="12" max="12" width="11.140625" bestFit="1" customWidth="1"/>
    <col min="13" max="13" width="10.28515625" bestFit="1" customWidth="1"/>
    <col min="14" max="14" width="9.5703125" bestFit="1" customWidth="1"/>
    <col min="15" max="15" width="10.7109375" bestFit="1" customWidth="1"/>
    <col min="16" max="16" width="10.42578125" bestFit="1" customWidth="1"/>
    <col min="17" max="17" width="10.28515625" bestFit="1" customWidth="1"/>
    <col min="18" max="18" width="10.7109375" bestFit="1" customWidth="1"/>
    <col min="19" max="19" width="10.42578125" bestFit="1" customWidth="1"/>
    <col min="20" max="20" width="11.7109375" bestFit="1" customWidth="1"/>
    <col min="21" max="21" width="11.42578125" bestFit="1" customWidth="1"/>
    <col min="22" max="22" width="11.28515625" bestFit="1" customWidth="1"/>
    <col min="23" max="23" width="11.7109375" bestFit="1" customWidth="1"/>
    <col min="24" max="24" width="11.42578125" bestFit="1" customWidth="1"/>
  </cols>
  <sheetData>
    <row r="1" spans="1:19" ht="45.75" x14ac:dyDescent="0.65">
      <c r="A1" s="270" t="str">
        <f>_xlfn.TEXTAFTER(CELL("filename",A1),"]")</f>
        <v>nabla.e.MaxColsλ</v>
      </c>
      <c r="B1" s="270"/>
      <c r="C1" s="270"/>
      <c r="D1" s="270"/>
      <c r="E1" s="270"/>
      <c r="F1" s="270"/>
      <c r="G1" s="270"/>
      <c r="H1" s="270"/>
      <c r="I1" s="270"/>
      <c r="J1" s="270"/>
      <c r="K1" s="270"/>
      <c r="L1" s="270"/>
      <c r="M1" s="270"/>
      <c r="N1" s="270"/>
      <c r="O1" s="270"/>
      <c r="P1" s="270"/>
    </row>
    <row r="2" spans="1:19" x14ac:dyDescent="0.25">
      <c r="A2" s="273" t="s">
        <v>388</v>
      </c>
      <c r="B2" s="274"/>
      <c r="C2" s="274"/>
      <c r="D2" s="274"/>
      <c r="E2" s="274"/>
      <c r="F2" s="274"/>
      <c r="G2" s="274"/>
      <c r="H2" s="274"/>
      <c r="I2" s="274"/>
      <c r="J2" s="274"/>
      <c r="K2" s="274"/>
      <c r="L2" s="274"/>
      <c r="M2" s="274"/>
      <c r="N2" s="274"/>
      <c r="O2" s="274"/>
      <c r="P2" s="274"/>
      <c r="Q2" s="274"/>
      <c r="R2" s="274"/>
    </row>
    <row r="3" spans="1:19" x14ac:dyDescent="0.25">
      <c r="A3" s="104"/>
      <c r="B3" s="104"/>
      <c r="C3" s="104"/>
      <c r="D3" s="104"/>
      <c r="E3" s="104"/>
      <c r="F3" s="104"/>
      <c r="G3" s="104"/>
      <c r="H3" s="104"/>
      <c r="I3" s="104"/>
      <c r="J3" s="104"/>
      <c r="K3" s="104"/>
      <c r="L3" s="104"/>
      <c r="M3" s="104"/>
      <c r="N3" s="104"/>
      <c r="O3" s="104"/>
      <c r="P3" s="104"/>
    </row>
    <row r="4" spans="1:19" x14ac:dyDescent="0.25">
      <c r="A4" s="162" t="str" cm="1">
        <f t="array" ref="A4:B11">nabla.e.MaxColsλ()</f>
        <v>FUNCTION:</v>
      </c>
      <c r="B4" t="str">
        <v>MaxColsλ( Array)</v>
      </c>
    </row>
    <row r="5" spans="1:19" x14ac:dyDescent="0.25">
      <c r="A5" t="str">
        <v>DESCRIPTION:</v>
      </c>
      <c r="B5" t="str">
        <v>Get the minimum for each Column</v>
      </c>
    </row>
    <row r="6" spans="1:19" x14ac:dyDescent="0.25">
      <c r="A6" t="str">
        <v>WEBPAGE:</v>
      </c>
      <c r="B6" t="str">
        <v>https://github.com/ryanduguid/Nabla</v>
      </c>
    </row>
    <row r="7" spans="1:19" x14ac:dyDescent="0.25">
      <c r="A7" t="str">
        <v>VERSION:</v>
      </c>
      <c r="B7" t="str">
        <v>18 Aug 2026</v>
      </c>
    </row>
    <row r="8" spans="1:19" x14ac:dyDescent="0.25">
      <c r="A8" t="str">
        <v>PARAMETERS:</v>
      </c>
      <c r="B8" t="str">
        <v/>
      </c>
    </row>
    <row r="9" spans="1:19" x14ac:dyDescent="0.25">
      <c r="A9" t="str">
        <v>Array</v>
      </c>
      <c r="B9" t="str">
        <v>(Required) A two dimensional array/range containing values to find the maximum by column.</v>
      </c>
    </row>
    <row r="10" spans="1:19" x14ac:dyDescent="0.25">
      <c r="A10" t="str">
        <v>EXAMPLES:</v>
      </c>
      <c r="B10" t="str">
        <v>Formula (nabla.e is assumed to be the module's name)</v>
      </c>
    </row>
    <row r="11" spans="1:19" x14ac:dyDescent="0.25">
      <c r="A11" t="str">
        <v/>
      </c>
      <c r="B11" t="str">
        <v>=nabla.e.MaxColsλ( SEQUENCE(5,5))</v>
      </c>
    </row>
    <row r="14" spans="1:19" ht="20.25" x14ac:dyDescent="0.3">
      <c r="A14" s="302" t="s">
        <v>272</v>
      </c>
      <c r="B14" s="302"/>
      <c r="C14" s="302"/>
    </row>
    <row r="16" spans="1:19" x14ac:dyDescent="0.25">
      <c r="A16" s="161" t="s">
        <v>273</v>
      </c>
      <c r="B16" s="161" t="s">
        <v>138</v>
      </c>
      <c r="C16" s="161" t="s">
        <v>139</v>
      </c>
      <c r="F16" s="161" t="s">
        <v>264</v>
      </c>
      <c r="G16" s="155" t="s">
        <v>276</v>
      </c>
      <c r="H16" s="156" cm="1">
        <f t="array" ref="H16:S16">nabla.d.Timelineλ($B$17, $B$18, $B$19)</f>
        <v>45292</v>
      </c>
      <c r="I16" s="1">
        <v>46054</v>
      </c>
      <c r="J16" s="1">
        <v>46082</v>
      </c>
      <c r="K16" s="1">
        <v>46113</v>
      </c>
      <c r="L16" s="1">
        <v>46143</v>
      </c>
      <c r="M16" s="1">
        <v>46174</v>
      </c>
      <c r="N16" s="1">
        <v>46204</v>
      </c>
      <c r="O16" s="1">
        <v>46235</v>
      </c>
      <c r="P16" s="1">
        <v>46266</v>
      </c>
      <c r="Q16" s="1">
        <v>46296</v>
      </c>
      <c r="R16" s="1">
        <v>46327</v>
      </c>
      <c r="S16" s="1">
        <v>46357</v>
      </c>
    </row>
    <row r="17" spans="1:19" x14ac:dyDescent="0.25">
      <c r="A17" t="s">
        <v>236</v>
      </c>
      <c r="B17" s="141">
        <v>46023</v>
      </c>
      <c r="C17" t="s">
        <v>145</v>
      </c>
      <c r="F17" t="str" cm="1">
        <f t="array" ref="F17:F21">tblCT[Customer]</f>
        <v>ACME</v>
      </c>
      <c r="G17" cm="1">
        <f t="array" ref="G17:G21">nabla.e.SumRowsλ(_xlfn.ANCHORARRAY(H17))</f>
        <v>64628.333702562362</v>
      </c>
      <c r="H17" s="192" cm="1">
        <f t="array" ref="H17:S21">_xlfn.RANDARRAY(COUNTA(_xlfn.ANCHORARRAY(F17)), COUNTA(_xlfn.ANCHORARRAY(H16)), 100,9999)</f>
        <v>7365.6320993895952</v>
      </c>
      <c r="I17">
        <f/>
        <v>7538.5159790338093</v>
      </c>
      <c r="J17">
        <f/>
        <v>7347.4861178008068</v>
      </c>
      <c r="K17">
        <f/>
        <v>8436.6103908323585</v>
      </c>
      <c r="L17">
        <f/>
        <v>4948.5245940959721</v>
      </c>
      <c r="M17">
        <f/>
        <v>332.56648369110735</v>
      </c>
      <c r="N17">
        <f/>
        <v>3013.8724106945774</v>
      </c>
      <c r="O17">
        <f/>
        <v>2166.019867959596</v>
      </c>
      <c r="P17">
        <f/>
        <v>9564.5163957058248</v>
      </c>
      <c r="Q17">
        <f/>
        <v>8283.3260461200116</v>
      </c>
      <c r="R17">
        <f/>
        <v>1208.0003723359441</v>
      </c>
      <c r="S17">
        <f/>
        <v>4423.2629449027627</v>
      </c>
    </row>
    <row r="18" spans="1:19" x14ac:dyDescent="0.25">
      <c r="A18" t="s">
        <v>141</v>
      </c>
      <c r="B18">
        <v>12</v>
      </c>
      <c r="C18" t="s">
        <v>146</v>
      </c>
      <c r="F18" t="str">
        <v>Wool*Art</v>
      </c>
      <c r="G18">
        <f/>
        <v>71294.154205858067</v>
      </c>
      <c r="H18">
        <f/>
        <v>9715.9388090915763</v>
      </c>
      <c r="I18">
        <f/>
        <v>5445.3170464622508</v>
      </c>
      <c r="J18">
        <f/>
        <v>2491.5970281532464</v>
      </c>
      <c r="K18">
        <f/>
        <v>9232.5339161420652</v>
      </c>
      <c r="L18">
        <f/>
        <v>6458.8354320511589</v>
      </c>
      <c r="M18">
        <f/>
        <v>3105.9083068891341</v>
      </c>
      <c r="N18">
        <f/>
        <v>4756.3444016337435</v>
      </c>
      <c r="O18">
        <f/>
        <v>1786.2454582800037</v>
      </c>
      <c r="P18">
        <f/>
        <v>9789.303854957021</v>
      </c>
      <c r="Q18">
        <f/>
        <v>4720.5003676320939</v>
      </c>
      <c r="R18">
        <f/>
        <v>4398.4041805155612</v>
      </c>
      <c r="S18">
        <f/>
        <v>9393.2254040502085</v>
      </c>
    </row>
    <row r="19" spans="1:19" x14ac:dyDescent="0.25">
      <c r="A19" t="s">
        <v>142</v>
      </c>
      <c r="B19" t="s">
        <v>144</v>
      </c>
      <c r="F19" t="str">
        <v>Town Hall</v>
      </c>
      <c r="G19">
        <f/>
        <v>66320.488561231177</v>
      </c>
      <c r="H19">
        <f/>
        <v>3206.6939514472615</v>
      </c>
      <c r="I19">
        <f/>
        <v>2406.5309288546123</v>
      </c>
      <c r="J19">
        <f/>
        <v>5847.7306964029049</v>
      </c>
      <c r="K19">
        <f/>
        <v>2396.8290851670336</v>
      </c>
      <c r="L19">
        <f/>
        <v>9820.8761323142244</v>
      </c>
      <c r="M19">
        <f/>
        <v>4370.9687227992454</v>
      </c>
      <c r="N19">
        <f/>
        <v>6720.5452338952146</v>
      </c>
      <c r="O19">
        <f/>
        <v>6642.8845450936515</v>
      </c>
      <c r="P19">
        <f/>
        <v>5594.9086845804268</v>
      </c>
      <c r="Q19">
        <f/>
        <v>6304.4287178548038</v>
      </c>
      <c r="R19">
        <f/>
        <v>7354.5031502751826</v>
      </c>
      <c r="S19">
        <f/>
        <v>5653.5887125466161</v>
      </c>
    </row>
    <row r="20" spans="1:19" x14ac:dyDescent="0.25">
      <c r="F20" t="str">
        <v>Jacqie Penee</v>
      </c>
      <c r="G20">
        <f/>
        <v>48086.22118749308</v>
      </c>
      <c r="H20">
        <f/>
        <v>412.56588882195865</v>
      </c>
      <c r="I20">
        <f/>
        <v>769.1448173537683</v>
      </c>
      <c r="J20">
        <f/>
        <v>7222.4708104290821</v>
      </c>
      <c r="K20">
        <f/>
        <v>783.98098160288464</v>
      </c>
      <c r="L20">
        <f/>
        <v>402.74292687967318</v>
      </c>
      <c r="M20">
        <f/>
        <v>8036.8105350414717</v>
      </c>
      <c r="N20">
        <f/>
        <v>5863.5509499258951</v>
      </c>
      <c r="O20">
        <f/>
        <v>818.68826231947787</v>
      </c>
      <c r="P20">
        <f/>
        <v>4626.7911916705361</v>
      </c>
      <c r="Q20">
        <f/>
        <v>4893.0244753369279</v>
      </c>
      <c r="R20">
        <f/>
        <v>4677.3249250599729</v>
      </c>
      <c r="S20">
        <f/>
        <v>9579.1254230514314</v>
      </c>
    </row>
    <row r="21" spans="1:19" x14ac:dyDescent="0.25">
      <c r="F21" t="str">
        <v>Amazonia</v>
      </c>
      <c r="G21">
        <f/>
        <v>61367.72516168622</v>
      </c>
      <c r="H21">
        <f/>
        <v>3092.6397854031929</v>
      </c>
      <c r="I21">
        <f/>
        <v>5317.191184969095</v>
      </c>
      <c r="J21">
        <f/>
        <v>5154.8270880624732</v>
      </c>
      <c r="K21">
        <f/>
        <v>8242.262362021047</v>
      </c>
      <c r="L21">
        <f/>
        <v>9907.7111479231116</v>
      </c>
      <c r="M21">
        <f/>
        <v>1074.0456772313919</v>
      </c>
      <c r="N21">
        <f/>
        <v>3828.1006355421305</v>
      </c>
      <c r="O21">
        <f/>
        <v>8009.0710111456356</v>
      </c>
      <c r="P21">
        <f/>
        <v>5033.573188160366</v>
      </c>
      <c r="Q21">
        <f/>
        <v>2015.3558551722472</v>
      </c>
      <c r="R21">
        <f/>
        <v>6855.0698342751966</v>
      </c>
      <c r="S21">
        <f/>
        <v>2837.8773917803355</v>
      </c>
    </row>
    <row r="22" spans="1:19" x14ac:dyDescent="0.25">
      <c r="F22" s="167" t="s">
        <v>283</v>
      </c>
      <c r="G22" s="167">
        <f>SUM(_xlfn.ANCHORARRAY(H22))</f>
        <v>101514.87122447733</v>
      </c>
      <c r="H22" s="204" cm="1">
        <f t="array" ref="H22:S22">nabla.e.MaxColsλ(_xlfn.ANCHORARRAY(H17))</f>
        <v>9715.9388090915763</v>
      </c>
      <c r="I22" s="167">
        <f/>
        <v>7538.5159790338093</v>
      </c>
      <c r="J22" s="167">
        <f/>
        <v>7347.4861178008068</v>
      </c>
      <c r="K22" s="167">
        <f/>
        <v>9232.5339161420652</v>
      </c>
      <c r="L22" s="167">
        <f/>
        <v>9907.7111479231116</v>
      </c>
      <c r="M22" s="167">
        <f/>
        <v>8036.8105350414717</v>
      </c>
      <c r="N22" s="167">
        <f/>
        <v>6720.5452338952146</v>
      </c>
      <c r="O22" s="167">
        <f/>
        <v>8009.0710111456356</v>
      </c>
      <c r="P22" s="167">
        <f/>
        <v>9789.303854957021</v>
      </c>
      <c r="Q22" s="167">
        <f/>
        <v>8283.3260461200116</v>
      </c>
      <c r="R22" s="167">
        <f/>
        <v>7354.5031502751826</v>
      </c>
      <c r="S22" s="167">
        <f/>
        <v>9579.1254230514314</v>
      </c>
    </row>
    <row r="42" spans="14:14" x14ac:dyDescent="0.25">
      <c r="N42" s="159"/>
    </row>
  </sheetData>
  <mergeCells count="3">
    <mergeCell ref="A1:P1"/>
    <mergeCell ref="A14:C14"/>
    <mergeCell ref="A2:R2"/>
  </mergeCells>
  <hyperlinks>
    <hyperlink ref="A1" location="'TOC'!$A$1" display="'TOC'!$A$1" xr:uid="{363009BD-CEEE-4358-9324-B8C1CFF31DDB}"/>
  </hyperlinks>
  <pageMargins left="0.7" right="0.7" top="0.75" bottom="0.75" header="0.3" footer="0.3"/>
  <customProperties>
    <customPr name="Description" r:id="rId1"/>
  </customPropertie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E47D2-5A1E-480B-9052-7CB2FF1B10E5}">
  <sheetPr codeName="Sheet29">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nabla.e.CountRowsλ</v>
      </c>
      <c r="B1" s="270"/>
      <c r="C1" s="270"/>
      <c r="D1" s="270"/>
      <c r="E1" s="270"/>
      <c r="F1" s="270"/>
      <c r="G1" s="270"/>
      <c r="H1" s="270"/>
      <c r="I1" s="270"/>
      <c r="J1" s="270"/>
      <c r="K1" s="270"/>
    </row>
    <row r="2" spans="1:18" x14ac:dyDescent="0.25">
      <c r="A2" s="273" t="s">
        <v>213</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nabla.e.CountRowsλ()</f>
        <v>FUNCTION:</v>
      </c>
      <c r="B4" t="str">
        <v>CountRowsλ( Array)</v>
      </c>
    </row>
    <row r="5" spans="1:18" x14ac:dyDescent="0.25">
      <c r="A5" t="str">
        <v>DESCRIPTION:</v>
      </c>
      <c r="B5" t="str">
        <v>Count numbers in each row</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numbers to be counted.</v>
      </c>
    </row>
    <row r="10" spans="1:18" x14ac:dyDescent="0.25">
      <c r="A10" t="str">
        <v>EXAMPLES:</v>
      </c>
      <c r="B10" t="str">
        <v>Formula (nabla.e is assumed to be the module's name)</v>
      </c>
    </row>
    <row r="11" spans="1:18" x14ac:dyDescent="0.25">
      <c r="A11" t="str">
        <v/>
      </c>
      <c r="B11" t="str">
        <v>=nabla.e.CountRowsλ( CHOOSE( RANDARRAY( 5, 5, 1, 5),"A", "B", "", 1, 2))</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236" cm="1">
        <f t="array" ref="F17:F21">nabla.e.CountRowsλ(_xlfn.ANCHORARRAY(G17))</f>
        <v>7</v>
      </c>
      <c r="G17" s="235" cm="1">
        <f t="array" ref="G17:R21">CHOOSE(_xlfn.RANDARRAY( COUNTA(_xlfn.ANCHORARRAY( E17)), COUNTA(_xlfn.ANCHORARRAY( G16)), 1, 10),"A", "B", "C", "", 1, 2, 3, 4, 5, 6)</f>
        <v>2</v>
      </c>
      <c r="H17">
        <f/>
        <v>4</v>
      </c>
      <c r="I17" t="str">
        <f/>
        <v>B</v>
      </c>
      <c r="J17">
        <f/>
        <v>1</v>
      </c>
      <c r="K17" t="str">
        <f/>
        <v>B</v>
      </c>
      <c r="L17" t="str">
        <f/>
        <v>A</v>
      </c>
      <c r="M17" t="str">
        <f/>
        <v>B</v>
      </c>
      <c r="N17">
        <f/>
        <v>4</v>
      </c>
      <c r="O17">
        <f/>
        <v>3</v>
      </c>
      <c r="P17" t="str">
        <f/>
        <v>B</v>
      </c>
      <c r="Q17">
        <f/>
        <v>3</v>
      </c>
      <c r="R17">
        <f/>
        <v>1</v>
      </c>
    </row>
    <row r="18" spans="1:18" x14ac:dyDescent="0.25">
      <c r="A18" t="s">
        <v>141</v>
      </c>
      <c r="B18">
        <v>12</v>
      </c>
      <c r="C18" t="s">
        <v>146</v>
      </c>
      <c r="E18" s="121" t="str">
        <v>Wool*Art</v>
      </c>
      <c r="F18" s="174">
        <f/>
        <v>8</v>
      </c>
      <c r="G18" s="174" t="str">
        <f/>
        <v>B</v>
      </c>
      <c r="H18">
        <f/>
        <v>1</v>
      </c>
      <c r="I18" t="str">
        <f/>
        <v/>
      </c>
      <c r="J18">
        <f/>
        <v>1</v>
      </c>
      <c r="K18">
        <f/>
        <v>4</v>
      </c>
      <c r="L18">
        <f/>
        <v>1</v>
      </c>
      <c r="M18">
        <f/>
        <v>5</v>
      </c>
      <c r="N18" t="str">
        <f/>
        <v/>
      </c>
      <c r="O18">
        <f/>
        <v>4</v>
      </c>
      <c r="P18">
        <f/>
        <v>2</v>
      </c>
      <c r="Q18">
        <f/>
        <v>2</v>
      </c>
      <c r="R18" t="str">
        <f/>
        <v>B</v>
      </c>
    </row>
    <row r="19" spans="1:18" x14ac:dyDescent="0.25">
      <c r="A19" t="s">
        <v>142</v>
      </c>
      <c r="B19" t="s">
        <v>24</v>
      </c>
      <c r="E19" s="121" t="str">
        <v>Town Hall</v>
      </c>
      <c r="F19" s="174">
        <f/>
        <v>6</v>
      </c>
      <c r="G19" s="174">
        <f/>
        <v>1</v>
      </c>
      <c r="H19" t="str">
        <f/>
        <v>B</v>
      </c>
      <c r="I19">
        <f/>
        <v>2</v>
      </c>
      <c r="J19">
        <f/>
        <v>5</v>
      </c>
      <c r="K19" t="str">
        <f/>
        <v/>
      </c>
      <c r="L19">
        <f/>
        <v>5</v>
      </c>
      <c r="M19">
        <f/>
        <v>5</v>
      </c>
      <c r="N19" t="str">
        <f/>
        <v/>
      </c>
      <c r="O19" t="str">
        <f/>
        <v>A</v>
      </c>
      <c r="P19">
        <f/>
        <v>5</v>
      </c>
      <c r="Q19" t="str">
        <f/>
        <v/>
      </c>
      <c r="R19" t="str">
        <f/>
        <v/>
      </c>
    </row>
    <row r="20" spans="1:18" x14ac:dyDescent="0.25">
      <c r="E20" s="121" t="str">
        <v>Jacqie Penee</v>
      </c>
      <c r="F20" s="174">
        <f/>
        <v>9</v>
      </c>
      <c r="G20">
        <f/>
        <v>3</v>
      </c>
      <c r="H20">
        <f/>
        <v>3</v>
      </c>
      <c r="I20">
        <f/>
        <v>3</v>
      </c>
      <c r="J20" t="str">
        <f/>
        <v>C</v>
      </c>
      <c r="K20">
        <f/>
        <v>5</v>
      </c>
      <c r="L20" t="str">
        <f/>
        <v>C</v>
      </c>
      <c r="M20" t="str">
        <f/>
        <v>B</v>
      </c>
      <c r="N20">
        <f/>
        <v>4</v>
      </c>
      <c r="O20">
        <f/>
        <v>5</v>
      </c>
      <c r="P20">
        <f/>
        <v>1</v>
      </c>
      <c r="Q20">
        <f/>
        <v>4</v>
      </c>
      <c r="R20">
        <f/>
        <v>5</v>
      </c>
    </row>
    <row r="21" spans="1:18" x14ac:dyDescent="0.25">
      <c r="E21" s="121" t="str">
        <v>Amazonia</v>
      </c>
      <c r="F21" s="174">
        <f/>
        <v>4</v>
      </c>
      <c r="G21" t="str">
        <f/>
        <v>A</v>
      </c>
      <c r="H21">
        <f/>
        <v>1</v>
      </c>
      <c r="I21" t="str">
        <f/>
        <v>B</v>
      </c>
      <c r="J21" t="str">
        <f/>
        <v>C</v>
      </c>
      <c r="K21" t="str">
        <f/>
        <v/>
      </c>
      <c r="L21" t="str">
        <f/>
        <v>B</v>
      </c>
      <c r="M21">
        <f/>
        <v>1</v>
      </c>
      <c r="N21">
        <f/>
        <v>4</v>
      </c>
      <c r="O21" t="str">
        <f/>
        <v>B</v>
      </c>
      <c r="P21">
        <f/>
        <v>4</v>
      </c>
      <c r="Q21" t="str">
        <f/>
        <v>B</v>
      </c>
      <c r="R21" t="str">
        <f/>
        <v>B</v>
      </c>
    </row>
    <row r="22" spans="1:18" ht="15.75" thickBot="1" x14ac:dyDescent="0.3">
      <c r="E22" s="203" t="s">
        <v>63</v>
      </c>
      <c r="F22" s="171">
        <f>SUM(_xlfn.ANCHORARRAY(G22))</f>
        <v>34</v>
      </c>
      <c r="G22" s="171" cm="1">
        <f t="array" ref="G22:R22">nabla.e.CountColsλ(_xlfn.ANCHORARRAY(G17))</f>
        <v>3</v>
      </c>
      <c r="H22" s="171">
        <f/>
        <v>4</v>
      </c>
      <c r="I22" s="171">
        <f/>
        <v>2</v>
      </c>
      <c r="J22" s="171">
        <f/>
        <v>3</v>
      </c>
      <c r="K22" s="171">
        <f/>
        <v>2</v>
      </c>
      <c r="L22" s="171">
        <f/>
        <v>2</v>
      </c>
      <c r="M22" s="171">
        <f/>
        <v>3</v>
      </c>
      <c r="N22" s="171">
        <f/>
        <v>3</v>
      </c>
      <c r="O22" s="171">
        <f/>
        <v>3</v>
      </c>
      <c r="P22" s="171">
        <f/>
        <v>4</v>
      </c>
      <c r="Q22" s="171">
        <f/>
        <v>3</v>
      </c>
      <c r="R22" s="171">
        <f/>
        <v>2</v>
      </c>
    </row>
    <row r="23" spans="1:18" ht="15.75" thickTop="1" x14ac:dyDescent="0.25"/>
  </sheetData>
  <mergeCells count="3">
    <mergeCell ref="A1:K1"/>
    <mergeCell ref="A2:Q2"/>
    <mergeCell ref="A14:C14"/>
  </mergeCells>
  <hyperlinks>
    <hyperlink ref="A1" location="'TOC'!$A$1" display="'TOC'!$A$1" xr:uid="{B07DD42F-B3A3-4F78-AC3E-5A9C098CBEB9}"/>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4003-18AF-427F-93E5-1F3B71221EFB}">
  <sheetPr codeName="Sheet30">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nabla.e.CountColsλ</v>
      </c>
      <c r="B1" s="270"/>
      <c r="C1" s="270"/>
      <c r="D1" s="270"/>
      <c r="E1" s="270"/>
      <c r="F1" s="270"/>
      <c r="G1" s="270"/>
      <c r="H1" s="270"/>
      <c r="I1" s="270"/>
      <c r="J1" s="270"/>
      <c r="K1" s="270"/>
    </row>
    <row r="2" spans="1:18" x14ac:dyDescent="0.25">
      <c r="A2" s="273" t="s">
        <v>213</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nabla.e.CountColsλ()</f>
        <v>FUNCTION:</v>
      </c>
      <c r="B4" t="str">
        <v>CountColsλ( Array,)</v>
      </c>
    </row>
    <row r="5" spans="1:18" x14ac:dyDescent="0.25">
      <c r="A5" t="str">
        <v>DESCRIPTION:</v>
      </c>
      <c r="B5" t="str">
        <v>Count numbers in each column</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numbers to be counted.</v>
      </c>
    </row>
    <row r="10" spans="1:18" x14ac:dyDescent="0.25">
      <c r="A10" t="str">
        <v>EXAMPLES:</v>
      </c>
      <c r="B10" t="str">
        <v>Formula (nabla.e is assumed to be the module's name)</v>
      </c>
    </row>
    <row r="11" spans="1:18" x14ac:dyDescent="0.25">
      <c r="A11" t="str">
        <v/>
      </c>
      <c r="B11" t="str">
        <v>=nabla.e.CountColsλ( CHOOSE( RANDARRAY( 5, 5, 1, 5),"A", "B", "", 1, 2))</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174" cm="1">
        <f t="array" ref="F17:F21">nabla.e.CountRowsλ(_xlfn.ANCHORARRAY(G17))</f>
        <v>5</v>
      </c>
      <c r="G17" s="235" t="str" cm="1">
        <f t="array" ref="G17:R21">CHOOSE(_xlfn.RANDARRAY( COUNTA(_xlfn.ANCHORARRAY( E17)), COUNTA(_xlfn.ANCHORARRAY( G16)), 1, 10),"A", "B", "C", "", 1, 2, 3, 4, 5, 6)</f>
        <v>C</v>
      </c>
      <c r="H17">
        <f/>
        <v>4</v>
      </c>
      <c r="I17" t="str">
        <f/>
        <v>B</v>
      </c>
      <c r="J17">
        <f/>
        <v>4</v>
      </c>
      <c r="K17" t="str">
        <f/>
        <v>A</v>
      </c>
      <c r="L17" t="str">
        <f/>
        <v>B</v>
      </c>
      <c r="M17">
        <f/>
        <v>1</v>
      </c>
      <c r="N17" t="str">
        <f/>
        <v>B</v>
      </c>
      <c r="O17">
        <f/>
        <v>5</v>
      </c>
      <c r="P17">
        <f/>
        <v>4</v>
      </c>
      <c r="Q17" t="str">
        <f/>
        <v/>
      </c>
      <c r="R17" t="str">
        <f/>
        <v>A</v>
      </c>
    </row>
    <row r="18" spans="1:18" x14ac:dyDescent="0.25">
      <c r="A18" t="s">
        <v>141</v>
      </c>
      <c r="B18">
        <v>12</v>
      </c>
      <c r="C18" t="s">
        <v>146</v>
      </c>
      <c r="E18" s="121" t="str">
        <v>Wool*Art</v>
      </c>
      <c r="F18" s="174">
        <f/>
        <v>5</v>
      </c>
      <c r="G18" s="174" t="str">
        <f/>
        <v>B</v>
      </c>
      <c r="H18" t="str">
        <f/>
        <v>C</v>
      </c>
      <c r="I18">
        <f/>
        <v>3</v>
      </c>
      <c r="J18" t="str">
        <f/>
        <v>B</v>
      </c>
      <c r="K18" t="str">
        <f/>
        <v/>
      </c>
      <c r="L18">
        <f/>
        <v>2</v>
      </c>
      <c r="M18">
        <f/>
        <v>2</v>
      </c>
      <c r="N18">
        <f/>
        <v>3</v>
      </c>
      <c r="O18" t="str">
        <f/>
        <v>B</v>
      </c>
      <c r="P18" t="str">
        <f/>
        <v/>
      </c>
      <c r="Q18">
        <f/>
        <v>5</v>
      </c>
      <c r="R18" t="str">
        <f/>
        <v>C</v>
      </c>
    </row>
    <row r="19" spans="1:18" x14ac:dyDescent="0.25">
      <c r="A19" t="s">
        <v>142</v>
      </c>
      <c r="B19" t="s">
        <v>24</v>
      </c>
      <c r="E19" s="121" t="str">
        <v>Town Hall</v>
      </c>
      <c r="F19" s="174">
        <f/>
        <v>6</v>
      </c>
      <c r="G19" s="174" t="str">
        <f/>
        <v>B</v>
      </c>
      <c r="H19">
        <f/>
        <v>3</v>
      </c>
      <c r="I19">
        <f/>
        <v>3</v>
      </c>
      <c r="J19" t="str">
        <f/>
        <v>A</v>
      </c>
      <c r="K19" t="str">
        <f/>
        <v>C</v>
      </c>
      <c r="L19">
        <f/>
        <v>2</v>
      </c>
      <c r="M19" t="str">
        <f/>
        <v>B</v>
      </c>
      <c r="N19" t="str">
        <f/>
        <v>B</v>
      </c>
      <c r="O19">
        <f/>
        <v>1</v>
      </c>
      <c r="P19">
        <f/>
        <v>2</v>
      </c>
      <c r="Q19">
        <f/>
        <v>1</v>
      </c>
      <c r="R19" t="str">
        <f/>
        <v>C</v>
      </c>
    </row>
    <row r="20" spans="1:18" x14ac:dyDescent="0.25">
      <c r="E20" s="121" t="str">
        <v>Jacqie Penee</v>
      </c>
      <c r="F20" s="174">
        <f/>
        <v>8</v>
      </c>
      <c r="G20" t="str">
        <f/>
        <v>B</v>
      </c>
      <c r="H20">
        <f/>
        <v>1</v>
      </c>
      <c r="I20" t="str">
        <f/>
        <v>A</v>
      </c>
      <c r="J20">
        <f/>
        <v>3</v>
      </c>
      <c r="K20">
        <f/>
        <v>3</v>
      </c>
      <c r="L20">
        <f/>
        <v>4</v>
      </c>
      <c r="M20">
        <f/>
        <v>2</v>
      </c>
      <c r="N20" t="str">
        <f/>
        <v/>
      </c>
      <c r="O20">
        <f/>
        <v>2</v>
      </c>
      <c r="P20">
        <f/>
        <v>3</v>
      </c>
      <c r="Q20" t="str">
        <f/>
        <v>A</v>
      </c>
      <c r="R20">
        <f/>
        <v>4</v>
      </c>
    </row>
    <row r="21" spans="1:18" x14ac:dyDescent="0.25">
      <c r="E21" s="121" t="str">
        <v>Amazonia</v>
      </c>
      <c r="F21" s="174">
        <f/>
        <v>6</v>
      </c>
      <c r="G21">
        <f/>
        <v>4</v>
      </c>
      <c r="H21" t="str">
        <f/>
        <v>C</v>
      </c>
      <c r="I21" t="str">
        <f/>
        <v/>
      </c>
      <c r="J21">
        <f/>
        <v>3</v>
      </c>
      <c r="K21" t="str">
        <f/>
        <v>C</v>
      </c>
      <c r="L21" t="str">
        <f/>
        <v/>
      </c>
      <c r="M21" t="str">
        <f/>
        <v>C</v>
      </c>
      <c r="N21" t="str">
        <f/>
        <v/>
      </c>
      <c r="O21">
        <f/>
        <v>3</v>
      </c>
      <c r="P21">
        <f/>
        <v>4</v>
      </c>
      <c r="Q21">
        <f/>
        <v>5</v>
      </c>
      <c r="R21">
        <f/>
        <v>5</v>
      </c>
    </row>
    <row r="22" spans="1:18" ht="15.75" thickBot="1" x14ac:dyDescent="0.3">
      <c r="E22" s="203" t="s">
        <v>63</v>
      </c>
      <c r="F22" s="171">
        <f>SUM(_xlfn.ANCHORARRAY(G22))</f>
        <v>30</v>
      </c>
      <c r="G22" s="251" cm="1">
        <f t="array" ref="G22:R22">nabla.e.CountColsλ(_xlfn.ANCHORARRAY(G17))</f>
        <v>1</v>
      </c>
      <c r="H22" s="171">
        <f/>
        <v>3</v>
      </c>
      <c r="I22" s="171">
        <f/>
        <v>2</v>
      </c>
      <c r="J22" s="171">
        <f/>
        <v>3</v>
      </c>
      <c r="K22" s="171">
        <f/>
        <v>1</v>
      </c>
      <c r="L22" s="171">
        <f/>
        <v>3</v>
      </c>
      <c r="M22" s="171">
        <f/>
        <v>3</v>
      </c>
      <c r="N22" s="171">
        <f/>
        <v>1</v>
      </c>
      <c r="O22" s="171">
        <f/>
        <v>4</v>
      </c>
      <c r="P22" s="171">
        <f/>
        <v>4</v>
      </c>
      <c r="Q22" s="171">
        <f/>
        <v>3</v>
      </c>
      <c r="R22" s="171">
        <f/>
        <v>2</v>
      </c>
    </row>
    <row r="23" spans="1:18" ht="15.75" thickTop="1" x14ac:dyDescent="0.25"/>
  </sheetData>
  <mergeCells count="3">
    <mergeCell ref="A1:K1"/>
    <mergeCell ref="A2:Q2"/>
    <mergeCell ref="A14:C14"/>
  </mergeCells>
  <hyperlinks>
    <hyperlink ref="A1" location="'TOC'!$A$1" display="'TOC'!$A$1" xr:uid="{AA1461E5-6747-4F24-BF1F-E74155322384}"/>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0BE55-ED7B-4C77-ACC7-1061BF9109E5}">
  <sheetPr codeName="Sheet31">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nabla.e.CountARowsλ</v>
      </c>
      <c r="B1" s="270"/>
      <c r="C1" s="270"/>
      <c r="D1" s="270"/>
      <c r="E1" s="270"/>
      <c r="F1" s="270"/>
      <c r="G1" s="270"/>
      <c r="H1" s="270"/>
      <c r="I1" s="270"/>
      <c r="J1" s="270"/>
      <c r="K1" s="270"/>
    </row>
    <row r="2" spans="1:18" x14ac:dyDescent="0.25">
      <c r="A2" s="273" t="s">
        <v>213</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nabla.e.CountARowsλ()</f>
        <v>FUNCTION:</v>
      </c>
      <c r="B4" t="str">
        <v>CountARowsλ( Array)</v>
      </c>
    </row>
    <row r="5" spans="1:18" x14ac:dyDescent="0.25">
      <c r="A5" t="str">
        <v>DESCRIPTION:</v>
      </c>
      <c r="B5" t="str">
        <v>Count everything in each row</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values to be counted.</v>
      </c>
    </row>
    <row r="10" spans="1:18" x14ac:dyDescent="0.25">
      <c r="A10" t="str">
        <v>EXAMPLES:</v>
      </c>
      <c r="B10" t="str">
        <v>Formula (nabla.e is assumed to be the module's name)</v>
      </c>
    </row>
    <row r="11" spans="1:18" x14ac:dyDescent="0.25">
      <c r="A11" t="str">
        <v/>
      </c>
      <c r="B11" t="str">
        <v>=nabla.e.CountARowsλ( CHOOSE( RANDARRAY( 5, 5, 1, 5),"A", "B", "", 1, 2))</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236" cm="1">
        <f t="array" ref="F17:F21">nabla.e.CountARowsλ(G17:R21)</f>
        <v>11</v>
      </c>
      <c r="G17" s="235" t="s">
        <v>402</v>
      </c>
      <c r="H17">
        <v>1</v>
      </c>
      <c r="I17">
        <v>4</v>
      </c>
      <c r="J17">
        <v>5</v>
      </c>
      <c r="K17">
        <v>3</v>
      </c>
      <c r="L17" t="s">
        <v>403</v>
      </c>
      <c r="M17" t="s">
        <v>225</v>
      </c>
      <c r="N17" t="s">
        <v>225</v>
      </c>
      <c r="O17">
        <v>1</v>
      </c>
      <c r="Q17">
        <v>5</v>
      </c>
      <c r="R17" t="s">
        <v>225</v>
      </c>
    </row>
    <row r="18" spans="1:18" x14ac:dyDescent="0.25">
      <c r="A18" t="s">
        <v>141</v>
      </c>
      <c r="B18">
        <v>12</v>
      </c>
      <c r="C18" t="s">
        <v>146</v>
      </c>
      <c r="E18" s="121" t="str">
        <v>Wool*Art</v>
      </c>
      <c r="F18" s="174">
        <v>11</v>
      </c>
      <c r="G18" s="174"/>
      <c r="H18">
        <v>3</v>
      </c>
      <c r="I18">
        <v>4</v>
      </c>
      <c r="J18" t="s">
        <v>404</v>
      </c>
      <c r="K18" t="s">
        <v>404</v>
      </c>
      <c r="L18">
        <v>4</v>
      </c>
      <c r="M18">
        <v>3</v>
      </c>
      <c r="N18" t="s">
        <v>225</v>
      </c>
      <c r="O18">
        <v>3</v>
      </c>
      <c r="P18" t="s">
        <v>402</v>
      </c>
      <c r="Q18">
        <v>2</v>
      </c>
      <c r="R18" t="s">
        <v>402</v>
      </c>
    </row>
    <row r="19" spans="1:18" x14ac:dyDescent="0.25">
      <c r="A19" t="s">
        <v>142</v>
      </c>
      <c r="B19" t="s">
        <v>24</v>
      </c>
      <c r="E19" s="121" t="str">
        <v>Town Hall</v>
      </c>
      <c r="F19" s="174">
        <v>12</v>
      </c>
      <c r="G19" s="174">
        <v>5</v>
      </c>
      <c r="H19" t="s">
        <v>404</v>
      </c>
      <c r="I19" t="s">
        <v>404</v>
      </c>
      <c r="J19">
        <v>4</v>
      </c>
      <c r="K19" t="s">
        <v>404</v>
      </c>
      <c r="L19" t="s">
        <v>404</v>
      </c>
      <c r="M19">
        <v>1</v>
      </c>
      <c r="N19" t="s">
        <v>402</v>
      </c>
      <c r="O19" t="s">
        <v>225</v>
      </c>
      <c r="P19" t="s">
        <v>225</v>
      </c>
      <c r="Q19" t="s">
        <v>225</v>
      </c>
      <c r="R19">
        <v>5</v>
      </c>
    </row>
    <row r="20" spans="1:18" x14ac:dyDescent="0.25">
      <c r="E20" s="121" t="str">
        <v>Jacqie Penee</v>
      </c>
      <c r="F20" s="174">
        <v>12</v>
      </c>
      <c r="G20" t="s">
        <v>225</v>
      </c>
      <c r="H20">
        <v>4</v>
      </c>
      <c r="I20">
        <v>4</v>
      </c>
      <c r="J20" t="s">
        <v>402</v>
      </c>
      <c r="K20">
        <v>3</v>
      </c>
      <c r="L20">
        <v>1</v>
      </c>
      <c r="M20" t="s">
        <v>225</v>
      </c>
      <c r="N20">
        <v>2</v>
      </c>
      <c r="O20">
        <v>3</v>
      </c>
      <c r="P20">
        <v>3</v>
      </c>
      <c r="Q20" t="s">
        <v>404</v>
      </c>
      <c r="R20">
        <v>5</v>
      </c>
    </row>
    <row r="21" spans="1:18" x14ac:dyDescent="0.25">
      <c r="E21" s="121" t="str">
        <v>Amazonia</v>
      </c>
      <c r="F21" s="174">
        <v>9</v>
      </c>
      <c r="H21">
        <v>5</v>
      </c>
      <c r="I21" t="s">
        <v>225</v>
      </c>
      <c r="K21" t="s">
        <v>402</v>
      </c>
      <c r="L21" t="s">
        <v>404</v>
      </c>
      <c r="N21">
        <v>3</v>
      </c>
      <c r="O21">
        <v>3</v>
      </c>
      <c r="P21">
        <v>3</v>
      </c>
      <c r="Q21">
        <v>3</v>
      </c>
      <c r="R21" t="s">
        <v>402</v>
      </c>
    </row>
    <row r="22" spans="1:18" ht="15.75" thickBot="1" x14ac:dyDescent="0.3">
      <c r="E22" s="203" t="s">
        <v>63</v>
      </c>
      <c r="F22" s="171">
        <f>SUM(_xlfn.ANCHORARRAY(G22))</f>
        <v>55</v>
      </c>
      <c r="G22" s="171" cm="1">
        <f t="array" ref="G22:R22">nabla.e.CountAColsλ(G17:R21)</f>
        <v>3</v>
      </c>
      <c r="H22" s="171">
        <v>5</v>
      </c>
      <c r="I22" s="171">
        <v>5</v>
      </c>
      <c r="J22" s="171">
        <v>4</v>
      </c>
      <c r="K22" s="171">
        <v>5</v>
      </c>
      <c r="L22" s="171">
        <v>5</v>
      </c>
      <c r="M22" s="171">
        <v>4</v>
      </c>
      <c r="N22" s="171">
        <v>5</v>
      </c>
      <c r="O22" s="171">
        <v>5</v>
      </c>
      <c r="P22" s="171">
        <v>4</v>
      </c>
      <c r="Q22" s="171">
        <v>5</v>
      </c>
      <c r="R22" s="171">
        <v>5</v>
      </c>
    </row>
    <row r="23" spans="1:18" ht="15.75" thickTop="1" x14ac:dyDescent="0.25"/>
  </sheetData>
  <mergeCells count="3">
    <mergeCell ref="A1:K1"/>
    <mergeCell ref="A2:Q2"/>
    <mergeCell ref="A14:C14"/>
  </mergeCells>
  <hyperlinks>
    <hyperlink ref="A1" location="'TOC'!$A$1" display="'TOC'!$A$1" xr:uid="{5E788C95-A844-48ED-9BEC-12FC4957635C}"/>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8BD7A-87F7-4BA9-9DE6-9F181E9E15F1}">
  <sheetPr codeName="Sheet32">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0.28515625" customWidth="1"/>
    <col min="3" max="3" width="8.5703125" bestFit="1" customWidth="1"/>
    <col min="4" max="4" width="4" bestFit="1" customWidth="1"/>
    <col min="5" max="5" width="22.140625" bestFit="1" customWidth="1"/>
    <col min="6" max="6" width="15.5703125" bestFit="1" customWidth="1"/>
    <col min="7" max="18" width="10.140625" bestFit="1" customWidth="1"/>
  </cols>
  <sheetData>
    <row r="1" spans="1:18" ht="45.75" x14ac:dyDescent="0.65">
      <c r="A1" s="270" t="str">
        <f>_xlfn.TEXTAFTER(CELL("filename",A1),"]")</f>
        <v>nabla.e.CountAColsλ</v>
      </c>
      <c r="B1" s="270"/>
      <c r="C1" s="270"/>
      <c r="D1" s="270"/>
      <c r="E1" s="270"/>
      <c r="F1" s="270"/>
      <c r="G1" s="270"/>
      <c r="H1" s="270"/>
      <c r="I1" s="270"/>
      <c r="J1" s="270"/>
      <c r="K1" s="270"/>
    </row>
    <row r="2" spans="1:18" x14ac:dyDescent="0.25">
      <c r="A2" s="273" t="s">
        <v>213</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1">nabla.e.CountAColsλ()</f>
        <v>FUNCTION:</v>
      </c>
      <c r="B4" t="str">
        <v>CountAColsλ( Array )</v>
      </c>
    </row>
    <row r="5" spans="1:18" x14ac:dyDescent="0.25">
      <c r="A5" t="str">
        <v>DESCRIPTION:</v>
      </c>
      <c r="B5" t="str">
        <v>Count everything in each column</v>
      </c>
    </row>
    <row r="6" spans="1:18" x14ac:dyDescent="0.25">
      <c r="A6" t="str">
        <v>WEBPAGE:</v>
      </c>
      <c r="B6" t="str">
        <v>https://github.com/ryanduguid/Nabla</v>
      </c>
    </row>
    <row r="7" spans="1:18" x14ac:dyDescent="0.25">
      <c r="A7" t="str">
        <v>VERSION:</v>
      </c>
      <c r="B7" t="str">
        <v>18 Aug 2026</v>
      </c>
    </row>
    <row r="8" spans="1:18" x14ac:dyDescent="0.25">
      <c r="A8" t="str">
        <v>PARAMETERS:</v>
      </c>
      <c r="B8" t="str">
        <v/>
      </c>
    </row>
    <row r="9" spans="1:18" x14ac:dyDescent="0.25">
      <c r="A9" t="str">
        <v>Array</v>
      </c>
      <c r="B9" t="str">
        <v>(Required) A two dimensional array/range containing values to be counted.</v>
      </c>
    </row>
    <row r="10" spans="1:18" x14ac:dyDescent="0.25">
      <c r="A10" t="str">
        <v>EXAMPLES:</v>
      </c>
      <c r="B10" t="str">
        <v>Formula (nabla.e is assumed to be the module's name)</v>
      </c>
    </row>
    <row r="11" spans="1:18" x14ac:dyDescent="0.25">
      <c r="A11" t="str">
        <v/>
      </c>
      <c r="B11" t="str">
        <v>=nabla.e.CountAColsλ( CHOOSE( RANDARRAY( 5, 5, 1, 5),"A", "B", "", 1, 2))</v>
      </c>
    </row>
    <row r="14" spans="1:18" ht="20.25" x14ac:dyDescent="0.3">
      <c r="A14" s="302" t="s">
        <v>272</v>
      </c>
      <c r="B14" s="302"/>
      <c r="C14" s="302"/>
    </row>
    <row r="16" spans="1:18" x14ac:dyDescent="0.25">
      <c r="A16" s="161" t="s">
        <v>273</v>
      </c>
      <c r="B16" s="161" t="s">
        <v>138</v>
      </c>
      <c r="C16" s="161" t="s">
        <v>139</v>
      </c>
      <c r="E16" s="190" t="s">
        <v>131</v>
      </c>
      <c r="F16" s="190" t="s">
        <v>276</v>
      </c>
      <c r="G16" s="1" cm="1">
        <f t="array" ref="G16:R16">nabla.d.Timelineλ($B$17,$B$18,$B$19)</f>
        <v>45292</v>
      </c>
      <c r="H16" s="1">
        <v>46388</v>
      </c>
      <c r="I16" s="1">
        <v>46753</v>
      </c>
      <c r="J16" s="1">
        <v>47119</v>
      </c>
      <c r="K16" s="1">
        <v>47484</v>
      </c>
      <c r="L16" s="1">
        <v>47849</v>
      </c>
      <c r="M16" s="1">
        <v>48214</v>
      </c>
      <c r="N16" s="1">
        <v>48580</v>
      </c>
      <c r="O16" s="1">
        <v>48945</v>
      </c>
      <c r="P16" s="1">
        <v>49310</v>
      </c>
      <c r="Q16" s="1">
        <v>49675</v>
      </c>
      <c r="R16" s="1">
        <v>50041</v>
      </c>
    </row>
    <row r="17" spans="1:18" x14ac:dyDescent="0.25">
      <c r="A17" t="s">
        <v>236</v>
      </c>
      <c r="B17" s="141">
        <v>46023</v>
      </c>
      <c r="C17" t="s">
        <v>145</v>
      </c>
      <c r="E17" s="121" t="str" cm="1">
        <f t="array" ref="E17:E21">tblCT[Customer]</f>
        <v>ACME</v>
      </c>
      <c r="F17" s="174" cm="1">
        <f t="array" ref="F17:F21">nabla.e.CountARowsλ(G17:R21)</f>
        <v>11</v>
      </c>
      <c r="G17" s="235" t="s">
        <v>402</v>
      </c>
      <c r="H17">
        <v>1</v>
      </c>
      <c r="I17">
        <v>4</v>
      </c>
      <c r="J17">
        <v>5</v>
      </c>
      <c r="K17">
        <v>3</v>
      </c>
      <c r="L17" t="s">
        <v>403</v>
      </c>
      <c r="M17" t="s">
        <v>225</v>
      </c>
      <c r="N17" t="s">
        <v>225</v>
      </c>
      <c r="O17">
        <v>1</v>
      </c>
      <c r="Q17">
        <v>5</v>
      </c>
      <c r="R17" t="s">
        <v>225</v>
      </c>
    </row>
    <row r="18" spans="1:18" x14ac:dyDescent="0.25">
      <c r="A18" t="s">
        <v>141</v>
      </c>
      <c r="B18">
        <v>12</v>
      </c>
      <c r="C18" t="s">
        <v>146</v>
      </c>
      <c r="E18" s="121" t="str">
        <v>Wool*Art</v>
      </c>
      <c r="F18" s="174">
        <v>11</v>
      </c>
      <c r="G18" s="174"/>
      <c r="H18">
        <v>3</v>
      </c>
      <c r="I18">
        <v>4</v>
      </c>
      <c r="J18" t="s">
        <v>404</v>
      </c>
      <c r="K18" t="s">
        <v>404</v>
      </c>
      <c r="L18">
        <v>4</v>
      </c>
      <c r="M18">
        <v>3</v>
      </c>
      <c r="N18" t="s">
        <v>225</v>
      </c>
      <c r="O18">
        <v>3</v>
      </c>
      <c r="P18" t="s">
        <v>402</v>
      </c>
      <c r="Q18">
        <v>2</v>
      </c>
      <c r="R18" t="s">
        <v>402</v>
      </c>
    </row>
    <row r="19" spans="1:18" x14ac:dyDescent="0.25">
      <c r="A19" t="s">
        <v>142</v>
      </c>
      <c r="B19" t="s">
        <v>24</v>
      </c>
      <c r="E19" s="121" t="str">
        <v>Town Hall</v>
      </c>
      <c r="F19" s="174">
        <v>12</v>
      </c>
      <c r="G19" s="174">
        <v>5</v>
      </c>
      <c r="H19" t="s">
        <v>404</v>
      </c>
      <c r="I19" t="s">
        <v>404</v>
      </c>
      <c r="J19">
        <v>4</v>
      </c>
      <c r="K19" t="s">
        <v>404</v>
      </c>
      <c r="L19" t="s">
        <v>404</v>
      </c>
      <c r="M19">
        <v>1</v>
      </c>
      <c r="N19" t="s">
        <v>402</v>
      </c>
      <c r="O19" t="s">
        <v>225</v>
      </c>
      <c r="P19" t="s">
        <v>225</v>
      </c>
      <c r="Q19" t="s">
        <v>225</v>
      </c>
      <c r="R19">
        <v>5</v>
      </c>
    </row>
    <row r="20" spans="1:18" x14ac:dyDescent="0.25">
      <c r="E20" s="121" t="str">
        <v>Jacqie Penee</v>
      </c>
      <c r="F20" s="174">
        <v>12</v>
      </c>
      <c r="G20" t="s">
        <v>225</v>
      </c>
      <c r="H20">
        <v>4</v>
      </c>
      <c r="I20">
        <v>4</v>
      </c>
      <c r="J20" t="s">
        <v>402</v>
      </c>
      <c r="K20">
        <v>3</v>
      </c>
      <c r="L20">
        <v>1</v>
      </c>
      <c r="M20" t="s">
        <v>225</v>
      </c>
      <c r="N20">
        <v>2</v>
      </c>
      <c r="O20">
        <v>3</v>
      </c>
      <c r="P20">
        <v>3</v>
      </c>
      <c r="Q20" t="s">
        <v>404</v>
      </c>
      <c r="R20">
        <v>5</v>
      </c>
    </row>
    <row r="21" spans="1:18" x14ac:dyDescent="0.25">
      <c r="E21" s="121" t="str">
        <v>Amazonia</v>
      </c>
      <c r="F21" s="174">
        <v>9</v>
      </c>
      <c r="H21">
        <v>5</v>
      </c>
      <c r="I21" t="s">
        <v>225</v>
      </c>
      <c r="K21" t="s">
        <v>402</v>
      </c>
      <c r="L21" t="s">
        <v>404</v>
      </c>
      <c r="N21">
        <v>3</v>
      </c>
      <c r="O21">
        <v>3</v>
      </c>
      <c r="P21">
        <v>3</v>
      </c>
      <c r="Q21">
        <v>3</v>
      </c>
      <c r="R21" t="s">
        <v>402</v>
      </c>
    </row>
    <row r="22" spans="1:18" ht="15.75" thickBot="1" x14ac:dyDescent="0.3">
      <c r="E22" s="203" t="s">
        <v>63</v>
      </c>
      <c r="F22" s="171">
        <f>SUM(_xlfn.ANCHORARRAY(G22))</f>
        <v>55</v>
      </c>
      <c r="G22" s="251" cm="1">
        <f t="array" ref="G22:R22">nabla.e.CountAColsλ(G17:R21)</f>
        <v>3</v>
      </c>
      <c r="H22" s="171">
        <v>5</v>
      </c>
      <c r="I22" s="171">
        <v>5</v>
      </c>
      <c r="J22" s="171">
        <v>4</v>
      </c>
      <c r="K22" s="171">
        <v>5</v>
      </c>
      <c r="L22" s="171">
        <v>5</v>
      </c>
      <c r="M22" s="171">
        <v>4</v>
      </c>
      <c r="N22" s="171">
        <v>5</v>
      </c>
      <c r="O22" s="171">
        <v>5</v>
      </c>
      <c r="P22" s="171">
        <v>4</v>
      </c>
      <c r="Q22" s="171">
        <v>5</v>
      </c>
      <c r="R22" s="171">
        <v>5</v>
      </c>
    </row>
    <row r="23" spans="1:18" ht="15.75" thickTop="1" x14ac:dyDescent="0.25"/>
  </sheetData>
  <mergeCells count="3">
    <mergeCell ref="A1:K1"/>
    <mergeCell ref="A2:Q2"/>
    <mergeCell ref="A14:C14"/>
  </mergeCells>
  <hyperlinks>
    <hyperlink ref="A1" location="'TOC'!$A$1" display="'TOC'!$A$1" xr:uid="{178E30B8-F48E-4BD5-91A8-F60DEC29A4D5}"/>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EE991-DC4C-486D-949F-9630F6C738A9}">
  <sheetPr>
    <tabColor rgb="FF2E75B6"/>
  </sheetPr>
  <dimension ref="A1:R33"/>
  <sheetViews>
    <sheetView showGridLines="0" workbookViewId="0">
      <selection activeCell="A1" sqref="A1"/>
    </sheetView>
  </sheetViews>
  <sheetFormatPr defaultRowHeight="15" x14ac:dyDescent="0.25"/>
  <cols>
    <col min="1" max="1" width="12.7109375" bestFit="1" customWidth="1"/>
    <col min="2" max="2" width="12.85546875" customWidth="1"/>
    <col min="3" max="3" width="8.5703125" bestFit="1" customWidth="1"/>
    <col min="4" max="4" width="4" bestFit="1" customWidth="1"/>
    <col min="5" max="5" width="22.140625" bestFit="1" customWidth="1"/>
    <col min="6" max="6" width="15.5703125" bestFit="1" customWidth="1"/>
    <col min="7" max="18" width="11.42578125" bestFit="1" customWidth="1"/>
  </cols>
  <sheetData>
    <row r="1" spans="1:17" ht="45.75" x14ac:dyDescent="0.65">
      <c r="A1" s="270" t="str">
        <f>_xlfn.TEXTAFTER(CELL("filename",A1),"]")</f>
        <v>nabla.e.IsBetweenλ</v>
      </c>
      <c r="B1" s="270"/>
      <c r="C1" s="270"/>
      <c r="D1" s="270"/>
      <c r="E1" s="270"/>
      <c r="F1" s="270"/>
      <c r="G1" s="270"/>
      <c r="H1" s="270"/>
      <c r="I1" s="270"/>
      <c r="J1" s="270"/>
      <c r="K1" s="270"/>
    </row>
    <row r="2" spans="1:17" x14ac:dyDescent="0.25">
      <c r="A2" s="273" t="s">
        <v>213</v>
      </c>
      <c r="B2" s="274"/>
      <c r="C2" s="274"/>
      <c r="D2" s="274"/>
      <c r="E2" s="274"/>
      <c r="F2" s="274"/>
      <c r="G2" s="274"/>
      <c r="H2" s="274"/>
      <c r="I2" s="274"/>
      <c r="J2" s="274"/>
      <c r="K2" s="274"/>
      <c r="L2" s="274"/>
      <c r="M2" s="274"/>
      <c r="N2" s="274"/>
      <c r="O2" s="274"/>
      <c r="P2" s="274"/>
      <c r="Q2" s="274"/>
    </row>
    <row r="3" spans="1:17" x14ac:dyDescent="0.25">
      <c r="A3" s="104"/>
      <c r="B3" s="104"/>
      <c r="C3" s="104"/>
      <c r="D3" s="104"/>
      <c r="E3" s="104"/>
      <c r="F3" s="104"/>
      <c r="G3" s="104"/>
      <c r="H3" s="104"/>
      <c r="I3" s="104"/>
      <c r="J3" s="104"/>
      <c r="K3" s="104"/>
    </row>
    <row r="4" spans="1:17" x14ac:dyDescent="0.25">
      <c r="A4" s="162" t="str" cm="1">
        <f t="array" ref="A4:B16">nabla.e.IsBetweenλ()</f>
        <v>FUNCTION:</v>
      </c>
      <c r="B4" t="str">
        <v>IsBetweenλ( Value, Low, Hi, [Inclusive])</v>
      </c>
    </row>
    <row r="5" spans="1:17" x14ac:dyDescent="0.25">
      <c r="A5" t="str">
        <v>DESCRIPTION:</v>
      </c>
      <c r="B5" t="str">
        <v>Determine if a value is between a lower and upper limit.</v>
      </c>
    </row>
    <row r="6" spans="1:17" x14ac:dyDescent="0.25">
      <c r="A6" t="str">
        <v>PARAMETERS:</v>
      </c>
      <c r="B6" t="str">
        <v/>
      </c>
    </row>
    <row r="7" spans="1:17" x14ac:dyDescent="0.25">
      <c r="A7" t="str">
        <v>Value</v>
      </c>
      <c r="B7" t="str">
        <v>(Required) A value or array of values to compare.</v>
      </c>
    </row>
    <row r="8" spans="1:17" x14ac:dyDescent="0.25">
      <c r="A8" t="str">
        <v>Lo</v>
      </c>
      <c r="B8" t="str">
        <v>(Required) The lower limit that the value must be greater than</v>
      </c>
    </row>
    <row r="9" spans="1:17" x14ac:dyDescent="0.25">
      <c r="A9" t="str">
        <v>Hi</v>
      </c>
      <c r="B9" t="str">
        <v>(Required) The lower limit that the value must be less than</v>
      </c>
    </row>
    <row r="10" spans="1:17" x14ac:dyDescent="0.25">
      <c r="A10" t="str">
        <v>Inclusive</v>
      </c>
      <c r="B10" t="str">
        <v>(Optional) If set to TRUE (default) the value can be equal to Lo and/or Hi</v>
      </c>
    </row>
    <row r="11" spans="1:17" x14ac:dyDescent="0.25">
      <c r="A11" t="str">
        <v/>
      </c>
      <c r="B11" t="str">
        <v/>
      </c>
    </row>
    <row r="12" spans="1:17" x14ac:dyDescent="0.25">
      <c r="A12" t="str">
        <v>EXAMPLES :</v>
      </c>
      <c r="B12" t="str">
        <v/>
      </c>
    </row>
    <row r="13" spans="1:17" x14ac:dyDescent="0.25">
      <c r="A13" t="str">
        <v>Result</v>
      </c>
      <c r="B13" t="str">
        <v>Formula</v>
      </c>
    </row>
    <row r="14" spans="1:17" x14ac:dyDescent="0.25">
      <c r="A14" t="str">
        <v>FALSE</v>
      </c>
      <c r="B14" t="str">
        <v>=IsBetweenλ(1, 2, 4)</v>
      </c>
    </row>
    <row r="15" spans="1:17" x14ac:dyDescent="0.25">
      <c r="A15" t="str">
        <v>TRUE</v>
      </c>
      <c r="B15" t="str">
        <v>=IsBetweenλ(2, 2, 4)</v>
      </c>
    </row>
    <row r="16" spans="1:17" x14ac:dyDescent="0.25">
      <c r="A16" t="str">
        <v>FALSE</v>
      </c>
      <c r="B16" t="str">
        <v>=IsBetweenλ(2, 2, 4, FALSE)</v>
      </c>
    </row>
    <row r="18" spans="1:18" ht="20.25" x14ac:dyDescent="0.3">
      <c r="A18" s="302" t="s">
        <v>272</v>
      </c>
      <c r="B18" s="302"/>
      <c r="C18" s="302"/>
    </row>
    <row r="19" spans="1:18" x14ac:dyDescent="0.25">
      <c r="F19" s="191" t="s">
        <v>415</v>
      </c>
      <c r="G19" s="252" cm="1">
        <f t="array" ref="G19:R19">nabla.d.Timelineλ($B$21,$B$22,$B$23, FALSE)</f>
        <v>45657</v>
      </c>
      <c r="H19" s="252">
        <v>46752</v>
      </c>
      <c r="I19" s="252">
        <v>47118</v>
      </c>
      <c r="J19" s="252">
        <v>47483</v>
      </c>
      <c r="K19" s="252">
        <v>47848</v>
      </c>
      <c r="L19" s="252">
        <v>48213</v>
      </c>
      <c r="M19" s="252">
        <v>48579</v>
      </c>
      <c r="N19" s="252">
        <v>48944</v>
      </c>
      <c r="O19" s="252">
        <v>49309</v>
      </c>
      <c r="P19" s="252">
        <v>49674</v>
      </c>
      <c r="Q19" s="252">
        <v>50040</v>
      </c>
      <c r="R19" s="252">
        <v>50405</v>
      </c>
    </row>
    <row r="20" spans="1:18" x14ac:dyDescent="0.25">
      <c r="A20" s="161" t="s">
        <v>273</v>
      </c>
      <c r="B20" s="161" t="s">
        <v>138</v>
      </c>
      <c r="C20" s="161" t="s">
        <v>139</v>
      </c>
      <c r="E20" s="190" t="s">
        <v>131</v>
      </c>
      <c r="F20" s="155" t="s">
        <v>276</v>
      </c>
      <c r="G20" s="156" cm="1">
        <f t="array" ref="G20:R20">nabla.d.Timelineλ($B$21,$B$22,$B$23)</f>
        <v>45292</v>
      </c>
      <c r="H20" s="1">
        <v>46388</v>
      </c>
      <c r="I20" s="1">
        <v>46753</v>
      </c>
      <c r="J20" s="1">
        <v>47119</v>
      </c>
      <c r="K20" s="1">
        <v>47484</v>
      </c>
      <c r="L20" s="1">
        <v>47849</v>
      </c>
      <c r="M20" s="1">
        <v>48214</v>
      </c>
      <c r="N20" s="1">
        <v>48580</v>
      </c>
      <c r="O20" s="1">
        <v>48945</v>
      </c>
      <c r="P20" s="1">
        <v>49310</v>
      </c>
      <c r="Q20" s="1">
        <v>49675</v>
      </c>
      <c r="R20" s="1">
        <v>50041</v>
      </c>
    </row>
    <row r="21" spans="1:18" x14ac:dyDescent="0.25">
      <c r="A21" t="s">
        <v>236</v>
      </c>
      <c r="B21" s="141">
        <v>46023</v>
      </c>
      <c r="C21" t="s">
        <v>145</v>
      </c>
      <c r="E21" s="121" t="str" cm="1">
        <f t="array" ref="E21:E25">tblCT[Customer]</f>
        <v>ACME</v>
      </c>
      <c r="F21" s="174" cm="1">
        <f t="array" ref="F21:F25">nabla.e.SumRowsλ(_xlfn.ANCHORARRAY(G21))</f>
        <v>1</v>
      </c>
      <c r="G21" s="162" cm="1">
        <f t="array" ref="G21:R25">N(nabla.d.IsBetweenλ( _xlfn.XLOOKUP(_xlfn.ANCHORARRAY(E21),tblOnBoarding[Customer],tblOnBoarding[Onboarding]),_xlfn.ANCHORARRAY(G20),_xlfn.ANCHORARRAY( G19)))</f>
        <v>0</v>
      </c>
      <c r="H21">
        <f/>
        <v>1</v>
      </c>
      <c r="I21">
        <f/>
        <v>0</v>
      </c>
      <c r="J21">
        <f/>
        <v>0</v>
      </c>
      <c r="K21">
        <f/>
        <v>0</v>
      </c>
      <c r="L21">
        <f/>
        <v>0</v>
      </c>
      <c r="M21">
        <f/>
        <v>0</v>
      </c>
      <c r="N21">
        <f/>
        <v>0</v>
      </c>
      <c r="O21">
        <f/>
        <v>0</v>
      </c>
      <c r="P21">
        <f/>
        <v>0</v>
      </c>
      <c r="Q21">
        <f/>
        <v>0</v>
      </c>
      <c r="R21">
        <f/>
        <v>0</v>
      </c>
    </row>
    <row r="22" spans="1:18" x14ac:dyDescent="0.25">
      <c r="A22" t="s">
        <v>141</v>
      </c>
      <c r="B22">
        <v>12</v>
      </c>
      <c r="C22" t="s">
        <v>146</v>
      </c>
      <c r="E22" s="121" t="str">
        <v>Wool*Art</v>
      </c>
      <c r="F22" s="174">
        <f/>
        <v>1</v>
      </c>
      <c r="G22" s="174">
        <f/>
        <v>0</v>
      </c>
      <c r="H22">
        <f/>
        <v>0</v>
      </c>
      <c r="I22">
        <f/>
        <v>0</v>
      </c>
      <c r="J22">
        <f/>
        <v>0</v>
      </c>
      <c r="K22">
        <f/>
        <v>0</v>
      </c>
      <c r="L22">
        <f/>
        <v>0</v>
      </c>
      <c r="M22">
        <f/>
        <v>0</v>
      </c>
      <c r="N22">
        <f/>
        <v>0</v>
      </c>
      <c r="O22">
        <f/>
        <v>0</v>
      </c>
      <c r="P22">
        <f/>
        <v>0</v>
      </c>
      <c r="Q22">
        <f/>
        <v>1</v>
      </c>
      <c r="R22">
        <f/>
        <v>0</v>
      </c>
    </row>
    <row r="23" spans="1:18" x14ac:dyDescent="0.25">
      <c r="A23" t="s">
        <v>142</v>
      </c>
      <c r="B23" t="s">
        <v>24</v>
      </c>
      <c r="E23" s="121" t="str">
        <v>Town Hall</v>
      </c>
      <c r="F23" s="174">
        <f/>
        <v>1</v>
      </c>
      <c r="G23" s="174">
        <f/>
        <v>0</v>
      </c>
      <c r="H23">
        <f/>
        <v>0</v>
      </c>
      <c r="I23">
        <f/>
        <v>1</v>
      </c>
      <c r="J23">
        <f/>
        <v>0</v>
      </c>
      <c r="K23">
        <f/>
        <v>0</v>
      </c>
      <c r="L23">
        <f/>
        <v>0</v>
      </c>
      <c r="M23">
        <f/>
        <v>0</v>
      </c>
      <c r="N23">
        <f/>
        <v>0</v>
      </c>
      <c r="O23">
        <f/>
        <v>0</v>
      </c>
      <c r="P23">
        <f/>
        <v>0</v>
      </c>
      <c r="Q23">
        <f/>
        <v>0</v>
      </c>
      <c r="R23">
        <f/>
        <v>0</v>
      </c>
    </row>
    <row r="24" spans="1:18" x14ac:dyDescent="0.25">
      <c r="E24" s="121" t="str">
        <v>Jacqie Penee</v>
      </c>
      <c r="F24" s="174">
        <f/>
        <v>1</v>
      </c>
      <c r="G24">
        <f/>
        <v>0</v>
      </c>
      <c r="H24">
        <f/>
        <v>1</v>
      </c>
      <c r="I24">
        <f/>
        <v>0</v>
      </c>
      <c r="J24">
        <f/>
        <v>0</v>
      </c>
      <c r="K24">
        <f/>
        <v>0</v>
      </c>
      <c r="L24">
        <f/>
        <v>0</v>
      </c>
      <c r="M24">
        <f/>
        <v>0</v>
      </c>
      <c r="N24">
        <f/>
        <v>0</v>
      </c>
      <c r="O24">
        <f/>
        <v>0</v>
      </c>
      <c r="P24">
        <f/>
        <v>0</v>
      </c>
      <c r="Q24">
        <f/>
        <v>0</v>
      </c>
      <c r="R24">
        <f/>
        <v>0</v>
      </c>
    </row>
    <row r="25" spans="1:18" x14ac:dyDescent="0.25">
      <c r="E25" s="121" t="str">
        <v>Amazonia</v>
      </c>
      <c r="F25" s="174">
        <f/>
        <v>1</v>
      </c>
      <c r="G25">
        <f/>
        <v>1</v>
      </c>
      <c r="H25">
        <f/>
        <v>0</v>
      </c>
      <c r="I25">
        <f/>
        <v>0</v>
      </c>
      <c r="J25">
        <f/>
        <v>0</v>
      </c>
      <c r="K25">
        <f/>
        <v>0</v>
      </c>
      <c r="L25">
        <f/>
        <v>0</v>
      </c>
      <c r="M25">
        <f/>
        <v>0</v>
      </c>
      <c r="N25">
        <f/>
        <v>0</v>
      </c>
      <c r="O25">
        <f/>
        <v>0</v>
      </c>
      <c r="P25">
        <f/>
        <v>0</v>
      </c>
      <c r="Q25">
        <f/>
        <v>0</v>
      </c>
      <c r="R25">
        <f/>
        <v>0</v>
      </c>
    </row>
    <row r="26" spans="1:18" ht="21" thickBot="1" x14ac:dyDescent="0.35">
      <c r="A26" s="271" t="s">
        <v>416</v>
      </c>
      <c r="B26" s="272"/>
      <c r="E26" s="203" t="s">
        <v>63</v>
      </c>
      <c r="F26" s="171">
        <f>SUM(_xlfn.ANCHORARRAY(G26))</f>
        <v>5</v>
      </c>
      <c r="G26" s="253" cm="1">
        <f t="array" ref="G26:R26">nabla.e.SumColsλ(_xlfn.ANCHORARRAY(G21))</f>
        <v>1</v>
      </c>
      <c r="H26" s="171">
        <f/>
        <v>2</v>
      </c>
      <c r="I26" s="171">
        <f/>
        <v>1</v>
      </c>
      <c r="J26" s="171">
        <f/>
        <v>0</v>
      </c>
      <c r="K26" s="171">
        <f/>
        <v>0</v>
      </c>
      <c r="L26" s="171">
        <f/>
        <v>0</v>
      </c>
      <c r="M26" s="171">
        <f/>
        <v>0</v>
      </c>
      <c r="N26" s="171">
        <f/>
        <v>0</v>
      </c>
      <c r="O26" s="171">
        <f/>
        <v>0</v>
      </c>
      <c r="P26" s="171">
        <f/>
        <v>0</v>
      </c>
      <c r="Q26" s="171">
        <f/>
        <v>1</v>
      </c>
      <c r="R26" s="171">
        <f/>
        <v>0</v>
      </c>
    </row>
    <row r="27" spans="1:18" ht="15.75" thickTop="1" x14ac:dyDescent="0.25"/>
    <row r="28" spans="1:18" x14ac:dyDescent="0.25">
      <c r="A28" t="s">
        <v>264</v>
      </c>
      <c r="B28" t="s">
        <v>416</v>
      </c>
    </row>
    <row r="29" spans="1:18" x14ac:dyDescent="0.25">
      <c r="A29" s="121" t="str">
        <f>E21</f>
        <v>ACME</v>
      </c>
      <c r="B29" s="141" cm="1">
        <f t="array" ref="B29">$B$21 + 30 * (ROW() - ROW(tblOnBoarding[#Headers]))</f>
        <v>45990</v>
      </c>
    </row>
    <row r="30" spans="1:18" x14ac:dyDescent="0.25">
      <c r="A30" s="121" t="str">
        <f t="shared" ref="A30:A33" si="0">E22</f>
        <v>Wool*Art</v>
      </c>
      <c r="B30" s="141" cm="1">
        <f t="array" ref="B30">$B$21 + 30 * (ROW() - ROW(tblOnBoarding[#Headers]))</f>
        <v>49231</v>
      </c>
    </row>
    <row r="31" spans="1:18" x14ac:dyDescent="0.25">
      <c r="A31" s="121" t="str">
        <f t="shared" si="0"/>
        <v>Town Hall</v>
      </c>
      <c r="B31" s="141" cm="1">
        <f t="array" ref="B31">$B$21 + 30 * (ROW() - ROW(tblOnBoarding[#Headers]))</f>
        <v>46281</v>
      </c>
    </row>
    <row r="32" spans="1:18" x14ac:dyDescent="0.25">
      <c r="A32" s="121" t="str">
        <f t="shared" si="0"/>
        <v>Jacqie Penee</v>
      </c>
      <c r="B32" s="141" cm="1">
        <f t="array" ref="B32">$B$21 + 30 * (ROW() - ROW(tblOnBoarding[#Headers]))</f>
        <v>45861</v>
      </c>
    </row>
    <row r="33" spans="1:2" x14ac:dyDescent="0.25">
      <c r="A33" s="121" t="str">
        <f t="shared" si="0"/>
        <v>Amazonia</v>
      </c>
      <c r="B33" s="141" cm="1">
        <f t="array" ref="B33">$B$21 + 30 * (ROW() - ROW(tblOnBoarding[#Headers]))</f>
        <v>45375</v>
      </c>
    </row>
  </sheetData>
  <mergeCells count="4">
    <mergeCell ref="A1:K1"/>
    <mergeCell ref="A2:Q2"/>
    <mergeCell ref="A18:C18"/>
    <mergeCell ref="A26:B26"/>
  </mergeCells>
  <hyperlinks>
    <hyperlink ref="A1" location="'TOC'!$A$1" display="'TOC'!$A$1" xr:uid="{DB8EA290-CB0D-48A7-A88E-E0D4BAAA72A3}"/>
  </hyperlinks>
  <pageMargins left="0.7" right="0.7" top="0.75" bottom="0.75" header="0.3" footer="0.3"/>
  <drawing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54C0-12AC-4252-AACA-11F242440273}">
  <sheetPr>
    <tabColor rgb="FF2E75B6"/>
  </sheetPr>
  <dimension ref="A1:R23"/>
  <sheetViews>
    <sheetView showGridLines="0" workbookViewId="0">
      <selection activeCell="A1" sqref="A1"/>
    </sheetView>
  </sheetViews>
  <sheetFormatPr defaultRowHeight="15" x14ac:dyDescent="0.25"/>
  <cols>
    <col min="1" max="1" width="12.7109375" bestFit="1" customWidth="1"/>
    <col min="2" max="2" width="12.85546875" customWidth="1"/>
    <col min="3" max="3" width="8.5703125" bestFit="1" customWidth="1"/>
    <col min="4" max="4" width="4" bestFit="1" customWidth="1"/>
    <col min="5" max="5" width="22.140625" bestFit="1" customWidth="1"/>
    <col min="6" max="6" width="17.28515625" bestFit="1" customWidth="1"/>
    <col min="7" max="18" width="11.42578125" bestFit="1" customWidth="1"/>
  </cols>
  <sheetData>
    <row r="1" spans="1:18" ht="45.75" x14ac:dyDescent="0.65">
      <c r="A1" s="270" t="str">
        <f>_xlfn.TEXTAFTER(CELL("filename",A1),"]")</f>
        <v>nabla.e.RangeToDAλ</v>
      </c>
      <c r="B1" s="270"/>
      <c r="C1" s="270"/>
      <c r="D1" s="270"/>
      <c r="E1" s="270"/>
      <c r="F1" s="270"/>
      <c r="G1" s="270"/>
      <c r="H1" s="270"/>
      <c r="I1" s="270"/>
      <c r="J1" s="270"/>
      <c r="K1" s="270"/>
    </row>
    <row r="2" spans="1:18" x14ac:dyDescent="0.25">
      <c r="A2" s="273" t="s">
        <v>213</v>
      </c>
      <c r="B2" s="274"/>
      <c r="C2" s="274"/>
      <c r="D2" s="274"/>
      <c r="E2" s="274"/>
      <c r="F2" s="274"/>
      <c r="G2" s="274"/>
      <c r="H2" s="274"/>
      <c r="I2" s="274"/>
      <c r="J2" s="274"/>
      <c r="K2" s="274"/>
      <c r="L2" s="274"/>
      <c r="M2" s="274"/>
      <c r="N2" s="274"/>
      <c r="O2" s="274"/>
      <c r="P2" s="274"/>
      <c r="Q2" s="274"/>
    </row>
    <row r="3" spans="1:18" x14ac:dyDescent="0.25">
      <c r="A3" s="104"/>
      <c r="B3" s="104"/>
      <c r="C3" s="104"/>
      <c r="D3" s="104"/>
      <c r="E3" s="104"/>
      <c r="F3" s="104"/>
      <c r="G3" s="104"/>
      <c r="H3" s="104"/>
      <c r="I3" s="104"/>
      <c r="J3" s="104"/>
      <c r="K3" s="104"/>
    </row>
    <row r="4" spans="1:18" x14ac:dyDescent="0.25">
      <c r="A4" s="162" t="str" cm="1">
        <f t="array" ref="A4:B12">nabla.e.RangeToDAλ()</f>
        <v>FUNCTION:</v>
      </c>
      <c r="B4" t="str">
        <f/>
        <v>RangeToDAλ(Range, [Rows], [Columns])</v>
      </c>
    </row>
    <row r="5" spans="1:18" x14ac:dyDescent="0.25">
      <c r="A5" t="str">
        <f/>
        <v>DESCRIPTION:</v>
      </c>
      <c r="B5" t="str">
        <f/>
        <v>Convert a range reference to a dynamic array reference.</v>
      </c>
    </row>
    <row r="6" spans="1:18" x14ac:dyDescent="0.25">
      <c r="A6" t="str">
        <f/>
        <v>WEBSITE:</v>
      </c>
      <c r="B6" t="str">
        <f/>
        <v>Coming soon</v>
      </c>
    </row>
    <row r="7" spans="1:18" x14ac:dyDescent="0.25">
      <c r="A7" t="str">
        <f/>
        <v>PARAMETERS:</v>
      </c>
      <c r="B7" t="str">
        <f/>
        <v/>
      </c>
    </row>
    <row r="8" spans="1:18" x14ac:dyDescent="0.25">
      <c r="A8" t="str">
        <f/>
        <v>Range</v>
      </c>
      <c r="B8" t="str">
        <f/>
        <v>(Required) A reference to the range to be converted.</v>
      </c>
    </row>
    <row r="9" spans="1:18" x14ac:dyDescent="0.25">
      <c r="A9" t="str">
        <f/>
        <v>Rows</v>
      </c>
      <c r="B9" t="str">
        <f/>
        <v>(Optional) Number of rows for the dynamic array. Defaults to 1.</v>
      </c>
    </row>
    <row r="10" spans="1:18" x14ac:dyDescent="0.25">
      <c r="A10" t="str">
        <f/>
        <v>Columns</v>
      </c>
      <c r="B10" t="str">
        <f/>
        <v>(Optional) Number of columns for the dynamic array. Defaults to 1.</v>
      </c>
    </row>
    <row r="11" spans="1:18" x14ac:dyDescent="0.25">
      <c r="A11" t="str">
        <f/>
        <v/>
      </c>
      <c r="B11" t="str">
        <f/>
        <v/>
      </c>
    </row>
    <row r="12" spans="1:18" x14ac:dyDescent="0.25">
      <c r="A12" t="str">
        <f/>
        <v>EXAMPLES:</v>
      </c>
      <c r="B12" t="str">
        <f/>
        <v>=RangeToDAλ(A1, , ModelPeriodCount)</v>
      </c>
    </row>
    <row r="14" spans="1:18" x14ac:dyDescent="0.25">
      <c r="F14" s="155" t="s">
        <v>417</v>
      </c>
      <c r="G14" s="156" cm="1">
        <f t="array" ref="G14:R14">nabla.d.Timelineλ($B$21,$B$22,$B$23)</f>
        <v>45292</v>
      </c>
      <c r="H14" s="1">
        <v>46388</v>
      </c>
      <c r="I14" s="1">
        <v>46753</v>
      </c>
      <c r="J14" s="1">
        <v>47119</v>
      </c>
      <c r="K14" s="1">
        <v>47484</v>
      </c>
      <c r="L14" s="1">
        <v>47849</v>
      </c>
      <c r="M14" s="1">
        <v>48214</v>
      </c>
      <c r="N14" s="1">
        <v>48580</v>
      </c>
      <c r="O14" s="1">
        <v>48945</v>
      </c>
      <c r="P14" s="1">
        <v>49310</v>
      </c>
      <c r="Q14" s="1">
        <v>49675</v>
      </c>
      <c r="R14" s="1">
        <v>50041</v>
      </c>
    </row>
    <row r="15" spans="1:18" x14ac:dyDescent="0.25">
      <c r="F15" t="s">
        <v>418</v>
      </c>
      <c r="G15" s="254">
        <v>3.5000000000000003E-2</v>
      </c>
      <c r="H15" s="254">
        <v>3.2500000000000001E-2</v>
      </c>
      <c r="I15" s="254">
        <v>0.03</v>
      </c>
      <c r="J15" s="254">
        <v>2.75E-2</v>
      </c>
      <c r="K15" s="254">
        <v>2.5000000000000001E-2</v>
      </c>
      <c r="L15" s="254">
        <v>2.5000000000000001E-2</v>
      </c>
      <c r="M15" s="254">
        <v>2.5000000000000001E-2</v>
      </c>
      <c r="N15" s="254">
        <v>2.5000000000000001E-2</v>
      </c>
      <c r="O15" s="254">
        <v>2.75E-2</v>
      </c>
      <c r="P15" s="202"/>
      <c r="Q15" s="202"/>
      <c r="R15" s="202"/>
    </row>
    <row r="16" spans="1:18" x14ac:dyDescent="0.25">
      <c r="F16" t="s">
        <v>419</v>
      </c>
      <c r="G16" s="254">
        <v>0.03</v>
      </c>
      <c r="H16" s="254">
        <v>3.2000000000000001E-2</v>
      </c>
      <c r="I16" s="254">
        <v>3.3000000000000002E-2</v>
      </c>
      <c r="J16" s="254">
        <v>0.04</v>
      </c>
      <c r="K16" s="254">
        <v>0.05</v>
      </c>
      <c r="L16" s="254">
        <v>0.06</v>
      </c>
      <c r="M16" s="254">
        <v>6.5000000000000002E-2</v>
      </c>
      <c r="N16" s="254">
        <v>6.5000000000000002E-2</v>
      </c>
      <c r="O16" s="254">
        <v>7.0000000000000007E-2</v>
      </c>
      <c r="P16" s="202"/>
      <c r="Q16" s="202"/>
      <c r="R16" s="202"/>
    </row>
    <row r="18" spans="1:18" ht="20.25" x14ac:dyDescent="0.3">
      <c r="A18" s="302" t="s">
        <v>272</v>
      </c>
      <c r="B18" s="302"/>
      <c r="C18" s="302"/>
    </row>
    <row r="19" spans="1:18" x14ac:dyDescent="0.25">
      <c r="F19" s="191" t="s">
        <v>415</v>
      </c>
      <c r="G19" s="252" cm="1">
        <f t="array" ref="G19:R19">nabla.d.Timelineλ($B$21,$B$22,$B$23, FALSE)</f>
        <v>45657</v>
      </c>
      <c r="H19" s="252">
        <v>46752</v>
      </c>
      <c r="I19" s="252">
        <v>47118</v>
      </c>
      <c r="J19" s="252">
        <v>47483</v>
      </c>
      <c r="K19" s="252">
        <v>47848</v>
      </c>
      <c r="L19" s="252">
        <v>48213</v>
      </c>
      <c r="M19" s="252">
        <v>48579</v>
      </c>
      <c r="N19" s="252">
        <v>48944</v>
      </c>
      <c r="O19" s="252">
        <v>49309</v>
      </c>
      <c r="P19" s="252">
        <v>49674</v>
      </c>
      <c r="Q19" s="252">
        <v>50040</v>
      </c>
      <c r="R19" s="252">
        <v>50405</v>
      </c>
    </row>
    <row r="20" spans="1:18" x14ac:dyDescent="0.25">
      <c r="A20" s="161" t="s">
        <v>273</v>
      </c>
      <c r="B20" s="161" t="s">
        <v>138</v>
      </c>
      <c r="C20" s="161" t="s">
        <v>139</v>
      </c>
      <c r="E20" s="190" t="s">
        <v>131</v>
      </c>
      <c r="F20" s="155" t="s">
        <v>276</v>
      </c>
      <c r="G20" s="156" cm="1">
        <f t="array" ref="G20:R20">nabla.d.Timelineλ($B$21,$B$22,$B$23)</f>
        <v>45292</v>
      </c>
      <c r="H20" s="1">
        <v>46388</v>
      </c>
      <c r="I20" s="1">
        <v>46753</v>
      </c>
      <c r="J20" s="1">
        <v>47119</v>
      </c>
      <c r="K20" s="1">
        <v>47484</v>
      </c>
      <c r="L20" s="1">
        <v>47849</v>
      </c>
      <c r="M20" s="1">
        <v>48214</v>
      </c>
      <c r="N20" s="1">
        <v>48580</v>
      </c>
      <c r="O20" s="1">
        <v>48945</v>
      </c>
      <c r="P20" s="1">
        <v>49310</v>
      </c>
      <c r="Q20" s="1">
        <v>49675</v>
      </c>
      <c r="R20" s="1">
        <v>50041</v>
      </c>
    </row>
    <row r="21" spans="1:18" x14ac:dyDescent="0.25">
      <c r="A21" t="s">
        <v>236</v>
      </c>
      <c r="B21" s="141">
        <v>46023</v>
      </c>
      <c r="C21" t="s">
        <v>145</v>
      </c>
      <c r="E21" t="s">
        <v>418</v>
      </c>
      <c r="F21" s="174" cm="1">
        <f t="array" ref="F21">nabla.e.SumRowsλ(_xlfn.ANCHORARRAY(G21))</f>
        <v>0.2525</v>
      </c>
      <c r="G21" s="256" cm="1">
        <f t="array" ref="G21:R21">nabla.e.RangeToDAλ(G15, ,COLUMNS(_xlfn.ANCHORARRAY($G$14)))</f>
        <v>3.5000000000000003E-2</v>
      </c>
      <c r="H21" s="255">
        <f/>
        <v>3.2500000000000001E-2</v>
      </c>
      <c r="I21" s="255">
        <f/>
        <v>0.03</v>
      </c>
      <c r="J21" s="255">
        <f/>
        <v>2.75E-2</v>
      </c>
      <c r="K21" s="255">
        <f/>
        <v>2.5000000000000001E-2</v>
      </c>
      <c r="L21" s="255">
        <f/>
        <v>2.5000000000000001E-2</v>
      </c>
      <c r="M21" s="255">
        <f/>
        <v>2.5000000000000001E-2</v>
      </c>
      <c r="N21" s="255">
        <f/>
        <v>2.5000000000000001E-2</v>
      </c>
      <c r="O21" s="255">
        <f/>
        <v>2.75E-2</v>
      </c>
      <c r="P21" s="255">
        <f/>
        <v>0</v>
      </c>
      <c r="Q21" s="255">
        <f/>
        <v>0</v>
      </c>
      <c r="R21" s="255">
        <f/>
        <v>0</v>
      </c>
    </row>
    <row r="22" spans="1:18" x14ac:dyDescent="0.25">
      <c r="A22" t="s">
        <v>141</v>
      </c>
      <c r="B22">
        <v>12</v>
      </c>
      <c r="C22" t="s">
        <v>146</v>
      </c>
      <c r="E22" t="s">
        <v>419</v>
      </c>
      <c r="F22" s="174"/>
      <c r="G22" s="256" cm="1">
        <f t="array" ref="G22:R22">nabla.e.RangeToDAλ(G16, ,COLUMNS(_xlfn.ANCHORARRAY($G$20)))</f>
        <v>0.03</v>
      </c>
      <c r="H22" s="255">
        <f/>
        <v>3.2000000000000001E-2</v>
      </c>
      <c r="I22" s="255">
        <f/>
        <v>3.3000000000000002E-2</v>
      </c>
      <c r="J22" s="255">
        <f/>
        <v>0.04</v>
      </c>
      <c r="K22" s="255">
        <f/>
        <v>0.05</v>
      </c>
      <c r="L22" s="255">
        <f/>
        <v>0.06</v>
      </c>
      <c r="M22" s="255">
        <f/>
        <v>6.5000000000000002E-2</v>
      </c>
      <c r="N22" s="255">
        <f/>
        <v>6.5000000000000002E-2</v>
      </c>
      <c r="O22" s="255">
        <f/>
        <v>7.0000000000000007E-2</v>
      </c>
      <c r="P22" s="255">
        <f/>
        <v>0</v>
      </c>
      <c r="Q22" s="255">
        <f/>
        <v>0</v>
      </c>
      <c r="R22" s="255">
        <f/>
        <v>0</v>
      </c>
    </row>
    <row r="23" spans="1:18" x14ac:dyDescent="0.25">
      <c r="A23" t="s">
        <v>142</v>
      </c>
      <c r="B23" t="s">
        <v>24</v>
      </c>
      <c r="E23" s="121"/>
      <c r="F23" s="174"/>
      <c r="G23" s="174"/>
    </row>
  </sheetData>
  <mergeCells count="3">
    <mergeCell ref="A1:K1"/>
    <mergeCell ref="A2:Q2"/>
    <mergeCell ref="A18:C18"/>
  </mergeCells>
  <hyperlinks>
    <hyperlink ref="A1" location="'TOC'!$A$1" display="'TOC'!$A$1" xr:uid="{6E285F4F-4C2C-4FDC-B933-2496B1C8FAAA}"/>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AD250-651F-4B19-A7B4-70A0FC1F2AFF}">
  <sheetPr>
    <tabColor rgb="FF375623"/>
  </sheetPr>
  <dimension ref="A1:K64"/>
  <sheetViews>
    <sheetView showGridLines="0" workbookViewId="0">
      <selection activeCell="A1" sqref="A1"/>
    </sheetView>
  </sheetViews>
  <sheetFormatPr defaultRowHeight="15" x14ac:dyDescent="0.25"/>
  <cols>
    <col min="1" max="1" width="17.28515625" bestFit="1" customWidth="1"/>
    <col min="2" max="2" width="43.28515625" bestFit="1" customWidth="1"/>
    <col min="4" max="4" width="26.42578125" bestFit="1" customWidth="1"/>
    <col min="5" max="5" width="158.7109375" bestFit="1" customWidth="1"/>
  </cols>
  <sheetData>
    <row r="1" spans="1:11" ht="45.75" x14ac:dyDescent="0.65">
      <c r="A1" s="270" t="str">
        <f>_xlfn.TEXTAFTER(CELL("filename",A1),"]")</f>
        <v>nabla.r.FinancialRatios</v>
      </c>
      <c r="B1" s="270"/>
      <c r="C1" s="270"/>
      <c r="D1" s="270"/>
      <c r="E1" s="270"/>
      <c r="F1" s="270"/>
      <c r="G1" s="270"/>
      <c r="H1" s="270"/>
      <c r="I1" s="270"/>
      <c r="J1" s="270"/>
      <c r="K1" s="270"/>
    </row>
    <row r="10" spans="1:11" x14ac:dyDescent="0.25">
      <c r="D10" t="s">
        <v>459</v>
      </c>
      <c r="E10" t="s">
        <v>131</v>
      </c>
    </row>
    <row r="11" spans="1:11" x14ac:dyDescent="0.25">
      <c r="D11" t="s">
        <v>460</v>
      </c>
      <c r="E11" t="s">
        <v>461</v>
      </c>
    </row>
    <row r="12" spans="1:11" x14ac:dyDescent="0.25">
      <c r="D12" t="s">
        <v>403</v>
      </c>
      <c r="E12" t="s">
        <v>403</v>
      </c>
    </row>
    <row r="13" spans="1:11" x14ac:dyDescent="0.25">
      <c r="B13" s="2" t="s">
        <v>449</v>
      </c>
      <c r="D13" t="s">
        <v>449</v>
      </c>
      <c r="E13" t="s">
        <v>403</v>
      </c>
    </row>
    <row r="14" spans="1:11" x14ac:dyDescent="0.25">
      <c r="A14" s="269" cm="1">
        <f t="array" ref="A14">nabla.r.CurrentRatioλ( 134.836, 125.481)</f>
        <v>1.0745531195957956</v>
      </c>
      <c r="B14" t="str">
        <f t="shared" ref="B14:B20" si="0">_xlfn.FORMULATEXT(A14)</f>
        <v>=nabla.r.CurrentRatioλ( 134.836, 125.481)</v>
      </c>
      <c r="D14" t="s">
        <v>462</v>
      </c>
      <c r="E14" t="s">
        <v>463</v>
      </c>
    </row>
    <row r="15" spans="1:11" x14ac:dyDescent="0.25">
      <c r="A15" s="269" cm="1">
        <f t="array" ref="A15">nabla.r.QuickRatioλ(165000,137500)</f>
        <v>1.2</v>
      </c>
      <c r="B15" t="str">
        <f t="shared" si="0"/>
        <v>=nabla.r.QuickRatioλ(165000,137500)</v>
      </c>
      <c r="D15" t="s">
        <v>464</v>
      </c>
      <c r="E15" t="s">
        <v>465</v>
      </c>
    </row>
    <row r="16" spans="1:11" x14ac:dyDescent="0.25">
      <c r="A16" s="269" cm="1">
        <f t="array" ref="A16">nabla.r.CashRatioλ( 63900000, 123500000)</f>
        <v>0.51740890688259111</v>
      </c>
      <c r="B16" t="str">
        <f t="shared" si="0"/>
        <v>=nabla.r.CashRatioλ( 63900000, 123500000)</v>
      </c>
      <c r="D16" t="s">
        <v>466</v>
      </c>
      <c r="E16" t="s">
        <v>467</v>
      </c>
    </row>
    <row r="17" spans="1:5" x14ac:dyDescent="0.25">
      <c r="A17" s="269" cm="1">
        <f t="array" ref="A17">nabla.r.OperatingCashFlowRatioλ( 27.8, 77.5)</f>
        <v>0.35870967741935483</v>
      </c>
      <c r="B17" t="str">
        <f t="shared" si="0"/>
        <v>=nabla.r.OperatingCashFlowRatioλ( 27.8, 77.5)</v>
      </c>
      <c r="D17" t="s">
        <v>466</v>
      </c>
      <c r="E17" t="s">
        <v>468</v>
      </c>
    </row>
    <row r="18" spans="1:5" x14ac:dyDescent="0.25">
      <c r="A18" s="269" cm="1">
        <f t="array" ref="A18">nabla.r.ReceivablesTurnoverRatioλ( 800000, 68000 )</f>
        <v>11.764705882352942</v>
      </c>
      <c r="B18" t="str">
        <f t="shared" si="0"/>
        <v>=nabla.r.ReceivablesTurnoverRatioλ( 800000, 68000 )</v>
      </c>
      <c r="D18" t="s">
        <v>469</v>
      </c>
      <c r="E18" t="s">
        <v>470</v>
      </c>
    </row>
    <row r="19" spans="1:5" x14ac:dyDescent="0.25">
      <c r="A19" s="269" cm="1">
        <f t="array" ref="A19">nabla.r.InventoryTurnoverRatioλ( 429, 50.7)</f>
        <v>8.4615384615384617</v>
      </c>
      <c r="B19" t="str">
        <f t="shared" si="0"/>
        <v>=nabla.r.InventoryTurnoverRatioλ( 429, 50.7)</v>
      </c>
      <c r="D19" t="s">
        <v>471</v>
      </c>
      <c r="E19" t="s">
        <v>472</v>
      </c>
    </row>
    <row r="20" spans="1:5" x14ac:dyDescent="0.25">
      <c r="A20" s="269" cm="1">
        <f t="array" ref="A20">nabla.r.WorkingCapitalTurnoverRatioλ( 12, 2)</f>
        <v>6</v>
      </c>
      <c r="B20" t="str">
        <f t="shared" si="0"/>
        <v>=nabla.r.WorkingCapitalTurnoverRatioλ( 12, 2)</v>
      </c>
      <c r="D20" t="s">
        <v>473</v>
      </c>
      <c r="E20" t="s">
        <v>474</v>
      </c>
    </row>
    <row r="21" spans="1:5" x14ac:dyDescent="0.25">
      <c r="A21" s="269"/>
      <c r="D21" t="s">
        <v>403</v>
      </c>
      <c r="E21" t="s">
        <v>403</v>
      </c>
    </row>
    <row r="22" spans="1:5" x14ac:dyDescent="0.25">
      <c r="A22" s="269"/>
      <c r="B22" s="2" t="s">
        <v>450</v>
      </c>
      <c r="D22" t="s">
        <v>450</v>
      </c>
      <c r="E22" t="s">
        <v>403</v>
      </c>
    </row>
    <row r="23" spans="1:5" x14ac:dyDescent="0.25">
      <c r="A23" s="269" cm="1">
        <f t="array" ref="A23">nabla.r.DebtRatioλ(30000000, 100000000)</f>
        <v>0.3</v>
      </c>
      <c r="B23" t="str">
        <f>_xlfn.FORMULATEXT(A23)</f>
        <v>=nabla.r.DebtRatioλ(30000000, 100000000)</v>
      </c>
      <c r="D23" t="s">
        <v>475</v>
      </c>
      <c r="E23" t="s">
        <v>476</v>
      </c>
    </row>
    <row r="24" spans="1:5" x14ac:dyDescent="0.25">
      <c r="A24" s="269" cm="1">
        <f t="array" ref="A24">nabla.r.DSCRλ(2150000, 350000)</f>
        <v>6.1428571428571432</v>
      </c>
      <c r="B24" t="str">
        <f>_xlfn.FORMULATEXT(A24)</f>
        <v>=nabla.r.DSCRλ(2150000, 350000)</v>
      </c>
      <c r="D24" t="s">
        <v>477</v>
      </c>
      <c r="E24" t="s">
        <v>478</v>
      </c>
    </row>
    <row r="25" spans="1:5" x14ac:dyDescent="0.25">
      <c r="A25" s="269" cm="1">
        <f t="array" ref="A25">nabla.r.DebtToCapitalRatioλ( 80000000, 223000000 )</f>
        <v>0.264026402640264</v>
      </c>
      <c r="B25" t="str">
        <f>_xlfn.FORMULATEXT(A25)</f>
        <v>=nabla.r.DebtToCapitalRatioλ( 80000000, 223000000 )</v>
      </c>
      <c r="D25" t="s">
        <v>479</v>
      </c>
      <c r="E25" t="s">
        <v>480</v>
      </c>
    </row>
    <row r="26" spans="1:5" x14ac:dyDescent="0.25">
      <c r="A26" s="198" cm="1">
        <f t="array" ref="A26">nabla.r.EquityMultiplierλ(366.6, 83.2 )</f>
        <v>4.40625</v>
      </c>
      <c r="B26" t="str">
        <f>_xlfn.FORMULATEXT(A26)</f>
        <v>=nabla.r.EquityMultiplierλ(366.6, 83.2 )</v>
      </c>
      <c r="D26" t="s">
        <v>481</v>
      </c>
      <c r="E26" t="s">
        <v>482</v>
      </c>
    </row>
    <row r="27" spans="1:5" x14ac:dyDescent="0.25">
      <c r="D27" t="s">
        <v>403</v>
      </c>
      <c r="E27" t="s">
        <v>403</v>
      </c>
    </row>
    <row r="28" spans="1:5" x14ac:dyDescent="0.25">
      <c r="B28" s="2" t="s">
        <v>451</v>
      </c>
      <c r="D28" t="s">
        <v>451</v>
      </c>
      <c r="E28" t="s">
        <v>403</v>
      </c>
    </row>
    <row r="29" spans="1:5" x14ac:dyDescent="0.25">
      <c r="A29" s="269" cm="1">
        <f t="array" ref="A29">nabla.r.DebtToEquityRatioλ(279, 74 )</f>
        <v>3.7702702702702702</v>
      </c>
      <c r="B29" t="str">
        <f>_xlfn.FORMULATEXT(A29)</f>
        <v>=nabla.r.DebtToEquityRatioλ(279, 74 )</v>
      </c>
      <c r="D29" t="s">
        <v>483</v>
      </c>
      <c r="E29" t="s">
        <v>484</v>
      </c>
    </row>
    <row r="30" spans="1:5" x14ac:dyDescent="0.25">
      <c r="A30" s="269" cm="1">
        <f t="array" ref="A30">nabla.r.DebtToAssetRatioλ(31.845, 63.852 )</f>
        <v>0.4987314414583725</v>
      </c>
      <c r="B30" t="str">
        <f t="shared" ref="B30:B32" si="1">_xlfn.FORMULATEXT(A30)</f>
        <v>=nabla.r.DebtToAssetRatioλ(31.845, 63.852 )</v>
      </c>
      <c r="D30" t="s">
        <v>485</v>
      </c>
      <c r="E30" t="s">
        <v>486</v>
      </c>
    </row>
    <row r="31" spans="1:5" x14ac:dyDescent="0.25">
      <c r="A31" s="269" cm="1">
        <f t="array" ref="A31">nabla.r.InterestCoverageRatioλ( 625, 90 )</f>
        <v>6.9444444444444446</v>
      </c>
      <c r="B31" t="str">
        <f t="shared" si="1"/>
        <v>=nabla.r.InterestCoverageRatioλ( 625, 90 )</v>
      </c>
      <c r="D31" t="s">
        <v>487</v>
      </c>
      <c r="E31" t="s">
        <v>488</v>
      </c>
    </row>
    <row r="32" spans="1:5" x14ac:dyDescent="0.25">
      <c r="A32" s="269" cm="1">
        <f t="array" ref="A32">nabla.r.EquityRatioλ( 20, 60, 10 )</f>
        <v>0.4</v>
      </c>
      <c r="B32" t="str">
        <f t="shared" si="1"/>
        <v>=nabla.r.EquityRatioλ( 20, 60, 10 )</v>
      </c>
      <c r="D32" t="s">
        <v>489</v>
      </c>
      <c r="E32" t="s">
        <v>490</v>
      </c>
    </row>
    <row r="33" spans="1:5" x14ac:dyDescent="0.25">
      <c r="A33" s="269"/>
      <c r="D33" t="s">
        <v>403</v>
      </c>
      <c r="E33" t="s">
        <v>403</v>
      </c>
    </row>
    <row r="34" spans="1:5" x14ac:dyDescent="0.25">
      <c r="A34" s="269"/>
      <c r="B34" s="2" t="s">
        <v>452</v>
      </c>
      <c r="D34" t="s">
        <v>452</v>
      </c>
      <c r="E34" t="s">
        <v>403</v>
      </c>
    </row>
    <row r="35" spans="1:5" x14ac:dyDescent="0.25">
      <c r="A35" s="269" cm="1">
        <f t="array" ref="A35">nabla.r.AssetTurnoverRatioλ( 171760, 538715 )</f>
        <v>0.31883277799949883</v>
      </c>
      <c r="B35" t="str">
        <f t="shared" ref="B35:B37" si="2">_xlfn.FORMULATEXT(A35)</f>
        <v>=nabla.r.AssetTurnoverRatioλ( 171760, 538715 )</v>
      </c>
      <c r="D35" t="s">
        <v>491</v>
      </c>
      <c r="E35" t="s">
        <v>492</v>
      </c>
    </row>
    <row r="36" spans="1:5" x14ac:dyDescent="0.25">
      <c r="A36" s="269" cm="1">
        <f t="array" ref="A36">nabla.r.DSIλ(54.9, 490 )</f>
        <v>40.894897959183673</v>
      </c>
      <c r="B36" t="str">
        <f t="shared" si="2"/>
        <v>=nabla.r.DSIλ(54.9, 490 )</v>
      </c>
      <c r="D36" t="s">
        <v>493</v>
      </c>
      <c r="E36" t="s">
        <v>494</v>
      </c>
    </row>
    <row r="37" spans="1:5" x14ac:dyDescent="0.25">
      <c r="A37" s="269" cm="1">
        <f t="array" ref="A37">nabla.r.OperatingRatioλ( 14.37, 48.48, 90.75 )</f>
        <v>0.69256198347107434</v>
      </c>
      <c r="B37" t="str">
        <f t="shared" si="2"/>
        <v>=nabla.r.OperatingRatioλ( 14.37, 48.48, 90.75 )</v>
      </c>
      <c r="D37" t="s">
        <v>495</v>
      </c>
      <c r="E37" t="s">
        <v>496</v>
      </c>
    </row>
    <row r="38" spans="1:5" x14ac:dyDescent="0.25">
      <c r="A38" s="269"/>
      <c r="D38" t="s">
        <v>403</v>
      </c>
      <c r="E38" t="s">
        <v>403</v>
      </c>
    </row>
    <row r="39" spans="1:5" x14ac:dyDescent="0.25">
      <c r="A39" s="269"/>
      <c r="B39" s="2" t="s">
        <v>453</v>
      </c>
      <c r="D39" t="s">
        <v>453</v>
      </c>
      <c r="E39" t="s">
        <v>403</v>
      </c>
    </row>
    <row r="40" spans="1:5" x14ac:dyDescent="0.25">
      <c r="A40" s="269" cm="1">
        <f t="array" ref="A40">nabla.r.GrossMarginλ( 62984, 102007 )</f>
        <v>0.61744782220827987</v>
      </c>
      <c r="B40" t="str">
        <f t="shared" ref="B40:B46" si="3">_xlfn.FORMULATEXT(A40)</f>
        <v>=nabla.r.GrossMarginλ( 62984, 102007 )</v>
      </c>
      <c r="D40" t="s">
        <v>497</v>
      </c>
      <c r="E40" t="s">
        <v>498</v>
      </c>
    </row>
    <row r="41" spans="1:5" x14ac:dyDescent="0.25">
      <c r="A41" s="269" cm="1">
        <f t="array" ref="A41">nabla.r.EBITDAMarginλ( 15, 125 )</f>
        <v>0.12</v>
      </c>
      <c r="B41" t="str">
        <f t="shared" si="3"/>
        <v>=nabla.r.EBITDAMarginλ( 15, 125 )</v>
      </c>
      <c r="D41" t="s">
        <v>499</v>
      </c>
      <c r="E41" t="s">
        <v>500</v>
      </c>
    </row>
    <row r="42" spans="1:5" x14ac:dyDescent="0.25">
      <c r="A42" s="198" cm="1">
        <f t="array" ref="A42">nabla.r.OperatingMarginλ( 0.8, 2 )</f>
        <v>0.4</v>
      </c>
      <c r="B42" t="str">
        <f t="shared" si="3"/>
        <v>=nabla.r.OperatingMarginλ( 0.8, 2 )</v>
      </c>
      <c r="D42" t="s">
        <v>501</v>
      </c>
      <c r="E42" t="s">
        <v>502</v>
      </c>
    </row>
    <row r="43" spans="1:5" x14ac:dyDescent="0.25">
      <c r="A43" s="198" cm="1">
        <f t="array" ref="A43">nabla.r.PretaxMarginλ( 40, 500 )</f>
        <v>0.08</v>
      </c>
      <c r="B43" t="str">
        <f t="shared" si="3"/>
        <v>=nabla.r.PretaxMarginλ( 40, 500 )</v>
      </c>
      <c r="D43" t="s">
        <v>503</v>
      </c>
      <c r="E43" t="s">
        <v>504</v>
      </c>
    </row>
    <row r="44" spans="1:5" x14ac:dyDescent="0.25">
      <c r="A44" s="198" cm="1">
        <f t="array" ref="A44">nabla.r.NetProfitMarginλ( 56, 100 )</f>
        <v>0.56000000000000005</v>
      </c>
      <c r="B44" t="str">
        <f t="shared" si="3"/>
        <v>=nabla.r.NetProfitMarginλ( 56, 100 )</v>
      </c>
      <c r="D44" t="s">
        <v>505</v>
      </c>
      <c r="E44" t="s">
        <v>506</v>
      </c>
    </row>
    <row r="45" spans="1:5" x14ac:dyDescent="0.25">
      <c r="A45" s="198" cm="1">
        <f t="array" ref="A45">nabla.r.CashFlowMarginλ( 2.695, 5.3 )</f>
        <v>0.50849056603773579</v>
      </c>
      <c r="B45" t="str">
        <f t="shared" si="3"/>
        <v>=nabla.r.CashFlowMarginλ( 2.695, 5.3 )</v>
      </c>
      <c r="D45" t="s">
        <v>507</v>
      </c>
      <c r="E45" t="s">
        <v>508</v>
      </c>
    </row>
    <row r="46" spans="1:5" x14ac:dyDescent="0.25">
      <c r="A46" s="198" cm="1">
        <f t="array" ref="A46">nabla.r.ROAλ(1200, 15000 )</f>
        <v>0.08</v>
      </c>
      <c r="B46" t="str">
        <f t="shared" si="3"/>
        <v>=nabla.r.ROAλ(1200, 15000 )</v>
      </c>
      <c r="D46" t="s">
        <v>509</v>
      </c>
      <c r="E46" t="s">
        <v>510</v>
      </c>
    </row>
    <row r="47" spans="1:5" x14ac:dyDescent="0.25">
      <c r="A47" s="198" cm="1">
        <f t="array" ref="A47">nabla.r.ROEλ( 59.972, AVERAGE(251.635, 256.144) )</f>
        <v>0.23621299817440264</v>
      </c>
      <c r="B47" t="str">
        <f>_xlfn.FORMULATEXT(A47)</f>
        <v>=nabla.r.ROEλ( 59.972, AVERAGE(251.635, 256.144) )</v>
      </c>
      <c r="D47" t="s">
        <v>511</v>
      </c>
      <c r="E47" t="s">
        <v>512</v>
      </c>
    </row>
    <row r="48" spans="1:5" x14ac:dyDescent="0.25">
      <c r="A48" s="198" cm="1">
        <f t="array" ref="A48">nabla.r.ROIλ( 2875, 10000 )</f>
        <v>0.28749999999999998</v>
      </c>
      <c r="B48" t="str">
        <f>_xlfn.FORMULATEXT(A48)</f>
        <v>=nabla.r.ROIλ( 2875, 10000 )</v>
      </c>
      <c r="D48" t="s">
        <v>513</v>
      </c>
      <c r="E48" t="s">
        <v>514</v>
      </c>
    </row>
    <row r="49" spans="1:5" x14ac:dyDescent="0.25">
      <c r="A49" s="198" cm="1">
        <f t="array" ref="A49">nabla.r.ROICλ( 3245, 25729 )</f>
        <v>0.12612227447627192</v>
      </c>
      <c r="B49" t="str">
        <f>_xlfn.FORMULATEXT(A49)</f>
        <v>=nabla.r.ROICλ( 3245, 25729 )</v>
      </c>
      <c r="D49" t="s">
        <v>515</v>
      </c>
      <c r="E49" t="s">
        <v>516</v>
      </c>
    </row>
    <row r="50" spans="1:5" x14ac:dyDescent="0.25">
      <c r="A50" s="198"/>
      <c r="D50" t="s">
        <v>403</v>
      </c>
      <c r="E50" t="s">
        <v>403</v>
      </c>
    </row>
    <row r="51" spans="1:5" x14ac:dyDescent="0.25">
      <c r="B51" s="2" t="s">
        <v>454</v>
      </c>
      <c r="D51" t="s">
        <v>454</v>
      </c>
      <c r="E51" t="s">
        <v>403</v>
      </c>
    </row>
    <row r="52" spans="1:5" x14ac:dyDescent="0.25">
      <c r="A52" s="269" cm="1">
        <f t="array" ref="A52">nabla.r.PriceEarningsRatioλ( 242.62, 16.85)</f>
        <v>14.39881305637982</v>
      </c>
      <c r="B52" t="str">
        <f>_xlfn.FORMULATEXT(A52)</f>
        <v>=nabla.r.PriceEarningsRatioλ( 242.62, 16.85)</v>
      </c>
      <c r="D52" t="s">
        <v>517</v>
      </c>
      <c r="E52" t="s">
        <v>518</v>
      </c>
    </row>
    <row r="53" spans="1:5" x14ac:dyDescent="0.25">
      <c r="A53" s="269" cm="1">
        <f t="array" ref="A53">nabla.r.PriceToBookRatioλ( 5, 2.5 )</f>
        <v>2</v>
      </c>
      <c r="B53" t="str">
        <f>_xlfn.FORMULATEXT(A53)</f>
        <v>=nabla.r.PriceToBookRatioλ( 5, 2.5 )</v>
      </c>
      <c r="D53" t="s">
        <v>519</v>
      </c>
      <c r="E53" t="s">
        <v>520</v>
      </c>
    </row>
    <row r="54" spans="1:5" x14ac:dyDescent="0.25">
      <c r="A54" s="269" cm="1">
        <f t="array" ref="A54">nabla.r.PriceToSalesRatioλ( 455, 100 )</f>
        <v>4.55</v>
      </c>
      <c r="B54" t="str">
        <f>_xlfn.FORMULATEXT(A54)</f>
        <v>=nabla.r.PriceToSalesRatioλ( 455, 100 )</v>
      </c>
      <c r="D54" t="s">
        <v>521</v>
      </c>
      <c r="E54" t="s">
        <v>522</v>
      </c>
    </row>
    <row r="55" spans="1:5" x14ac:dyDescent="0.25">
      <c r="A55" s="269" cm="1">
        <f t="array" ref="A55">nabla.r.PriceToCashRatioλ( 200, 100 )</f>
        <v>2</v>
      </c>
      <c r="B55" t="str">
        <f>_xlfn.FORMULATEXT(A55)</f>
        <v>=nabla.r.PriceToCashRatioλ( 200, 100 )</v>
      </c>
      <c r="D55" t="s">
        <v>523</v>
      </c>
      <c r="E55" t="s">
        <v>524</v>
      </c>
    </row>
    <row r="56" spans="1:5" x14ac:dyDescent="0.25">
      <c r="A56" s="268" cm="1">
        <f t="array" ref="A56">nabla.r.BVPSλ(20, 5, AVERAGE( 2.9, 3.1) )</f>
        <v>5</v>
      </c>
      <c r="B56" t="str">
        <f t="shared" ref="B56:B58" si="4">_xlfn.FORMULATEXT(A56)</f>
        <v>=nabla.r.BVPSλ(20, 5, AVERAGE( 2.9, 3.1) )</v>
      </c>
      <c r="D56" t="s">
        <v>525</v>
      </c>
      <c r="E56" t="s">
        <v>526</v>
      </c>
    </row>
    <row r="57" spans="1:5" x14ac:dyDescent="0.25">
      <c r="A57" s="269" cm="1">
        <f t="array" ref="A57">nabla.r.CAPERatioλ( 100, 10  )</f>
        <v>10</v>
      </c>
      <c r="B57" t="str">
        <f t="shared" si="4"/>
        <v>=nabla.r.CAPERatioλ( 100, 10  )</v>
      </c>
      <c r="D57" t="s">
        <v>527</v>
      </c>
      <c r="E57" t="s">
        <v>528</v>
      </c>
    </row>
    <row r="58" spans="1:5" x14ac:dyDescent="0.25">
      <c r="A58" s="269" cm="1">
        <f t="array" ref="A58">nabla.r.DPRλ( 5, 20 )</f>
        <v>0.25</v>
      </c>
      <c r="B58" t="str">
        <f t="shared" si="4"/>
        <v>=nabla.r.DPRλ( 5, 20 )</v>
      </c>
      <c r="D58" t="s">
        <v>529</v>
      </c>
      <c r="E58" t="s">
        <v>530</v>
      </c>
    </row>
    <row r="59" spans="1:5" x14ac:dyDescent="0.25">
      <c r="A59" s="269" cm="1">
        <f t="array" ref="A59">nabla.r.DividendYieldRatioλ( 1.2, 45 )</f>
        <v>2.6666666666666665E-2</v>
      </c>
      <c r="B59" t="str">
        <f>_xlfn.FORMULATEXT(A59)</f>
        <v>=nabla.r.DividendYieldRatioλ( 1.2, 45 )</v>
      </c>
      <c r="D59" t="s">
        <v>531</v>
      </c>
      <c r="E59" t="s">
        <v>532</v>
      </c>
    </row>
    <row r="60" spans="1:5" x14ac:dyDescent="0.25">
      <c r="A60" s="269" cm="1">
        <f t="array" ref="A60">nabla.r.EPSλ( 7.6, 0, 3.98 )</f>
        <v>1.9095477386934672</v>
      </c>
      <c r="B60" t="str">
        <f t="shared" ref="B60:B61" si="5">_xlfn.FORMULATEXT(A60)</f>
        <v>=nabla.r.EPSλ( 7.6, 0, 3.98 )</v>
      </c>
      <c r="D60" t="s">
        <v>533</v>
      </c>
      <c r="E60" t="s">
        <v>534</v>
      </c>
    </row>
    <row r="61" spans="1:5" x14ac:dyDescent="0.25">
      <c r="A61" s="269" cm="1">
        <f t="array" ref="A61">nabla.r.RetentionRatioλ( 41.981, 22.112)</f>
        <v>1.898561866859624</v>
      </c>
      <c r="B61" t="str">
        <f t="shared" si="5"/>
        <v>=nabla.r.RetentionRatioλ( 41.981, 22.112)</v>
      </c>
      <c r="D61" t="s">
        <v>535</v>
      </c>
      <c r="E61" t="s">
        <v>536</v>
      </c>
    </row>
    <row r="62" spans="1:5" x14ac:dyDescent="0.25">
      <c r="A62" s="198"/>
      <c r="D62" t="s">
        <v>403</v>
      </c>
      <c r="E62" t="s">
        <v>403</v>
      </c>
    </row>
    <row r="63" spans="1:5" x14ac:dyDescent="0.25">
      <c r="D63" t="s">
        <v>537</v>
      </c>
      <c r="E63" t="s">
        <v>538</v>
      </c>
    </row>
    <row r="64" spans="1:5" x14ac:dyDescent="0.25">
      <c r="D64" t="s">
        <v>403</v>
      </c>
      <c r="E64" t="s">
        <v>403</v>
      </c>
    </row>
  </sheetData>
  <mergeCells count="1">
    <mergeCell ref="A1:K1"/>
  </mergeCells>
  <hyperlinks>
    <hyperlink ref="A1" location="'TOC'!$A$1" display="'TOC'!$A$1" xr:uid="{B782A6BB-286B-46B1-81DB-8C4B9AD862B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uAGEAYgBsAGEALgBkACIALAAiAHQAZQB4AHQAIgA6ACIALwAqACAAIABNAG8AZAB1AGwAZQAgAEMAbwBuAHQAYQBpAG4AcwAgAG4AYQBiAGwAYQAgAEMAbwBtAHAAbABpAGEAbgB0ACAATABBAE0AQgBEAEEAcwAgAHQAaABhAHQAIABkAGUAYQBsACAAdwBpAHQAaAAgAGQAYQB0AGUAcwAgACoALwBcAG4AXABuAC8AKgAgACAARgBVAE4AQwBUAEkATwBOACAATgBBAE0ARQA6ACAAIABBAGIAbwB1AHQAuwNcAG4AIAAgACAAIABEAEUAUwBDAFIASQBQAFQASQBPAE4AOgAqAC8ALwAqACoARABpAHMAcABsAGEAeQBzACAAdABoAGkAcwAgAG0AbwBkAHUAbABlACcAcwAgAHIAZQBwAG8AcwBpAHQAbwByAHkAIABVAFIATAAgAGEAbgBkACAAZgB1AG4AYwB0AGkAbwBuACAAbABpAHMAdAAqAC8AXABuAEEAYgBvAHUAdAC7AyAAPQAgAFQAUgBJAE0AKABcAG4AIAAgACAAIABUAEUAWABUAFMAUABMAEkAVAAoAFwAbgAgACAAIAAgACAAIAAgACAAXAAiAEEAYgBvAHUAdAA6ACAAIAAgACAAIAAgACAAIAAgACAAIAAgACAAIAAgACAAIACSIUMAQgBTAEUAIABjAG8AbQBwAGwAaQBhAG4AdAAgAEwAQQBNAEIARABBAHMAIABkAGUAYQBsAGkAbgBnACAAdwBpAHQAaAAgAGQAYQB0AGUAcwAuACAAUwB1AGcAZwBlAHMAdABlAGQAIABtAG8AZAB1AGwAZQAgAG4AYQBtAGUAOgAgAG4AYQBiAGwAYQAuAGQAtgBcACIAIAAmAFwAbgAgACAAIAAgACAAIAAgACAAXAAiAFYAZQByAHMAaQBvAG4AOgAgACAAIAAgACAAIAAgACAAIAAgACAAIAAgACAAIACSITEAOAAgAEEAdQBnACAAMgAwADIANgC2AFwAIgAgACYAXABuACAAIAAgACAAIAAgACAAIABcACIAUgBlAHAAbwBzAGkAdABvAHIAeQA6ACAAIAAgACAAIAAgACAAIAAgACAAIAAgACAAIACSIWgAdAB0AHAAcwA6AC8ALwBnAGkAdABoAHUAYgAuAGMAbwBtAC8AcgB5AGEAbgBkAHUAZwB1AGkAZAAvAE4AYQBiAGwAYQAgALYAXAAiACAAJgBcAG4AIAAgACAAIAAgACAAIAAgAFwAIgCSIbYAXAAiACAAJgAgAFwAbgAgACAAIAAgACAAIAAgACAAXAAiAEYAdQBuAGMAdABpAG8AbgAgACAAIAAgACAAIAAgACAAIAAgACAAIAAgACAAIACSIUQAZQBzAGMAcgBpAHAAdABpAG8AbgC2AFwAIgAgACYAIABcAG4AIAAgACAAIAAgACAAIAAgAFwAIgBBAGIAbwB1AHQAuwMgACAAIAAgACAAIAAgACAAIAAgACAAIAAgACAAIAAgACAAkiFQAHIAbwBkAHUAYwBlAHMAIAB0AGgAaQBzACAAdABhAGIAbABlALYAXAAiACAAJgBcAG4AIAAgACAAIAAgACAAIAAgAFwAIgBDAG8AdQBuAHQARABPAFcAuwMgACAAIAAgACAAIAAgACAAIAAgACAAIAAgACAAkiFDAG8AdQBuAHQAIABpAG4AcwB0AGEAbgBjAGUAcwAgAG8AZgAgAGEAIABzAHAAZQBjAGkAZgBpAGMAIABkAGEAeQAgAG8AZgAgAHQAaABlACAAdwBlAGUAawAgAGIAZQB0AHcAZQBlAG4AIAB0AHcAbwAgAGQAYQB0AGUAcwC2AFwAIgAgACYAXABuACAAIAAgACAAIAAgACAAIABcACIASQBzAEIAZQB0AHcAZQBlAG4AuwMgACAAIAAgACAAIAAgACAAIAAgACAAIAAgAJIhRABlAHQAZQByAG0AaQBuAGUAIABpAGYAIABhACAAdgBhAGwAdQBlACAAaQBzACAAYgBlAHQAdwBlAGUAbgAgAGEAIABsAG8AdwBlAHIAIABhAG4AZAAgAHUAcABwAGUAcgAgAGwAaQBtAGkAdAC2AFwAIgAgACYAXABuACAAIAAgACAAIAAgACAAIABcACIASQBzAE8AYwBjAHUAcgByAGUAbgBjAGUARABhAHQAZQC7AyAAIAAgACAAIAAgAJIhRABlAHQAZQByAG0AaQBuAGUAIABpAGYAIABhACAAZABhAHQAZQAgAHAAYQBzAHMAZQBkACAAaQBzACAAdwBoAGUAbgAgAGEAIABwAG8AdABlAG4AdABpAGEAbABsAHkAIAByAGUAcABlAGEAdABpAG4AZwAgAGUAdgBlAG4AdAAgAGgAYQBwAHAAZQBuAHMAtgBcACIAIAAmAFwAbgAgACAAIAAgACAAIAAgACAAXAAiAE8AdgBlAHIATABhAHAARABhAHkAcwC7AyAAIAAgACAAIAAgACAAIAAgACAAIACSIVIAZQB0AHUAcgBuACAAaABvAHcAIABtAGEAbgB5ACAAZABhAHkAcwAgAG8AdgBlAHIAbABhAHAAIAB0AHcAbwAgAHAAZQByAGkAbwBkACAAcgBhAG4AZwBlAHMALgC2AFwAIgAgACYAXABuACAAIAAgACAAIAAgACAAIABcACIAUABlAHIAaQBvAGQAcwC7AyAAIAAgACAAIAAgACAAIAAgACAAIAAgACAAIAAgAJIhRABlAHQAZQByAG0AaQBuAGUAIAB0AGgAZQAgAG4AdQBtAGIAZQByACAAbwBmACAAcABlAHIAaQBvAGQAcwAgAGYAcgBvAG0AIABTAHQAYQByAHQAcwAgAHQAbwAgAEUAbgBkAHMAIABpAG4AYwBsAHUAcwBpAHYAZQC2AFwAIgAgACYAXABuACAAIAAgACAAIAAgACAAIABcACIAUABlAHIAaQBvAGQATABhAGIAZQBsALsDIAAgACAAIAAgACAAIAAgACAAIAAgAJIhQwByAGUAYQB0AGUAcwAgAGEAIABsAGEAYgBlAGwAIABmAG8AcgAgAGEAIABkAGEAdABlACAAYgBhAHMAZQBkACAAbwBuACAAcABlAHIAaQBvAGQAIABpAG4AdABlAHIAdgBhAGwAtgBcACIAIAAmAFwAbgAgACAAIAAgACAAIAAgACAAXAAiAFMAYwBoAGUAZAB1AGwAZQBSAGEAdABlAHMAuwMgACAAIAAgACAAIAAgACAAIACSIVMAYwBoAGUAZAB1AGwAZQAgAHIAYQB0AGUAcwAgAHQAaABhAHQAIABwAGUAcgBzAGkAcwB0ACAAdQBuAHQAaQBsACAAcgBlAHAAbABhAGMAZQBkACAAaQBuACAAYQAgAHQAaQBtAGUAbABpAG4AZQAuALYAXAAiACAAJgBcAG4AIAAgACAAIAAgACAAIAAgAFwAIgBTAGMAaABlAGQAdQBsAGUAUgBhAHQAZQBzAEIAeQBJAHQAZQBtAHMAuwMgACAAkiFTAGMAaABlAGQAdQBsAGUAIAByAGEAdABlAHMAIAB0AGgAYQB0ACAAcABlAHIAcwBpAHMAdAAgAHUAbgB0AGkAbAAgAHIAZQBwAGwAYQBjAGUAZAAgAGkAbgAgAGEAIAB0AGkAbQBlAGwAaQBuAGUAIABmAG8AcgAgAGUAYQBjAGgAIABpAHQAZQBtACAAaQBuACAAYQAgAGwAaQBzAHQALgC2AFwAIgAgACYAXABuACAAIAAgACAAIAAgACAAIABcACIAUwBjAGgAZQBkAHUAbABlAFYAYQBsAHUAZQBzALsDIAAgACAAIAAgACAAIAAgAJIhUwBjAGgAZQBkAHUAbABlAHMAIAB2AGEAbAB1AGUAcwAgAGkAbgAgAGEAIAB0AGkAbQBlAGwAaQBuAGUALgAgALYAXAAiACAAJgBcAG4AIAAgACAAIAAgACAAIAAgAFwAIgBTAGMAaABlAGQAdQBsAGUAVgBhAGwAdQBlAHMAQgB5AEkAdABlAG0AcwC7AyAAkiFTAGMAaABlAGQAdQBsAGUAcwAgAHYAYQBsAHUAZQBzACAAaQBuACAAYQAgAHQAaQBtAGUAbABpAG4AZQAgAGYAbwByACAAZQBhAGMAaAAgAGkAdABlAG0AIABpAG4AIABhACAAbABpAHMAdAAuALYAXAAiACAAJgBcAG4AIAAgACAAIAAgACAAIAAgAFwAIgBUAGkAbQBlAGwAaQBuAGUAuwMgACAAIAAgACAAIAAgACAAIAAgACAAIAAgACAAkiFDAHIAZQBhAHQAZQBzACAAYQAgAGgAbwByAGkAegBvAG4AdABhAGwAIABsAGkAcwB0ACAAbwBmACAAcwB0AGEAcgB0ACAAbwByACAAZQBuAGQAIABkAGEAdABlAHMAIABmAG8AcgAgAGEAIAB0AGkAbQBlAGwAaQBuAGUAtgBcACIAIAAmACAAXABuACAAIAAgACAAIAAgACAAIABcACIARgBpAG4AYQBuAGMAaQBhAGwAWQBlAGEAcgC7AyAAIAAgACAAIAAgACAAIAAgAJIhTABhAGIAZQBsAHMAIABkAGEAdABlAHMAIAB3AGkAdABoACAAdABoAGUAaQByACAAQQB1AHMAdAByAGEAbABpAGEAbgAgAGYAaQBuAGEAbgBjAGkAYQBsACAAeQBlAGEAcgAsACAAcwB0AGEAcgB0AGkAbgBnACAAMQAgAEoAdQBsAHkAtgBcACIAIAAmAFwAbgAgACAAIAAgACAAIAAgACAAXAAiAJIhtgBcACIAIAAmAFwAbgAgACAAIAAgACAAIAAgACAAXAAiAEQASQBBAEcATgBPAFMAVABJAEMAUwAgACAAIAAgACAAIAAgACAAIAAgACAAIACSIVQAaABlAHMAZQAgAGYAdQBuAGMAdABpAG8AbgBzACAAZABpAGEAZwBuAG8AcwBlACAAcAByAG8AYgBsAGUAbQBzACAAaQBuACAAdABoAGUAaQByACAAYQBzAHMAbwBjAGkAYQB0AGUAIABmAHUAbgBjAHQAaQBvAG4AJwBzACAAYQByAGcAdQBtAGUAbgB0AHMALgC2AFwAIgAgACYAIABcAG4AIAAgACAAIAAgACAAIAAgACAAIAAgACAAIAAgACAAIAAgACAAIAAgACAAIAAgACAAIAAgACAAIAAgACAAIABcACIAkiFTAGgAbwB1AGwAZAAgAGEAIABmAHUAbgBjAHQAaQBvAG4AIABuAG8AdAAgAHcAbwByAGsALAAgAGkAdAAgAG0AYQB5ACAAYgBlACAAYgBlAGMAYQB1AHMAZQAgAHQAaABlAHIAZQAgAGkAcwAgAGEAIABwAHIAbwBiAGwAZQBtACAAdwBpAHQAaAAgAHQAaABlACAAYQByAGcAdQBtAGUAbgB0AHMALgC2AFwAIgAgACYAIABcAG4AIAAgACAAIAAgACAAIAAgACAAIAAgACAAIAAgACAAIAAgACAAIAAgACAAIAAgACAAIAAgACAAIAAgACAAIABcACIAkiFBAHIAZwB1AG0AZQBuAHQAIABwAHIAbwBiAGwAZQBtAHMAIABjAGEAbgAgAGkAbgBjAGwAdQBkAGUAIAB0AGUAeAB0ACAAdwBoAGUAcgBlACAAbgB1AG0AYgBlAHIAcwAgAHMAaABvAHUAbABkACAAYgBlACwAIABpAG4AdgBhAGwAaQBkACAAZABhAHQAZQBzACwAIABlAHQAYwAuALYAXAAiACAAJgAgAFwAbgAgACAAIAAgACAAIAAgACAAIAAgACAAIAAgACAAIAAgACAAIAAgACAAIAAgACAAIAAgACAAIAAgACAAIAAgAFwAIgCSIVQAbwAgAHMAZQBlACAAaQBmACAAeQBvAHUAIABoAGEAdgBlACAAYQByAGcAdQBtAGUAbgB0ACAAcAByAG8AYgBsAGUAbQBzACwAIABpAG4AcwBlAHIAdAAgACcARABWACcAIABiAGUAdAB3AGUAZQBuACAAJwC7AycAIABhAG4AZAAgACcAKAAnAC4AIAC2AFwAIgAgACYAIABcAG4AIAAgACAAIAAgACAAIAAgACAAIAAgACAAIAAgACAAIAAgACAAIAAgACAAIAAgACAAIAAgACAAIAAgACAAIABcACIAkiFIAGUAcgBlACAAaQBzACAAYQBuACAAZQB4AGEAbQBwAGwAZQA6ACAAQwBvAHUAbgB0AEQATwBXALsDRABWACgAIABTAHQAYQByAHQALAAgAEUAbgBkACwAIAAxACkALgAgAEgAaQB0ACAAZQBuAHQAZQByACAAdABvACAAcgB1AG4AIABkAGkAYQBnAG4AbwBzAHQAaQBjAHMALgC2AFwAIgAgACYAIABcAG4AIAAgACAAIAAgACAAIAAgACAAIAAgACAAIAAgACAAIAAgACAAIAAgACAAIAAgACAAIAAgACAAIAAgACAAIABcACIAkiFXAGgAZQBuACAAZgBpAG4AaQBzAGgAZQBkACwAIAByAGUAbQBvAHYAZQAgACcARABWACcAIAB0AG8AIAByAGUAdAB1AHIAbgAgAHQAaABlACAAZgB1AG4AYwB0AGkAbwBuACAAdABvACAAbgBvAHIAbQBhAGwAIABvAHAAZQByAGEAdABpAG8AbgC2AFwAIgAgACYAIABcAG4AIAAgACAAIAAgACAAIAAgAFwAIgBDAG8AdQBuAHQARABPAFcAuwNEAFYAIAAgACAAIAAgACAAIAAgACAAIAAgACAAkiG2AFwAIgAgACYAXABuACAAIAAgACAAIAAgACAAIABcACIASQBzAEIAZQB0AHcAZQBlAG4AuwNEAFYAIAAgACAAIAAgACAAIAAgACAAIAAgAJIhtgBcACIAIAAmAFwAbgAgACAAIAAgACAAIAAgACAAXAAiAEkAcwBPAGMAYwB1AHIAcgBlAG4AYwBlAEQAYQB0AGUAuwNEAFYAIAAgACAAIACSIbYAXAAiACAAJgBcAG4AIAAgACAAIAAgACAAIAAgAFwAIgBPAHYAZQByAEwAYQBwAEQAYQB5AHMAuwNEAFYAIAAgACAAIAAgACAAIAAgACAAkiG2AFwAIgAgACYAXABuACAAIAAgACAAIAAgACAAIABcACIAUABlAHIAaQBvAGQAcwC7A0QAVgAgACAAIAAgACAAIAAgACAAIAAgACAAIAAgAJIhtgBcACIAIAAmAFwAbgAgACAAIAAgACAAIAAgACAAXAAiAFAAZQByAGkAbwBkAEwAYQBiAGUAbAC7A0QAVgAgACAAIAAgACAAIAAgACAAIACSIbYAXAAiACAAJgBcAG4AIAAgACAAIAAgACAAIAAgAFwAIgBTAGMAaABlAGQAdQBsAGUAUgBhAHQAZQBzALsDRABWACAAIAAgACAAIAAgACAAkiG2AFwAIgAgACYAXABuACAAIAAgACAAIAAgACAAIABcACIAUwBjAGgAZQBkAHUAbABlAFIAYQB0AGUAcwBCAHkASQB0AGUAbQBzALsDRABWAJIhtgBcACIAIAAmAFwAbgAgACAAIAAgACAAIAAgACAAXAAiAFMAYwBoAGUAZAB1AGwAZQBWAGEAbAB1AGUAcwC7A0QAVgAgACAAIAAgACAAIACSIbYAXAAiACAAJgBcAG4AIAAgACAAIAAgACAAIAAgAFwAIgBTAGMAaABlAGQAdQBsAGUAVgBhAGwAdQBlAHMAQgB5AEkAdABlAG0AcwC7A0QAVgCSIbYAXAAiACAAJgBcAG4AIAAgACAAIAAgACAAIAAgAFwAIgBUAGkAbQBlAGwAaQBuAGUAuwMgACAAIAAgACAAIAAgACAAIAAgACAAIAAgACAAkiFcACIALAAgACAAXABuACAAIAAgACAAIAAgACAAIABcACIAkiFcACIALAAgAFwAIgC2AFwAIgBcAG4AIAAgACAAIAApAFwAbgApADsAXABuAFwAbgBcAG4AXABuAC8AKgAgACAARgBVAE4AQwBUAEkATwBOACAATgBBAE0ARQA6ACAAIABDAG8AdQBuAHQARABPAFcAuwNcAG4AIAAgACAAIABEAEUAUwBDAFIASQBQAFQASQBPAE4AOgAqAC8AIAAgAC8AKgAqAEMAbwB1AG4AdAAgAGkAbgBzAHQAYQBuAGMAZQBzACAAbwBmACAAYQAgAHMAcABlAGMAaQBmAGkAYwAgAGQAYQB5ACAAbwBmACAAdABoAGUAIAB3AGUAZQBrACAAYgBlAHQAdwBlAGUAbgAgAHQAdwBvACAAZABhAHQAZQBzAC4AKgAvAFwAbgBDAG8AdQBuAHQARABPAFcAuwMgAD0AIABMAEEATQBCAEQAQQAoACAAIAAgAFwAbgAvAC8AIAAgAFAAYQByAGEAbQBlAHQAZQByACAARABlAGMAbABhAHIAYQB0AGkAbwBuAHMAXABuACAAIAAgACAAWwBTAHQAYQByAHQAcwBdACwAXABuACAAIAAgACAAWwBFAG4AZABzAF0ALABcAG4AIAAgACAAIABbAEQAYQB5AE8AZgBXAGUAZQBrAF0ALAAgACAAXABuAC8ALwAgACAASABlAGwAcABcAG4AIAAgACAAIABMAEUAVAAoAEgAZQBsAHAALAAgACAAIAAgACAAIAAgAFQAUgBJAE0AKABUAEUAWABUAFMAUABMAEkAVAAoACAAXABuACAAIAAgACAAIAAgACAAIAAgACAAIAAgACAAIAAgACAAIAAgACAAIAAgACAAIAAgAFwAIgBGAFUATgBDAFQASQBPAE4AOgAgACAAIAAgACAAIACSIUMAbwB1AG4AdABEAE8AVwC7AygAUwB0AGEAcgB0AHMALAAgAEUAbgBkAHMALAAgAEQAYQB5AE8AZgBXAGUAZQBrACkAtgBcACIAIAAmACAAXABuACAAIAAgACAAIAAgACAAIAAgACAAIAAgACAAIAAgACAAIAAgACAAIAAgACAAIAAgAFwAIgBEAEUAUwBDAFIASQBQAFQASQBPAE4AOgAgACAAIACSIUMAbwB1AG4AdAAgAGkAbgBzAHQAYQBuAGMAZQBzACAAbwBmACAAYQAgAHMAcABlAGMAaQBmAGkAYwAgAGQAYQB5ACAAbwBmACAAdABoAGUAIAB3AGUAZQBrACAAYgBlAHQAdwBlAGUAbgAgAHQAdwBvACAAZABhAHQAZQBzAC4AtgBcACIAIAAmACAAXABuACAAIAAgACAAIAAgACAAIAAgACAAIAAgACAAIAAgACAAIAAgACAAIAAgACAAIAAgAFwAIgBXAEUAQgBTAEkAVABFADoAIAAgACAAIAAgACAAIACSIWgAdAB0AHAAcwA6AC8ALwBnAGkAdABoAHUAYgAuAGMAbwBtAC8AcgB5AGEAbgBkAHUAZwB1AGkAZAAvAE4AYQBiAGwAYQC2AFwAIgAgACYAXABuACAAIAAgACAAIAAgACAAIAAgACAAIAAgACAAIAAgACAAIAAgACAAIAAgACAAIAAgAFwAIgBQAEEAUgBBAE0ARQBUAEUAUgBTADoAIAAgACAAIACSIbYAXAAiACAAJgAgAFwAbgAgACAAIAAgACAAIAAgACAAIAAgACAAIAAgACAAIAAgACAAIAAgACAAIAAgACAAIABcACIAUwB0AGEAcgB0AHMAIAAgACAAIAAgACAAIAAgACAAkiEoAFIAZQBxAHUAaQByAGUAZAApACAATwBuAGUAIABvAGYAIABtAG8AcgBlACAAcwB0AGEAcgB0ACAAZABhAHQAZQBzACAAKAB0AGUAeAB0ACAAbwByACAAbgB1AG0AZQByAGkAYwApACAAaQBuACAAYQAgAHIAbwB3ACAAbwByACAAYwBvAGwAdQBtAG4AtgBcACIAIAAmACAAXABuACAAIAAgACAAIAAgACAAIAAgACAAIAAgACAAIAAgACAAIAAgACAAIAAgACAAIAAgAFwAIgBFAG4AZABzACAAIAAgACAAIAAgACAAIAAgACAAIACSISgAUgBlAHEAdQBpAHIAZQBkACkAIABFAG4AZAAgAGQAYQB0AGUAcwAgACgAdABlAHgAdAAgAG8AcgAgAG4AdQBtAGUAcgBpAGMAKQAgAGYAbwByACAAZQBhAGMAaAAgAHMAdABhAHIAdAAgAGQAYQB0AGUAtgBcACIAIAAmACAAXABuACAAIAAgACAAIAAgACAAIAAgACAAIAAgACAAIAAgACAAIAAgACAAIAAgACAAIAAgAFwAIgBEAGEAeQBPAGYAVwBlAGUAawAgACAAIAAgACAAIACSISgAUgBlAHEAdQBpAHIAZQBkACkAIAAxAD0AUwB1AG4AZABhAHkALAAgADcAPQBTAGEAdAB1AHIAZABhAHkALgC2AFwAIgAgACYAXABuACAAIAAgACAAIAAgACAAIAAgACAAIAAgACAAIAAgACAAIAAgACAAIAAgACAAIAAgAFwAIgBFAFgAQQBNAFAATABFAFMAOgAgACAAIAAgACAAIACSIbYAXAAiACAAJgAg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DIAIAAgACAAIAAgACAAIAAgACAAIAAgACAAIAAgAJIhPQBuAGEAYgBsAGEALgBkAC4AQwBvAHUAbgB0AEQATwBXALsDKABcACIAXAAiADIAMgAvADMALwAyADAAMQAyAFwAIgBcACIALAAgAFwAIgBcACIAMQAwAC8ANAAvADIAMAAxADIAXAAiAFwAIgAsACAAIAAxACkAXAAiACwAIABcAG4AIAAgACAAIAAgACAAIAAgACAAIAAgACAAIAAgACAAIAAgACAAIAAgACAAIAAgACAAXAAiAJIhXAAiACwAIABcACIAtgBcACIAXABuACAAIAAgACAAIAAgACAAIAAgACAAIAAgACAAIAAgACAAIAAgACAAIAAgACAAIA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MAdABhAHIAdABzACkALAAgAFwAbgAgACAAIAAgACAAIAAgACAAIAAgACAAIAAgACAAIAAgACAAIAAgACAAIAAgACAAIAAgACAAIAAgAEkAUwBPAE0ASQBUAFQARQBEACgAIABFAG4AZABzACkALABcAG4AIAAgACAAIAAgACAAIAAgACAAIAAgACAAIAAgACAAIAAgACAAIAAgACAAIAAgACAAIAAgACAAIABJAFMATwBNAEkAVABUAEUARAAoACAARABhAHkATwBmAFcAZQBlAGsAKQBcAG4AIAAgACAAIAAgACAAIAAgACAAIAAgACAAIAAgACAAIAAgACAAIAAgACAAIAAgACA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TAHQAYQByAHQAcwAsACAAIAAgACAAIAAgAEkARgAoACAASQBTAE8ATQBJAFQAVABFAEQAKAAgAFMAdABhAHIAdABzACkALAAgAFwAbgAgACAAIAAgACAAIAAgACAAIAAgACAAIAAgACAAIAAgACAAIAAgACAAIAAgACAAIAAgACAAIAAgAEYAQQBMAFMARQAsAFwAbgAgACAAIAAgACAAIAAgACAAIAAgACAAIAAgACAAIAAgACAAIAAgACAAIAAgACAAIAAgACAAIAAgAEkARgAoACAASQBTAE4AVQBNAEIARQBSACgAIABTAHQAYQByAHQAcwApACwAIABTAHQAYQByAHQAcwAsACAARABBAFQARQBWAEEATABVAEUAKAAgAFMAdABhAHIAdABzACkAKQBcAG4AIAAgACAAIAAgACAAIAAgACAAIAAgACAAIAAgACAAIAAgACAAIAAgACAAIAAgACAAKQAsAFwAbgAgACAAIAAgACAAIAAgACAAQwB2AHQARQBuAGQAcwAsACAAIAAgACAAIAAgACAAIABJAEYAKAAgAEkAUwBPAE0ASQBUAFQARQBEACgAIABFAG4AZABzACkALAAgAFwAbgAgACAAIAAgACAAIAAgACAAIAAgACAAIAAgACAAIAAgACAAIAAgACAAIAAgACAAIAAgACAAIAAgAEYAQQBMAFMARQAsACAAXABuACAAIAAgACAAIAAgACAAIAAgACAAIAAgACAAIAAgACAAIAAgACAAIAAgACAAIAAgACAAIAAgACAASQBGACgAIABJAFMATgBVAE0AQgBFAFIAKAAgAEUAbgBkAHMAKQAsACAARQBuAGQAcwAsACAARABBAFQARQBWAEEATABVAEUAKAAgAEUAbgBkAHMAKQApAFwAbgAgACAAIAAgACAAIAAgACAAIAAgACAAIAAgACAAIAAgACAAIAAgACAAIAAgACAAIAApACwAXABuACAAIAAgACAAIAAgACAALwAvACAAIABQAHIAbwBjAGUAZAB1AHIAZQBcAG4AIAAgACAAIAAgACAAIABSAGUAcwB1AGwAdAAsACAAIAAgACAAIAAgACAAIAAgACAASQBOAFQAKAAgACgAIAAoACAAQwB2AHQARQBuAGQAcwAgAC0AIABDAHYAdABTAHQAYQByAHQAcwApACAAKwAgAFcAZQBlAGsARABhAHkAKAAgAEMAdgB0AFMAdABhAHIAdABzACAALQAgAEQAYQB5AE8AZgBXAGUAZQBrACkAKQAgAC8AIAA3ACk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SQBzAEIAZQB0AHcAZQBlAG4AuwNcAG4AIAAgACAAIABEAEUAUwBDAFIASQBQAFQASQBPAE4AOgAqAC8ALwAqACoARABlAHQAZQByAG0AaQBuAGUAIABpAGYAIABhACAAdgBhAGwAdQBlACAAaQBzACAAYgBlAHQAdwBlAGUAbgAgAGEAIABsAG8AdwBlAHIAIABhAG4AZAAgAHUAcABwAGUAcgAgAGwAaQBtAGkAdAAqAC8AXABuAEkAcwBCAGUAdAB3AGUAZQBuALsDIAA9ACAATABBAE0AQgBEAEEAKABcAG4ALwAvACAAIABQAGEAcgBhAG0AZQB0AGUAcgAgAEQAZQBjAGwAYQByAGEAdABpAG8AbgBzAFwAbgAgACAAIAAgAFsAVgBhAGwAdQBlAHMAXQAsAFwAbgAgACAAIAAgAFsATABvAHcAXQAsAFwAbgAgACAAIAAgAFsASABpAGcAaABdACwAXABuACAAIAAgACAAWwBJAG4AYwBsAHUAcwBpAHYAZQBdACwAXABuAC8ALwAgACAASABlAGwAcABcAG4AIAAgACAAIABMAEUAVAAoAEgAZQBsAHAALAAgACAAIAAgACAAIAAgAFQAUgBJAE0AKABUAEUAWABUAFMAUABMAEkAVAAoACAAXABuACAAIAAgACAAIAAgACAAIAAgACAAIAAgACAAIAAgACAAIAAgACAAIAAgACAAIAAgAFwAIgBGAFUATgBDAFQASQBPAE4AOgAgACAAIAAgACAAIACSIUkAcwBCAGUAdAB3AGUAZQBuALsDKABWAGEAbAB1AGUAcwAsACAATABvAHcALAAgAEgAaQBnAGgALAAgAFsASQBuAGMAbAB1AHMAaQB2AGUAXQApALYAXAAiACAAJgBcAG4AIAAgACAAIAAgACAAIAAgACAAIAAgACAAIAAgACAAIAAgACAAIAAgACAAIAAgACAAXAAiAEQARQBTAEMAUgBJAFAAVABJAE8ATgA6ACAAIAAgAJIhRABlAHQAZQByAG0AaQBuAGUAIABpAGYAIABhACAAdgBhAGwAdQBlACAAaQBzACAAYgBlAHQAdwBlAGUAbgAgAGEAIABsAG8AdwBlAHIAIABhAG4AZAAgAHUAcABwAGUAcgAgAGwAaQBtAGkAdAAuALYAXAAiACAAJgAgAFwAbgAgACAAIAAgACAAIAAgACAAIAAgACAAIAAgACAAIAAgACAAIAAgACAAIAAgACAAIABcACIAVwBFAEIAUwBJAFQARQA6ACAAIAAgACAAIAAgACAAkiFoAHQAdABwAHMAOgAvAC8AZwBpAHQAaAB1AGIALgBjAG8AbQAvAHIAeQBhAG4AZAB1AGcAdQBpAGQALwBOAGEAYgBsAGEAIAC2AFwAIgAgACYAXABuACAAIAAgACAAIAAgACAAIAAgACAAIAAgACAAIAAgACAAIAAgACAAIAAgACAAIAAgAFwAIgBQAEEAUgBBAE0ARQBUAEUAUgBTADoAIAAgACAAIACSIbYAXAAiACAAJgAgAFwAbgAgACAAIAAgACAAIAAgACAAIAAgACAAIAAgACAAIAAgACAAIAAgACAAIAAgACAAIABcACIAVgBhAGwAdQBlAHMAIAAgACAAIAAgACAAIAAgACAAkiEoAFIAZQBxAHUAaQByAGUAZAApACAAbwBuAGUAIABvAHIAIABtAG8AcgBlACAAdgBhAGwAdQBlAHMAIAB0AG8AIABjAG8AbQBwAGEAcgBlAC4AtgBcACIAIAAmACAAXABuACAAIAAgACAAIAAgACAAIAAgACAAIAAgACAAIAAgACAAIAAgACAAIAAgACAAIAAgAFwAIgBMAG8AdwAgACAAIAAgACAAIAAgACAAIAAgACAAIACSISgAUgBlAHEAdQBpAHIAZQBkACkAIABUAGgAZQAgAGwAbwB3AGUAcgAgAGwAaQBtAGkAdAAgAHQAaABhAHQAIAB0AGgAZQAgAHYAYQBsAHUAZQAoAHMAKQAgAG0AdQBzAHQAIABiAGUAIABnAHIAZQBhAHQAZQByACAAdABoAGEAbgC2AFwAIgAgACYAXABuACAAIAAgACAAIAAgACAAIAAgACAAIAAgACAAIAAgACAAIAAgACAAIAAgACAAIAAgAFwAIgBIAGkAZwBoACAAIAAgACAAIAAgACAAIAAgACAAIACSISgAUgBlAHEAdQBpAHIAZQBkACkAIABUAGgAZQAgAGgAaQBnAGgAZQByACAAbABpAG0AaQB0ACAAdABoAGEAdAAgAHQAaABlACAAdgBhAGwAdQBlACgAcwApACAAbQB1AHMAdAAgAGIAZQAgAGwAZQBzAHMAIAB0AGgAYQBuALYAXAAiACAAJgBcAG4AIAAgACAAIAAgACAAIAAgACAAIAAgACAAIAAgACAAIAAgACAAIAAgACAAIAAgACAAXAAiAEkAbgBjAGwAdQBzAGkAdgBlACAAIAAgACAAIAAgAJIhKABPAHAAdABpAG8AbgBhAGwAKQAgAFQAUgBVAEUAOgAgAFYAYQBsAHUAZQAoAHMAKQAgAGMAYQBuACAAYgBlACAAZQBxAHUAYQBsACAAdABvACAATABvAHcAIABhAG4AZAAvAG8AcgAgAEgAaQBnAGgAIAAoAGQAZQBmAGEAdQBsAHQAKQC2AFwAIgAgACYAXABuACAAIAAgACAAIAAgACAAIAAgACAAIAAgACAAIAAgACAAIAAgACAAIAAgACAAIAAgAFwAIgBFAFgAQQBNAFAATABFAFMAOgAgACAAIAAgACAAIACSIbYAXAAiACAAJgAg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EYAQQBMAFMARQAgACAAIAAgACAAIAAgACAAIAAgAJIhPQBuAGEAYgBsAGEALgBkAC4ASQBzAEIAZQB0AHcAZQBlAG4AuwMoADEALAAgADIALAAgADQAKQC2AFwAIgAgACYAIABcAG4AIAAgACAAIAAgACAAIAAgACAAIAAgACAAIAAgACAAIAAgACAAIAAgACAAIAAgACAAXAAiAFQAUgBVAEUAIAAgACAAIAAgACAAIAAgACAAIAAgAJIhPQBuAGEAYgBsAGEALgBkAC4ASQBzAEIAZQB0AHcAZQBlAG4AuwMoAFQAbwBkAGEAeQAoACkALAAgAFQAbwBkAGEAeQAoACkALAAgAFQAbwBkAGEAeQAoACkAKwAxACkAtgBcACIAIAAmACAAXABuACAAIAAgACAAIAAgACAAIAAgACAAIAAgACAAIAAgACAAIAAgACAAIAAgACAAIAAgAFwAIgBGAEEATABTAEUAIAAgACAAIAAgACAAIAAgACAAIACSIT0AbgBhAGIAbABhAC4AZAAuAEkAcwBCAGUAdAB3AGUAZQBuALsDKABcACIAXAAiAEIAXAAiAFwAIgAsACAAXAAiAFwAIgBCAFwAIgBcACIALAAgAFwAIgBcACIARABcACIAXAAiACwAIABGAEEATABTAEUAKQBcACIALAAgAFwAbgAgACAAIAAgACAAIAAgACAAIAAgACAAIAAgACAAIAAgACAAIAAgACAAIAAgACAAIABcACIAkiFcACIALAAgAFwAIgC2AFwAIgBcAG4AIAAgACAAIAAgACAAIAAgACAAIAAgACAAIAAgACAAIAAgACAAIAAgACAAIAAgACAAKQBcAG4AIAAgACAAIAAgACAAIAAgACAAIAAgACAAIAAgACAAIAAgACAAIAAgACkALABcAG4AIAAgACAAIAAvAC8AIAAgAEMAaABlAGMAawAgAGkAbgBwAHUAdABzACAALQAgAFMAZQB0ACAAbwBwAHQAaQBvAG4AYQBsACAAYQByAGcAdQBtAGUAbgB0AHMAIABkAGUAZgBhAHUAbAB0AHMAXABuACAAIAAgACAAIAAgACAAIABJAG4AYwBsAHUAcwBpAHYAZQAsACAAIAAgACAAIAAgAEkARgAoACAASQBTAEwATwBHAEkAQwBBAEwAKAAgAEkAbgBjAGwAdQBzAGkAdgBlACkALAAgAEkAbgBjAGwAdQBzAGkAdgBlACwAIABUAFIAVQBFACkALABcAG4AIAAgACAAIAAvAC8AIAAgAEMAaABlAGMAawAgAGkAbgBwAHUAdABzACAALQAgAE8AbQBpAHQAdABlAGQAIAByAGUAcQB1AGkAcgBlAGQAIABhAHIAZwB1AG0AZQBuAHQAcwAgAFwAbgAgACAAIAAgACAAIAAgACAASABlAGwAcAA/ACwAIAAgACAAIAAgACAAIAAgACAAIABPAFIAKABcAG4AIAAgACAAIAAgACAAIAAgACAAIAAgACAAIAAgACAAIAAgACAAIAAgACAAIAAgACAAIAAgACAAIABJAFMATwBNAEkAVABUAEUARAAoACAAVgBhAGwAdQBlAHMAKQAsACAAXABuACAAIAAgACAAIAAgACAAIAAgACAAIAAgACAAIAAgACAAIAAgACAAIAAgACAAIAAgACAAIAAgACAASQBTAE8ATQBJAFQAVABFAEQAKAAgAEwAbwB3ACkALABcAG4AIAAgACAAIAAgACAAIAAgACAAIAAgACAAIAAgACAAIAAgACAAIAAgACAAIAAgACAAIAAgACAAIABJAFMATwBNAEkAVABUAEUARAAoACAASABpAGcAaAApAFwAbgAgACAAIAAgACAAIAAgACAAIAAgACAAIAAgACAAIAAgACAAIAAgACAAIAAgACAAIAApACwAIAAgACAAIAAgACAAIAAgAFwAbgAgACAAIAAgAC8ALwAgACAAUAByAG8AYwBlAGQAdQByAGUAXABuACAAIAAgACAAIAAgACAAIABSAGUAcwB1AGwAdAAsACAAIAAgACAAIAAgACAAIAAgAEkARgAoAEkAbgBjAGwAdQBzAGkAdgBlACwAIAAoAFYAYQBsAHUAZQBzACAAPgA9ACAATABvAHcAKQAgACoAIAAoAFYAYQBsAHUAZQBzACAAPAA9ACAASABpAGcAaAApACAAPQAgADEALAAgACgAVgBhAGwAdQBlAHMAIAA+ACAATABvAHcAKQAgACoAIAAoAFYAYQBsAHUAZQBzACAAPAAgAEgAaQBnAGgAKQAgAD0AIAAxACk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SQBzAE8AYwBjAHUAcgByAGUAbgBjAGUARABhAHQAZQC7A1wAbgAgACAAIAAgAEQARQBTAEMAUgBJAFAAVABJAE8ATgA6ACoALwAvACoAKgBSAGUAdAB1AHIAbgBzACAAVABSAFUARQAgAGkAZgAgAEQAYQB0AGUAIABwAGEAcwBzAGUAZAAgAGkAcwAgAHcAaABlAG4AIABzAG8AbQBlAHQAaABpAG4AZwAgAGgAYQBwAHAAZQBuAHMALgAgAFQAaABpAHMAIAB3AGEAcwAgAGQAZQB2AGUAbABvAHAAZQBkACAAZgBvAHIAIABiAHUAZABnAGUAdABpAG4AZwAgAHcAaABlAHIAZQAgAHcAZQAgAGgAYQB2AGUAIABlAHgAcABlAG4AcwBlAHMAIAB0AGgAYQB0ACAAcwB0AGEAcgB0ACwAIABhAG4AZAAgAHMAbwBtAGUAdABpAG0AZQBzACAAcgBlAHAAZQBhAHQAIABhAHQAIAByAGUAZwB1AGwAYQByACAAaQBuAHQAZQByAHYAYQBsAHMALgAqAC8AXABuAFwAbgBJAHMATwBjAGMAdQByAHIAZQBuAGMAZQBEAGEAdABlALsDIAA9ACAATABBAE0AQgBEAEEAKABcAG4ALwAvACAAIABQAGEAcgBhAG0AZQB0AGUAcgAgAGQAZQBjAGwAYQByAGEAdABpAG8AbgBzAFwAbgAgACAAIAAgAFsARABhAHQAZQBzAF0ALABcAG4AIAAgACAAIABbAEYAaQByAHMAdABPAGMAYwB1AHIAcgBlAG4AYwBlAF0ALABcAG4AIAAgACAAIABbAEwAYQBzAHQATwBjAGMAdQByAHIAZQBuAGMAZQBdACwAXABuACAAIAAgACAAWwBSAGUAcABlAGEAdABzAF0ALABcAG4ALwAvACAAIABIAGUAbABwAFwAbgAgACAAIAAgAEwARQBUACgAXABuACAAIAAgACAAIAAgACAAIABIAGUAbABwACwAIAAgACAAIAAgACAAIABUAFIASQBNACgAVABFAFgAVABTAFAATABJAFQAKABcAG4AIAAgACAAIAAgACAAIAAgACAAIAAgACAAIAAgACAAIAAgACAAIAAgACAAIAAgACAAXAAiAEYAVQBOAEMAVABJAE8ATgA6ACAAIAAgACAAIAAgAJIhSQBzAE8AYwBjAHUAcgByAGUAbgBjAGUARABhAHQAZQC7AygARABhAHQAZQBzACwAIABGAGkAcgBzAHQATwBjAGMAdQByAHIAZQBuAGMAZQAsACAAWwBMAGEAcwB0AE8AYwBjAHUAcgByAGUAbgBjAGUAXQAsACAAWwBSAGUAcABlAGEAdABzAF0AKQC2AFwAIgAgACYAXABuACAAIAAgACAAIAAgACAAIAAgACAAIAAgACAAIAAgACAAIAAgACAAIAAgACAAIAAgAFwAIgBEAEUAUwBDAFIASQBQAFQASQBPAE4AOgAgACAAIACSIVIAZQB0AHUAcgBuAHMAIABUAFIAVQBFACAAaQBmACAAYQAgAEQAYQB0AGUAIABpAHMAIAB3AGgAZQBuACAAcwBvAG0AZQB0AGgAaQBuAGcAIABoAGEAcABwAGUAbgBzAC4AtgBcACIAIAAmAFwAbgAgACAAIAAgACAAIAAgACAAIAAgACAAIAAgACAAIAAgACAAIAAgACAAIAAgACAAIABcACIAIAAgACAAIAAgACAAIAAgACAAIAAgACAAIAAgACAAkiFUAGgAaQBzACAAdwBhAHMAIABkAGUAdgBlAGwAbwBwAGUAZAAgAGYAbwByACAAYgB1AGQAZwBlAHQAaQBuAGcAIAB3AGgAZQByAGUAIAB3AGUAIABoAGEAdgBlACAAZQB4AHAAZQBuAHMAZQBzACAAdABoAGEAdAAgAHMAdABhAHIAdAAsALYAXAAiACAAJgBcAG4AIAAgACAAIAAgACAAIAAgACAAIAAgACAAIAAgACAAIAAgACAAIAAgACAAIAAgACAAXAAiACAAIAAgACAAIAAgACAAIAAgACAAIAAgACAAIAAgAJIhYQBuAGQAIABzAG8AbQBlAHQAaQBtAGUAcwAgAHIAZQBwAGUAYQB0ACAAYQB0ACAAcgBlAGcAdQBsAGEAcgAgAGkAbgB0AGUAcgB2AGEAbABzAC4AtgBcACIAIAAmACAAIABcAG4AIAAgACAAIAAgACAAIAAgACAAIAAgACAAIAAgACAAIAAgACAAIAAgACAAIAAgACAAXAAiAFcARQBCAFMASQBUAEUAOgAgACAAIAAgACAAIAAgAJIhaAB0AHQAcABzADoALwAvAGcAaQB0AGgAdQBiAC4AYwBvAG0ALwByAHkAYQBuAGQAdQBnAHUAaQBkAC8ATgBhAGIAbABhALYAXAAiACAAJgBcAG4AIAAgACAAIAAgACAAIAAgACAAIAAgACAAIAAgACAAIAAgACAAIAAgACAAIAAgACAAXAAiAFAAQQBSAEEATQBFAFQARQBSAFMAOgAgACAAIAAgAJIhtgBcACIAIAAmAFwAbgAgACAAIAAgACAAIAAgACAAIAAgACAAIAAgACAAIAAgACAAIAAgACAAIAAgACAAIABcACIARABhAHQAZQBzACAAIAAgACAAIAAgACAAIAAgACAAkiEoAFIAZQBxAHUAaQByAGUAZAApACAARABhAHQAZQAgAHQAbwAgAHQAZQBzAHQALgAgAE4AbwByAG0AYQBsAGwAeQAgAHQAaABpAHMAIABpAHMAIABoAG8AcgBpAHoAbwBuAHQAYQBsACAAdABpAG0AZQBsAGkAbgBlACAAYgB5ACAAZABhAHkAtgBcACIAIAAmAFwAbgAgACAAIAAgACAAIAAgACAAIAAgACAAIAAgACAAIAAgACAAIAAgACAAIAAgACAAIABcACIARgBpAHIAcwB0AE8AYwBjAHUAcgByAGUAbgBjAGUAIACSISgAUgBlAHEAdQBpAHIAZQBkACkAIABXAGgAZQBuACAAcwBvAG0AZQB0AGgAaQBuAGcAIAB0AGgAYQB0ACAAbQBhAHkAIAByAGUAcABlAGEAdAAsACAAaABhAHAAcABlAG4AcwAgAGYAbwByACAAdABoAGUAIABmAGkAcgBzAHQAIAB0AGkAbQBlAC4AtgBcACIAIAAmAFwAbgAgACAAIAAgACAAIAAgACAAIAAgACAAIAAgACAAIAAgACAAIAAgACAAIAAgACAAIABcACIATABhAHMAdABPAGMAYwB1AHIAcgBlAG4AYwBlACAAIACSISgATwBwAHQAaQBvAG4AYQBsACkAIABXAGgAZQBuACAAcwBvAG0AZQB0AGgAaQBuAGcAIAB0AGgAYQB0ACAAbQBhAHkAIAByAGUAcABlAGEAdAAsACAAaABhAHAAcABlAG4AcwAgAGYAbwByACAAdABoAGUAIABsAGEAcwB0ACAAdABpAG0AZQAuALYAXAAiACAAJgBcAG4AIAAgACAAIAAgACAAIAAgACAAIAAgACAAIAAgACAAIAAgACAAIAAgACAAIAAgACAAIAAgACAAIAAgACAAIAAgACAAIAAgACAAIAAgACAAIABcACIAkiFJAGYAIABvAG0AaQB0AHQAZQBkACwAIABpAHQAIABpAHMAIABhAHMAcwB1AG0AZQBkACAAcgBlAHAAZQBhAHQAaQBuAGcAIABpAHQAZQBtAHMAIAByAGUAcABlAGEAdAAgAGYAbwByAGUAdgBlAHIALgC2AFwAIgAgACYAXABuACAAIAAgACAAIAAgACAAIAAgACAAIAAgACAAIAAgACAAIAAgACAAIAAgACAAIAAgAFwAIgBSAGUAcABlAGEAdABzACAAIAAgACAAIAAgACAAIACSISgATwBwAHQAaQBvAG4AYQBsACkAIABBACAAYwBvAGQAZQAgAHQAaABhAHQAIABjAG8AbgB2AGUAeQBzACAAaABvAHcAIABvAGYAdABlAG4AIAB0AGgAaQBzACAAdABoAGkAbgBnACAAcgBlAHAAZQBhAHQAcwAuACAAUgBlAHAAZQBhAHQAIABjAG8AZABlAHMAIABhAHIAZQC2AFwAIgAgACYAXABuACAAIAAgACAAIAAgACAAIAAgACAAIAAgACAAIAAgACAAIAAgACAAIAAgACAAIAAgACAAIAAgACAAIAAgACAAIAAgACAAIAAgACAAIAAgACAAXAAiAJIhTwA9AE8AbgBlACAAdABpAG0AZQAvAG4AZQB2AGUAcgAgAHIAZQBwAGUAYQB0AHMAIAAoAGQAZQBmAGEAdQBsAHQAKQC2AFwAIgAgACYAIABcAG4AIAAgACAAIAAgACAAIAAgACAAIAAgACAAIAAgACAAIAAgACAAIAAgACAAIAAgACAAIAAgACAAIAAgACAAIAAgACAAIAAgACAAIAAgACAAIABcACIAkiFBAD0AQQBuAG4AdQBhAGwAbAB5ALYAXAAiACAAJgAgAFwAbgAgACAAIAAgACAAIAAgACAAIAAgACAAIAAgACAAIAAgACAAIAAgACAAIAAgACAAIAAgACAAIAAgACAAIAAgACAAIAAgACAAIAAgACAAIAAgAFwAIgCSIVMAPQBTAGUAbQBpAC0AQQBuAG4AdQBhAGwAbAB5ALYAXAAiACAAJgBcAG4AIAAgACAAIAAgACAAIAAgACAAIAAgACAAIAAgACAAIAAgACAAIAAgACAAIAAgACAAIAAgACAAIAAgACAAIAAgACAAIAAgACAAIAAgACAAIABcACIAkiFRAD0AUQB1AGEAcgB0AGUAcgBsAHkAtgBcACIAIAAmACAAXABuACAAIAAgACAAIAAgACAAIAAgACAAIAAgACAAIAAgACAAIAAgACAAIAAgACAAIAAgACAAIAAgACAAIAAgACAAIAAgACAAIAAgACAAIAAgACAAXAAiAJIhTQA9AE0AbwBuAHQAaABsAHkAtgBcACIAIAAmACAAXABuACAAIAAgACAAIAAgACAAIAAgACAAIAAgACAAIAAgACAAIAAgACAAIAAgACAAIAAgACAAIAAgACAAIAAgACAAIAAgACAAIAAgACAAIAAgACAAXAAiAJIhQgA9AEIAaQBXAGUAZQBrAGwAeQC2AFwAIgAgACYAIABcAG4AIAAgACAAIAAgACAAIAAgACAAIAAgACAAIAAgACAAIAAgACAAIAAgACAAIAAgACAAIAAgACAAIAAgACAAIAAgACAAIAAgACAAIAAgACAAIABcACIAkiFXAD0AVwBlAGUAawBsAHkAtgBcACIAIAAmAFwAbgAgACAAIAAgACAAIAAgACAAIAAgACAAIAAgACAAIAAgACAAIAAgACAAIAAgACAAIAAgACAAIAAgACAAIAAgACAAIAAgACAAIAAgACAAIAAgAFwAIgCSIVgAPQBFAHYAZQByAHkAIABXAG8AcgBrAGQAYQB5ACAAKABNAG8AbgBkAGEAeQAgAHQAbwAgAEYAcgBpAGQAYQB5ACkAtgBcACIAIAAmACAAXABuACAAIAAgACAAIAAgACAAIAAgACAAIAAgACAAIAAgACAAIAAgACAAIAAgACAAIAAgACAAIAAgACAAIAAgACAAIAAgACAAIAAgACAAIAAgACAAXAAiAJIhRAA9AEQAYQBpAGwAeQC2AFwAIgAgACYAIAAgACAAIAAgACAAIAAgACAAIAAgACAAIAAgACAAIAAgACAAIAAgACAAIABcAG4AIAAgACAAIAAgACAAIAAgACAAIAAgACAAIAAgACAAIAAgACAAIAAgACAAIAAgACAAXAAiAEUAWABBAE0AUABMAEUAUwA6ACAAIAAgACAAIAAgAJIhtgBcACIAIAAm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DcAMgAgACAAIAAgACAAIAAgACAAIAAgACAAIAAgAJIhPQBTAFUATQAoAE4AKABuAGEAYgBsAGEALgBkAC4ASQBzAE8AYwBjAHUAcgByAGUAbgBjAGUARABhAHQAZQC7AygAUwBFAFEAVQBFAE4AQwBFACgALAA5ADAALABcACIAXAAiADEALwAxAC8AMgAwADIANQBcACIAXAAiACkALAAgAFwAIgBcACIAMQAvADEALwAyADAAMgA1AFwAIgBcACIALAAgAFwAIgBcACIAMQAzAC8AMwAvADIAMAAyADUAXAAiAFwAIgAsACAAXAAiAFwAIgBEAFwAIgBcACIAKQApACkAtgBcACIAIAAmAFwAbgAgACAAIAAgACAAIAAgACAAIAAgACAAIAAgACAAIAAgACAAIAAgACAAIAAgACAAIABcACIAMAAxACAAIAAgACAAIAAgACAAIAAgACAAIAAgACAAkiE9AFMAVQBNACgATgAoAG4AYQBiAGwAYQAuAGQALgBJAHMATwBjAGMAdQByAHIAZQBuAGMAZQBEAGEAdABlALsDKABTAEUAUQBVAEUATgBDAEUAKAAsADkAMAAsAFwAIgBcACIAMQAvADEALwAyADAAMgA1AFwAIgBcACIAKQAsACAAXAAiAFwAIgAxAC8AMQAvADIAMAAyADUAXAAiAFwAIgAsACAAXAAiAFwAIgAxADMALwAzAC8AMgAwADIANQBcACIAXAAiACwAIABcACIAXAAiAE8AXAAiAFwAIgApACkAKQC2AFwAIgAgACYAXABuACAAIAAgACAAIAAgACAAIAAgACAAIAAgACAAIAAgACAAIAAgACAAIAAgACAAIAAgAFwAIgAxADEAIAAgACAAIAAgACAAIAAgACAAIAAgACAAIACSIT0AUwBVAE0AKABOACgAbgBhAGIAbABhAC4AZAAuAEkAcwBPAGMAYwB1AHIAcgBlAG4AYwBlAEQAYQB0AGUAuwMoAFMARQBRAFUARQBOAEMARQAoACwAOQAwACwAXAAiAFwAIgAxAC8AMQAvADIAMAAyADUAXAAiAFwAIgApACwAIABcACIAXAAiADEALwAxAC8AMgAwADIANQBcACIAXAAiACwAIABcACIAXAAiADEAMwAvADMALwAyADAAMgA1AFwAIgBcACIALAAgAFwAIgBcACIAVwBcACIAXAAiACkAKQApAFwAIgAsACAAXABuACAAIAAgACAAIAAgACAAIAAgACAAIAAgACAAIAAgACAAIAAgACAAIAAgACAAIAAgAFwAIgCSIVwAIgAsACAAXAAiALYAXAAiAFwAbgAgACAAIAAgACAAIAAgACAAIAAgACAAIAAgACAAIAAgACAAIAAgACAAIAAgACAAIAApAFwAbgAgACAAIAAgACAAIAAgACAAIAAgACAAIAAgACAAIAAgACAAIAAgACAAKQAsAFwAbgAgACAAIAAgAC8ALwAgACAATgBhAG0AZQBkACAAYwBvAG4AcwB0AGEAbgB0AHMAXABuACAAIAAgACAAIAAgACAAIABTAGUAbQBpAEEAbgBuAHUAYQBsAGwAeQAsACAAIAAgADYALAAgACAAIAAgAC8ALwBNAG8AbgB0AGgAcwBcAG4AIAAgACAAIAAgACAAIAAgAFEAdQBhAHIAdABlAHIAbAB5ACwAIAAgACAAIAAgACAAMwAsACAAIAAgACAALwAvAE0AbwBuAHQAaABzAFwAbgAgACAAIAAgACAAIAAgACAAQgBpAHcAZQBlAGsAbAB5ACwAIAAgACAAIAAgACAAIAAxADQALAAgACAAIAAvAC8ARABhAHkAcwBcAG4AIAAgACAAIAAgACAAIAAgAFcAZQBlAGsAbAB5ACwAIAAgACAAIAAgACAAIAAgACAANwAsACAAIAAgACAALwAvAEQAYQB5AHMAXABuACAAIAAgACAAIAAgACAAIABNAG8AbgAyAFMAdQBuACwAIAAgACAAIAAgACAAIAAgADIALAAgACAAIAAgAC8ALwBXAEUARQBLAEQAQQBZACgAKQAgAFQAeQBwAGUAIABwAGEAcgBhAG0AZQB0AGUAcgBcAG4AIAAgACAAIAAgACAAIAAgAEYAcgBpAGQAYQB5ACwAIAAgACAAIAAgACAAIAAgACAANQAsACAAIAAgACAALwAvAFcARQBFAEsARABBAFkAKAApACcAcwAgAHYAYQBsAHUAZQAgAGYAbwByACAARgByAGkAZABhAHkAIAB3AGgAZQBuACAAdAB5AHAAZQA9ACAAMgBcAG4AIAAgACAAIAAvAC8AIAAgAEMAaABlAGMAawAgAGkAbgBwAHUAdABzACAALQAgAE8AbQBpAHQAdABlAGQAIAByAGUAcQB1AGkAcgBlAGQAIABhAHIAZwB1AG0AZQBuAHQAcwBcAG4AIAAgACAAIAAgACAAIAAgAEgAZQBsAHAAPwAsACAAIAAgACAAIAAgACAAIAAgACAATwBSACgAIABJAFMATwBNAEkAVABUAEUARAAoACAARABhAHQAZQBzACkALAAgAFwAbgAgACAAIAAgACAAIAAgACAAIAAgACAAIAAgACAAIAAgACAAIAAgACAAIAAgACAAIAAgACAAIAAgAEkAUwBPAE0ASQBUAFQARQBEACgAIABGAGkAcgBzAHQATwBjAGMAdQByAHIAZQBuAGMAZQ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EQAYQB0AGUAcwAsACAAIAAgACAAIAAgACAASQBGACgAIABJAFMATwBNAEkAVABUAEUARAAoACAARABhAHQAZQBzACkALAAgAFwAbgAgACAAIAAgACAAIAAgACAAIAAgACAAIAAgACAAIAAgACAAIAAgACAAIAAgACAAIAAgACAAIAAgAEYAQQBMAFMARQAsAFwAbgAgACAAIAAgACAAIAAgACAAIAAgACAAIAAgACAAIAAgACAAIAAgACAAIAAgACAAIAAgACAAIAAgAEkARgAoACAASQBTAE4AVQBNAEIARQBSACgAIABEAGEAdABlAHMAKQAsACAARABhAHQAZQBzACwAIABEAEEAVABFAFYAQQBMAFUARQAoACAARABhAHQAZQBzACkAKQBcAG4AIAAgACAAIAAgACAAIAAgACAAIAAgACAAIAAgACAAIAAgACAAIAAgACAAIAAgACAAKQAsAFwAbgAgACAAIAAgACAAIAAgACAAQwB2AHQARgBpAHIAcwB0AHMALAAgACAAIAAgACAAIABJAEYAKAAgAEkAUwBPAE0ASQBUAFQARQBEACgAIABGAGkAcgBzAHQATwBjAGMAdQByAHIAZQBuAGMAZQApACwAIABcAG4AIAAgACAAIAAgACAAIAAgACAAIAAgACAAIAAgACAAIAAgACAAIAAgACAAIAAgACAAIAAgACAAIABGAEEATABTAEUALAAgAFwAbgAgACAAIAAgACAAIAAgACAAIAAgACAAIAAgACAAIAAgACAAIAAgACAAIAAgACAAIAAgACAAIAAgAEkARgAoACAASQBTAE4AVQBNAEIARQBSACgAIABGAGkAcgBzAHQATwBjAGMAdQByAHIAZQBuAGMAZQApACwAIABGAGkAcgBzAHQATwBjAGMAdQByAHIAZQBuAGMAZQAsACAARABBAFQARQBWAEEATABVAEUAKAAgAEYAaQByAHMAdABPAGMAYwB1AHIAcgBlAG4AYwBlACkAKQBcAG4AIAAgACAAIAAgACAAIAAgACAAIAAgACAAIAAgACAAIAAgACAAIAAgACAAIAAgACAAKQAsAFwAbgAgACAAIAAgACAAIAAgACAAQwB2AHQATABhAHMAdABzACwAIAAgACAAIAAgACAAIABJAEYAKAAgAEkAUwBPAE0ASQBUAFQARQBEACgAIABMAGEAcwB0AE8AYwBjAHUAcgByAGUAbgBjAGUAKQAsACAAXABuACAAIAAgACAAIAAgACAAIAAgACAAIAAgACAAIAAgACAAIAAgACAAIAAgACAAIAAgACAAIAAgACAARgBBAEwAUwBFACwAIABcAG4AIAAgACAAIAAgACAAIAAgACAAIAAgACAAIAAgACAAIAAgACAAIAAgACAAIAAgACAAIAAgACAAIABJAEYAKAAgAE8AUgAoACAASQBTAE4AVQBNAEIARQBSACgAIABMAGEAcwB0AE8AYwBjAHUAcgByAGUAbgBjAGUAKQAsACAAVABSAEkATQAoACAATABhAHMAdABPAGMAYwB1AHIAcgBlAG4AYwBlACkAIAA9ACAAXAAiAFwAIgApACwAIABMAGEAcwB0AE8AYwBjAHUAcgByAGUAbgBjAGUALAAgAEQAQQBUAEUAVgBBAEwAVQBFACgAIABMAGEAcwB0AE8AYwBjAHUAcgByAGUAbgBjAGUAKQApAFwAbgAgACAAIAAgACAAIAAgACAAIAAgACAAIAAgACAAIAAgACAAIAAgACAAIAAgACAAIAApACwAXABuACAAIAAgACAAIAAgACAAIABSAGUAcABlAGEAdABzACwAIAAgACAAIAAgACAAIAAgAEkARgAoACAATwBSACgAIABJAFMATwBNAEkAVABUAEUARAAoAFIAZQBwAGUAYQB0AHMAKQAsACAAVABSAEkATQAoACAAUgBlAHAAZQBhAHQAcwApACAAPQAgAFwAIgBcACIAIAApACwAIABcACIATwBcACIALAAgAEwARQBGAFQAKABSAGUAcABlAGEAdABzACwAIAAxACkAKQAsAFwAbgAgACAAIAAgAC8ALwAgACAAUAByAG8AYwBlAGQAdQByAGUAXABuACAAIAAgACAAIAAgACAAIABTAGEAbQBlAEQAYQB5ACwAIAAgACAAIAAgACAAIAAgAEQAQQBZACgAIABDAHYAdABEAGEAdABlAHMAKQAgAD0AIABEAEEAWQAoACAAQwB2AHQARgBpAHIAcwB0AHMAKQAsAFwAbgAgACAAIAAgACAAIAAgACAAVABlAHMAdAAsACAAIAAgACAAIAAgACAAIAAgACAAIAAoACAAQwB2AHQARgBpAHIAcwB0AHMAIAA8AD0AIABDAHYAdABEAGEAdABlAHMAKQAgACoAIABcAG4AIAAgACAAIAAgACAAIAAgACAAIAAgACAAIAAgACAAIAAgACAAIAAgACAAIAAgACAASQBGACgAVABSAEkATQAoACAAQwB2AHQATABhAHMAdABzACkAIAA9ACAAXAAiAFwAIgAsACAAMQAsACAAQwB2AHQARABhAHQAZQBzACAAPAA9ACAAQwB2AHQATABhAHMAdABzACkAIAAqAFwAbgAgACAAIAAgACAAIAAgACAAIAAgACAAIAAgACAAIAAgACAAIAAgACAAIAAgACAAIABTAFcASQBUAEMASAAoAFwAbgAgACAAIAAgACAAIAAgACAAIAAgACAAIAAgACAAIAAgACAAIAAgACAAIAAgACAAIAAgACAAIAAgAFIAZQBwAGUAYQB0AHMALABcAG4AIAAgACAAIAAgACAAIAAgACAAIAAgACAAIAAgACAAIAAgACAAIAAgACAAIAAgACAAIAAgACAAIABcACIATwBcACIALAAgACAAIAAgAEMAdgB0AEQAYQB0AGUAcwAgAD0AIABDAHYAdABGAGkAcgBzAHQAcwAsAFwAbgAgACAAIAAgACAAIAAgACAAIAAgACAAIAAgACAAIAAgACAAIAAgACAAIAAgACAAIAAgACAAIAAgAFwAIgBBAFwAIgAsACAAIAAgACAAVABFAFgAVAAoAEMAdgB0AEQAYQB0AGUAcwAsACAAXAAiAE0ATQBEAEQAXAAiACkAIAA9ACAAVABFAFgAVAAoAEMAdgB0AEYAaQByAHMAdABzACwAIABcACIATQBNAEQARABcACIAKQAsAFwAbgAgACAAIAAgACAAIAAgACAAIAAgACAAIAAgACAAIAAgACAAIAAgACAAIAAgACAAIAAgACAAIAAgAFwAIgBTAFwAIgAsACAAIAAgACAAUwBhAG0AZQBEAGEAeQAgACoAIABcAG4AIAAgACAAIAAgACAAIAAgACAAIAAgACAAIAAgACAAIAAgACAAIAAgACAAIAAgACAAIAAgACAAIAAgACAAIAAgACAAIAAgACAAIAAgACAAIAAoAE0ATwBEACgAIABNAE8ATgBUAEgAKAAgAEMAdgB0AEQAYQB0AGUAcwApACwAIABTAGUAbQBpAEEAbgBuAHUAYQBsAGwAeQApACAAPQAgAE0ATwBEACgAIABNAE8ATgBUAEgAKAAgAEMAdgB0AEYAaQByAHMAdABzACkALAAgAFMAZQBtAGkAQQBuAG4AdQBhAGwAbAB5ACkAKQAsAFwAbgAgACAAIAAgACAAIAAgACAAIAAgACAAIAAgACAAIAAgACAAIAAgACAAIAAgACAAIAAgACAAIAAgAFwAIgBRAFwAIgAsACAAIAAgACAAUwBhAG0AZQBEAGEAeQAgACoAXABuACAAIAAgACAAIAAgACAAIAAgACAAIAAgACAAIAAgACAAIAAgACAAIAAgACAAIAAgACAAIAAgACAAIAAgACAAIAAgACAAIAAgACAAIAAgACAAKABNAE8ARAAoACAATQBPAE4AVABIACgAIABDAHYAdABEAGEAdABlAHMAKQAsACAAUQB1AGEAcgB0AGUAcgBsAHkAKQAgAD0AIABNAE8ARAAoACAATQBPAE4AVABIACgAIABDAHYAdABGAGkAcgBzAHQAcwApACwAIABRAHUAYQByAHQAZQByAGwAeQApACkALABcAG4AIAAgACAAIAAgACAAIAAgACAAIAAgACAAIAAgACAAIAAgACAAIAAgACAAIAAgACAAIAAgACAAIABcACIATQBcACIALAAgACAAIAAgAFMAYQBtAGUARABhAHkALABcAG4AIAAgACAAIAAgACAAIAAgACAAIAAgACAAIAAgACAAIAAgACAAIAAgACAAIAAgACAAIAAgACAAIABcACIAQgBcACIALAAgACAAIAAgAE0ATwBEACgAIABDAHYAdABEAGEAdABlAHMALAAgAEIAaQB3AGUAZQBrAGwAeQApACAAPQAgAE0ATwBEACgAIABDAHYAdABGAGkAcgBzAHQAcwAsACAAQgBpAHcAZQBlAGsAbAB5ACkALABcAG4AIAAgACAAIAAgACAAIAAgACAAIAAgACAAIAAgACAAIAAgACAAIAAgACAAIAAgACAAIAAgACAAIABcACIAVwBcACIALAAgACAAIAAgAE0ATwBEACgAIABDAHYAdABEAGEAdABlAHMALAAgAFcAZQBlAGsAbAB5ACkAIAA9ACAATQBPAEQAKAAgAEMAdgB0AEYAaQByAHMAdABzACwAIABXAGUAZQBrAGwAeQApACwAXABuACAAIAAgACAAIAAgACAAIAAgACAAIAAgACAAIAAgACAAIAAgACAAIAAgACAAIAAgACAAIAAgACAAXAAiAFgAXAAiACwAIAAgACAAIABXAEUARQBLAEQAQQBZACgAIABDAHYAdABEAGEAdABlAHMALAAgAE0AbwBuADIAUwB1AG4AKQAgADwAPQAgAEYAcgBpAGQAYQB5ACwAXABuACAAIAAgACAAIAAgACAAIAAgACAAIAAgACAAIAAgACAAIAAgACAAIAAgACAAIAAgACAAIAAgACAAXAAiAEQAXAAiACwAIAAgACAAIABUAFIAVQBFACwAXABuACAAIAAgACAAIAAgACAAIAAgACAAIAAgACAAIAAgACAAIAAgACAAIAAgACAAIAAgACAAIAAgACAAMABcAG4AIAAgACAAIAAgACAAIAAgACAAIAAgACAAIAAgACAAIAAgACAAIAAgACAAIAAgACAAKQAsAFwAbgAgACAAIAAgACAAIAAgACAAUgBlAHMAdQBsAHQALAAgACAAIAAgACAAIAAgACAAIABUAGUAcwB0ACAAPQAgADEALAAgACAAIAAgACAAIAAgACAAXABuACAAIAAgACAALwAvACAAIABSAGUAdAB1AHIAbgAgAFIAZQBzAHUAbAB0AFwAbgAgACAAIAAgACAAIAAgACAAQwBIAE8ATwBTAEUAKAAgAEgAZQBsAHAAPwAgACsAIAAxACwAIABSAGUAcwB1AGwAdAAsACAASABlAGwAcAApAFwAbgAgACAAIAAgACkAXABuACkAOwBcAG4AXABuAFwAbgBcAG4AXABuAC8AKgAgACAARgBVAE4AQwBUAEkATwBOACAATgBBAE0ARQA6ACAAIABPAHYAZQByAEwAYQBwAEQAYQB5AHMAuwNcAG4AIAAgACAAIABEAEUAUwBDAFIASQBQAFQASQBPAE4AOgAqAC8ALwAqACoAUgBlAHQAdQByAG4AIABoAG8AdwAgAG0AYQBuAHkAIABkAGEAeQBzACAAbwB2AGUAcgBsAGEAcAAgAHQAdwBvACAAcABlAHIAaQBvAGQAIAByAGEAbgBnAGUAcwAuACAAKgAvAFwAbgBPAHYAZQByAEwAYQBwAEQAYQB5AHMAuwMgAD0AIABMAEEATQBCAEQAQQAoAFwAbgAvAC8AIAAgAFAAYQByAGEAbQBlAHQAZQByACAARABlAGMAbABhAHIAYQB0AGkAbwBuAHMAXABuACAAIAAgACAAWwBQAGUAcgBpAG8AZAAxAFMAdABhAHIAdABdACwAXABuACAAIAAgACAAWwBQAGUAcgBpAG8AZAAxAEUAbgBkAF0ALABcAG4AIAAgACAAIABbAFAAZQByAGkAbwBkADIAUwB0AGEAcgB0AF0ALABcAG4AIAAgACAAIABbAFAAZQByAGkAbwBkADIARQBuAGQAXQAsACAAIABcAG4ALwAvACAAIABIAGUAbABwAFwAbgAgACAAIAAgAEwARQBUACgAXABuACAAIAAgACAAIAAgACAAIABIAGUAbABwACwAIAAgACAAIAAgACAAIABUAFIASQBNACgAVABFAFgAVABTAFAATABJAFQAKABcAG4AIAAgACAAIAAgACAAIAAgACAAIAAgACAAIAAgACAAIAAgACAAIAAgACAAIAAgACAAXAAiAEYAVQBOAEMAVABJAE8ATgA6ACAAIAAgACAAIAAgAJIhTwB2AGUAcgBMAGEAcABEAGEAeQBzALsDKABQAGUAcgBpAG8AZAAxAFMAdABhAHIAdAAsACAAUABlAHIAaQBvAGQAMQBFAG4AZAAsACAAUABlAHIAaQBvAGQAMgBTAHQAYQByAHQALAAgAFAAZQByAGkAbwBkADIARQBuAGQAKQC2AFwAIgAgACYAXABuACAAIAAgACAAIAAgACAAIAAgACAAIAAgACAAIAAgACAAIAAgACAAIAAgACAAIAAgAFwAIgBEAEUAUwBDAFIASQBQAFQASQBPAE4AOgAgACAAIACSIUMAbwB1AG4AdAAgAGQAYQB5AHMAIABzAGgAYQByAGUAZAAgAGIAZQB0AHcAZQBlAG4AIAB0AHcAbwAgAHMAZQB0AHMAIABvAGYAIABwAGUAcgBpAG8AZABzAC4AtgBcACIAIAAmACAAXABuACAAIAAgACAAIAAgACAAIAAgACAAIAAgACAAIAAgACAAIAAgACAAIAAgACAAIAAgAFwAIgBXAEUAQgBTAEkAVABFADoAIAAgACAAIAAgACAAIACSIWgAdAB0AHAAcwA6AC8ALwBnAGkAdABoAHUAYgAuAGMAbwBtAC8AcgB5AGEAbgBkAHUAZwB1AGkAZAAvAE4AYQBiAGwAYQC2AFwAIgAgACYAXABuACAAIAAgACAAIAAgACAAIAAgACAAIAAgACAAIAAgACAAIAAgACAAIAAgACAAIAAgAFwAIgBQAEEAUgBBAE0ARQBUAEUAUgBTADoAIAAgACAAIACSIbYAXAAiACAAJgAgAFwAbgAgACAAIAAgACAAIAAgACAAIAAgACAAIAAgACAAIAAgACAAIAAgACAAIAAgACAAIABcACIAUABlAHIAaQBvAGQAMQBTAHQAYQByAHQAIAAgACAAkiEoAFIAZQBxAHUAaQByAGUAZAApACAARgBpAHIAcwB0ACAAcABlAHIAaQBvAGQAJwBzACAAcwB0AGEAcgB0ACAAZABhAHQAZQAuALYAXAAiACAAJgAgAFwAbgAgACAAIAAgACAAIAAgACAAIAAgACAAIAAgACAAIAAgACAAIAAgACAAIAAgACAAIABcACIAUABlAHIAaQBvAGQAMQBFAG4AZAAgACAAIAAgACAAkiEoAFIAZQBxAHUAaQByAGUAZAApACAARgBpAHIAcwB0ACAAcABlAHIAaQBvAGQAJwBzACAAZQBuAGQAIABkAGEAdABlAC4AtgBcACIAIAAmACAAXABuACAAIAAgACAAIAAgACAAIAAgACAAIAAgACAAIAAgACAAIAAgACAAIAAgACAAIAAgAFwAIgBQAGUAcgBpAG8AZAAyAFMAdABhAHIAdAAgACAAIACSISgAUgBlAHEAdQBpAHIAZQBkACkAIABTAGUAYwBvAG4AZAAgAHAAZQByAGkAbwBkACcAcwAgAHMAdABhAHIAdAAgAGQAYQB0AGUALgC2AFwAIgAgACYAIABcAG4AIAAgACAAIAAgACAAIAAgACAAIAAgACAAIAAgACAAIAAgACAAIAAgACAAIAAgACAAXAAiAFAAZQByAGkAbwBkADIARQBuAGQAIAAgACAAIAAgAJIhKABSAGUAcQB1AGkAcgBlAGQAKQAgAEQAZQBjAG8AbgBkACAAcABlAHIAaQBvAGQAJwBzACAAZQBuAGQAIABkAGEAdABlAC4AtgBcACIAIAAmACAAXABuACAAIAAgACAAIAAgACAAIAAgACAAIAAgACAAIAAgACAAIAAgACAAIAAgACAAIAAgAFwAIgBFAFgAQQBNAFAATABFAFMAOgAgACAAIAAgACAAIACSIbYAXAAiACAAJgAg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DUAIAAgACAAIAAgACAAIAAgACAAIAAgACAAIAAgAJIhPQBuAGEAYgBsAGEALgBkAC4ATwB2AGUAcgBMAGEAcABEAGEAeQBzALsDKAAwADgALAAgADEANAAsACAAMQAwACwAIAAxADcAKQC2AFwAIgAgACYAIABcAG4AIAAgACAAIAAgACAAIAAgACAAIAAgACAAIAAgACAAIAAgACAAIAAgACAAIAAgACAAXAAiADgAIAAgACAAIAAgACAAIAAgACAAIAAgACAAIAAgAJIhPQBuAGEAYgBsAGEALgBkAC4ATwB2AGUAcgBMAGEAcABEAGEAeQBzALsDKAAxADAALAAgADIAMAAsACAAMQAxACwAIAAxADgAKQC2AFwAIgAgACYAIABcAG4AIAAgACAAIAAgACAAIAAgACAAIAAgACAAIAAgACAAIAAgACAAIAAgACAAIAAgACAAXAAiADEAMgAgACAAIAAgACAAIAAgACAAIAAgACAAIAAgAJIhPQBuAGEAYgBsAGEALgBkAC4ATwB2AGUAcgBMAGEAcABEAGEAeQBzALsDKABcACIAXAAiADEANwAvADEALwAyADAAMgA1AFwAIgBcACIALAAgAFwAIgBcACIAMgA1AC8AMQAvADIAMAAyADUAXAAiAFwAIgAsACAAXAAiAFwAIgA3AC8AMQAvADIAMAAyADUAXAAiAFwAIgAsACAAXAAiAFwAIgAxADgALwAxAC8AMgAwADIANQBcACIAXAAiACkAXAAiACwAIABcAG4AIAAgACAAIAAgACAAIAAgACAAIAAgACAAIAAgACAAIAAgACAAIAAgACAAIAAgACAAXAAiAJIhXAAiACwAIABcACIAtgBcACIAXABuACAAIAAgACAAIAAgACAAIAAgACAAIAAgACAAIAAgACAAIAAgACAAIAAgACAAIA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AAZQByAGkAbwBkADEAUwB0AGEAcgB0ACkALAAgAFwAbgAgACAAIAAgACAAIAAgACAAIAAgACAAIAAgACAAIAAgACAAIAAgACAAIAAgACAAIAAgACAAIAAgAEkAUwBPAE0ASQBUAFQARQBEACgAIABQAGUAcgBpAG8AZAAxAEUAbgBkACkALABcAG4AIAAgACAAIAAgACAAIAAgACAAIAAgACAAIAAgACAAIAAgACAAIAAgACAAIAAgACAAIAAgACAAIABJAFMATwBNAEkAVABUAEUARAAoACAAUABlAHIAaQBvAGQAMgBTAHQAYQByAHQAKQAsACAAXABuACAAIAAgACAAIAAgACAAIAAgACAAIAAgACAAIAAgACAAIAAgACAAIAAgACAAIAAgACAAIAAgACAASQBTAE8ATQBJAFQAVABFAEQAKAAgAFAAZQByAGkAbwBkADIARQBuAGQAKQBcAG4AIAAgACAAIAAgACAAIAAgACAAIAAgACAAIAAgACAAIAAgACAAIAAgACAAIAAgACA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QADEAUwB0AGEAcgB0ACwAIAAgACAAIAAgAEkARgAoACAASQBTAE8ATQBJAFQAVABFAEQAKAAgAFAAZQByAGkAbwBkADEAUwB0AGEAcgB0ACkALAAgAFwAbgAgACAAIAAgACAAIAAgACAAIAAgACAAIAAgACAAIAAgACAAIAAgACAAIAAgACAAIAAgACAAIAAgAEYAQQBMAFMARQAsAFwAbgAgACAAIAAgACAAIAAgACAAIAAgACAAIAAgACAAIAAgACAAIAAgACAAIAAgACAAIAAgACAAIAAgAEkARgAoACAASQBTAE4AVQBNAEIARQBSACgAIABQAGUAcgBpAG8AZAAxAFMAdABhAHIAdAApACwAIABQAGUAcgBpAG8AZAAxAFMAdABhAHIAdAAsACAARABBAFQARQBWAEEATABVAEUAKAAgAFAAZQByAGkAbwBkADEAUwB0AGEAcgB0ACkAKQBcAG4AIAAgACAAIAAgACAAIAAgACAAIAAgACAAIAAgACAAIAAgACAAIAAgACAAIAAgACAAKQAsAFwAbgAgACAAIAAgACAAIAAgACAAQwB2AHQAUAAxAEUAbgBkACwAIAAgACAAIAAgAEkARgAoACAASQBTAE8ATQBJAFQAVABFAEQAKAAgAFAAZQByAGkAbwBkADEARQBuAGQAKQAsACAAXABuACAAIAAgACAAIAAgACAAIAAgACAAIAAgACAAIAAgACAAIAAgACAAIAAgACAAIAAgACAAIAAgACAARgBBAEwAUwBFACwAXABuACAAIAAgACAAIAAgACAAIAAgACAAIAAgACAAIAAgACAAIAAgACAAIAAgACAAIAAgACAAIAAgACAASQBGACgAIABJAFMATgBVAE0AQgBFAFIAKAAgAFAAZQByAGkAbwBkADEARQBuAGQAKQAsACAAUABlAHIAaQBvAGQAMQBFAG4AZAAsACAARABBAFQARQBWAEEATABVAEUAKAAgAFAAZQByAGkAbwBkADEARQBuAGQAKQApAFwAbgAgACAAIAAgACAAIAAgACAAIAAgACAAIAAgACAAIAAgACAAIAAgACAAIAAgACAAIAApACwAXABuACAAIAAgACAAIAAgACAAIABDAHYAdABQADIAUwB0AGEAcgB0ACwAIAAgACAAIAAgAEkARgAoACAASQBTAE8ATQBJAFQAVABFAEQAKAAgAFAAZQByAGkAbwBkADIAUwB0AGEAcgB0ACkALAAgAFwAbgAgACAAIAAgACAAIAAgACAAIAAgACAAIAAgACAAIAAgACAAIAAgACAAIAAgACAAIAAgACAAIAAgAEYAQQBMAFMARQAsAFwAbgAgACAAIAAgACAAIAAgACAAIAAgACAAIAAgACAAIAAgACAAIAAgACAAIAAgACAAIAAgACAAIAAgAEkARgAoACAASQBTAE4AVQBNAEIARQBSACgAIABQAGUAcgBpAG8AZAAyAFMAdABhAHIAdAApACwAIABQAGUAcgBpAG8AZAAyAFMAdABhAHIAdAAsACAARABBAFQARQBWAEEATABVAEUAKAAgAFAAZQByAGkAbwBkADIAUwB0AGEAcgB0ACkAKQBcAG4AIAAgACAAIAAgACAAIAAgACAAIAAgACAAIAAgACAAIAAgACAAIAAgACAAIAAgACAAKQAsAFwAbgAgACAAIAAgACAAIAAgACAAQwB2AHQAUAAyAEUAbgBkACwAIAAgACAAIAAgAEkARgAoACAASQBTAE8ATQBJAFQAVABFAEQAKAAgAFAAZQByAGkAbwBkADIARQBuAGQAKQAsACAAXABuACAAIAAgACAAIAAgACAAIAAgACAAIAAgACAAIAAgACAAIAAgACAAIAAgACAAIAAgACAAIAAgACAARgBBAEwAUwBFACwAXABuACAAIAAgACAAIAAgACAAIAAgACAAIAAgACAAIAAgACAAIAAgACAAIAAgACAAIAAgACAAIAAgACAASQBGACgAIABJAFMATgBVAE0AQgBFAFIAKAAgAFAAZQByAGkAbwBkADIARQBuAGQAKQAsACAAUABlAHIAaQBvAGQAMgBFAG4AZAAsACAARABBAFQARQBWAEEATABVAEUAKAAgAFAAZQByAGkAbwBkADIARQBuAGQAKQApAFwAbgAgACAAIAAgACAAIAAgACAAIAAgACAAIAAgACAAIAAgACAAIAAgACAAIAAgACAAIAApACwAXABuACAAIAAgACAALwAvACAAIABQAHIAbwBjAGUAZAB1AHIAZQBcAG4AIAAgACAAIAAgACAAIAAgAE0AaQBuAE8AZgBFAG4AZAAsACAAIAAgAEkARgAoAFAAZQByAGkAbwBkADIARQBuAGQAIAA8AD0AIABQAGUAcgBpAG8AZAAxAEUAbgBkACwAIABQAGUAcgBpAG8AZAAyAEUAbgBkACwAIABQAGUAcgBpAG8AZAAxAEUAbgBkACkALABcAG4AIAAgACAAIAAgACAAIAAgAE0AYQB4AE8AZgBTAHQAYQByAHQALAAgAEkARgAoAFAAZQByAGkAbwBkADIAUwB0AGEAcgB0ACAAPgA9ACAAUABlAHIAaQBvAGQAMQBTAHQAYQByAHQALAAgAFAAZQByAGkAbwBkADIAUwB0AGEAcgB0ACwAIABQAGUAcgBpAG8AZAAxAFMAdABhAHIAdAApACwAXABuACAAIAAgACAAIAAgACAAIABEAGEAeQBzACwAIAAgACAAIAAgACAAIABNAGkAbgBPAGYARQBuAGQAIAAtACAATQBhAHgATwBmAFMAdABhAHIAdAAgACsAIAAxACwAXABuACAAIAAgACAAIAAgACAAIABSAGUAcwB1AGwAdAAsACAAIAAgACAAIABJAEYAKABEAGEAeQBzACAAPgAgADAALAAgAEQAYQB5AHMALAAgADA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QAGUAcgBpAG8AZABMAGEAYgBlAGwAuwNcAG4AIAAgACAAIABEAEUAUwBDAFIASQBQAFQASQBPAE4AOgAqAC8ALwAqACoAQwByAGUAYQB0AGUAcwAgAGEAIABsAGEAYgBlAGwAIABmAG8AcgAgAGEAIABkAGEAdABlACAAYgBhAHMAZQBkACAAbwBuACAAcABlAHIAaQBvAGQAIABpAG4AdABlAHIAdgBhAGwAKgAvAFwAbgBQAGUAcgBpAG8AZABMAGEAYgBlAGwAuwMgAD0AIABMAEEATQBCAEQAQQAoAFwAbgAvAC8AIAAgAFAAYQByAGEAbQBlAHQAZQByACAARABlAGMAbABhAHIAYQB0AGkAbwBuAHMAXABuACAAIAAgACAAWwBEAGEAdABlAF0ALABcAG4AIAAgACAAIABbAEkAbgB0AGUAcgB2AGEAbABdACwAXABuACAAIAAgACAATABFAFQAKABcAG4ALwAvACAAIABIAGUAbABwAFwAbgAgACAAIAAgACAAIAAgACAASABlAGwAcAAsACAAIAAgACAAIAAgACAAVABSAEkATQAoAFQARQBYAFQAUwBQAEwASQBUACgAIABcAG4AIAAgACAAIAAgACAAIAAgACAAIAAgACAAIAAgACAAIAAgACAAIAAgACAAIAAgACAAXAAiAEYAVQBOAEMAVABJAE8ATgA6ACAAIAAgACAAIAAgAJIhUABlAHIAaQBvAGQATABhAGIAZQBsALsDKABEAGEAdABlACwAIABbAEkAbgB0AGUAcgB2AGEAbABdACkAtgBcACIAIAAmAFwAbgAgACAAIAAgACAAIAAgACAAIAAgACAAIAAgACAAIAAgACAAIAAgACAAIAAgACAAIABcACIARABFAFMAQwBSAEkAUABUAEkATwBOADoAIAAgACAAkiFDAHIAZQBhAHQAZQBzACAAYQAgAGwAYQBiAGUAbAAgAGYAbwByACAAYQAgAGQAYQB0AGUAIABiAGEAcwBlAGQAIABvAG4AIABwAGUAcgBpAG8AZAAgAGkAbgB0AGUAcgB2AGEAbAC2AFwAIgAgACYAIABcAG4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BcACIAUABBAFIAQQBNAEUAVABFAFIAUwA6ACAAIAAgACAAkiG2AFwAIgAgACYAIABcAG4AIAAgACAAIAAgACAAIAAgACAAIAAgACAAIAAgACAAIAAgACAAIAAgACAAIAAgACAAXAAiAEQAYQB0AGUAIAAgACAAIAAgACAAIAAgACAAIAAgAJIhKABSAGUAcQB1AGkAcgBlAGQAKQAgAEEAIABzAGkAbgBnAGwAZQAgAGQAYQB0AGUAIABvAHIAIABhAHIAcgBhAHkAIABvAGYAIABkAGEAdABlACgAcwApACAAdwBoAGUAcgBlACAAdABoAGUAIABmAGkAcgBzAHQAIABkAGEAdABlACAAaQBzACAAdABoAGUAIABmAGkAcgBzAHQAIABkAGEAdABlACAAbwBmACAAYQAgAGMAYQBsAGUAbgBkAGEAcgAgAHkAZQBhAHIALgC2AFwAIgAgACYAIABcAG4AIAAgACAAIAAgACAAIAAgACAAIAAgACAAIAAgACAAIAAgACAAIAAgACAAIAAgACAAXAAiAEkAbgB0AGUAcgB2AGEAbAAgACAAIAAgACAAIAAgAJIhKABPAHAAdABpAG8AbgBhAGwAKQAgAE0AdQBzAHQAIABiAGUAIABvAG4AZQAgAG8AZgA6ACAAtgBcACIAIAAmACAAXABuACAAIAAgACAAIAAgACAAIAAgACAAIAAgACAAIAAgACAAIAAgACAAIAAgACAAIAAgACAAIAAgACAAIAAgACAAIAAgACAAIAAgACAAIAAgAFwAIgCSIUQAPQBEAGEAaQBsAHkAtgBcACIAIAAmACAAXABuACAAIAAgACAAIAAgACAAIAAgACAAIAAgACAAIAAgACAAIAAgACAAIAAgACAAIAAgACAAIAAgACAAIAAgACAAIAAgACAAIAAgACAAIAAgAFwAIgCSIVcAPQBXAGUAZQBrAGwAeQC2AFwAIgAgACYAIABcAG4AIAAgACAAIAAgACAAIAAgACAAIAAgACAAIAAgACAAIAAgACAAIAAgACAAIAAgACAAIAAgACAAIAAgACAAIAAgACAAIAAgACAAIAAgACAAXAAiAJIhSQA9AFcAZQBlAGsAbAB5ACAAKAB1AHMAaQBuAGcAIABJAFMATwAgAHcAZQBlAGsAIABuAHUAbQBiAGUAcgApALYAXAAiACAAJgAgAFwAbgAgACAAIAAgACAAIAAgACAAIAAgACAAIAAgACAAIAAgACAAIAAgACAAIAAgACAAIAAgACAAIAAgACAAIAAgACAAIAAgACAAIAAgACAAIABcACIAkiFNAD0ATQBvAG4AdABoAGwAeQC2AFwAIgAgACYAIABcAG4AIAAgACAAIAAgACAAIAAgACAAIAAgACAAIAAgACAAIAAgACAAIAAgACAAIAAgACAAIAAgACAAIAAgACAAIAAgACAAIAAgACAAIAAgACAAXAAiAJIhUQA9AFEAdQBhAHIAdABlAHIAbAB5ALYAXAAiACAAJgAgAFwAbgAgACAAIAAgACAAIAAgACAAIAAgACAAIAAgACAAIAAgACAAIAAgACAAIAAgACAAIAAgACAAIAAgACAAIAAgACAAIAAgACAAIAAgACAAIABcACIAkiFTAD0AUwBlAG0AaQAtAEEAbgBuAHUAYQBsAGwAeQC2AFwAIgAgACYAIABcAG4AIAAgACAAIAAgACAAIAAgACAAIAAgACAAIAAgACAAIAAgACAAIAAgACAAIAAgACAAIAAgACAAIAAgACAAIAAgACAAIAAgACAAIAAgACAAXAAiAJIhQQAgAG8AcgAgAFkAPQBBAG4AbgB1AGEAbABsAHkAtgBcACIAIAAmACAAXABuACAAIAAgACAAIAAgACAAIAAgACAAIAAgACAAIAAgACAAIAAgACAAIAAgACAAIAAgAFwAIgBFAFgAQQBNAFAATABFAFMAOgAgACAAIAAgACAAIACSIbYAXAAiACAAJgAg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DIAMAAyADMALQBGAGUAYgAtADIANgAgACAAIAAgAJIhPQBuAGEAYgBsAGEALgBkAC4AUABlAHIAaQBvAGQATABhAGIAZQBsALsDKABEAEEAVABFAFYAQQBMAFUARQAoAFwAIgBcACIAMgA2AC8AMgAvADIAMAAyADUAXAAiAFwAIgApACwAIABcACIAXAAiAEQAXAAiAFwAIgApALYAXAAiACAAJgBcAG4AIAAgACAAIAAgACAAIAAgACAAIAAgACAAIAAgACAAIAAgACAAIAAgACAAIAAgACAAXAAiADIAMAAyADMALQBGAGUAYgAgACAAIAAgACAAIAAgAJIhPQBuAGEAYgBsAGEALgBkAC4AUABlAHIAaQBvAGQATABhAGIAZQBsALsDKABEAEEAVABFAFYAQQBMAFUARQAoAFwAIgBcACIAMgA2AC8AMgAvADIAMAAyADUAXAAiAFwAIgApACwAIABcACIAXAAiAE0AXAAiAFwAIgApALYAXAAiACAAJgAgAFwAbgAgACAAIAAgACAAIAAgACAAIAAgACAAIAAgACAAIAAgACAAIAAgACAAIAAgACAAIABcACIAMgAwADIAMwA6AFEAMAAxACAAIAAgACAAIAAgACAAkiE9AG4AYQBiAGwAYQAuAGQALgBQAGUAcgBpAG8AZABMAGEAYgBlAGwAuwMoAEQAQQBUAEUAVgBBAEwAVQBFACgAXAAiAFwAIgAyADYALwAyAC8AMgAwADIANQBcACIAXAAiACkALAAgAFwAIgBcACIAUQBcACIAXAAiACkAtgBcACIAIAAmACAAXABuACAAIAAgACAAIAAgACAAIAAgACAAIAAgACAAIAAgACAAIAAgACAAIAAgACAAIAAgAFwAIgAyADAAMgAzACAAIAAgACAAIAAgACAAIAAgACAAIACSIT0AbgBhAGIAbABhAC4AZAAuAFAAZQByAGkAbwBkAEwAYQBiAGUAbAC7AygARABBAFQARQBWAEEATABVAEUAKABcACIAXAAiADIANgAvADIALwAyADAAMgA1AFwAIgBcACIAKQAsACAAXAAiAFwAIgBZAFwAIgBcACIAKQBcACIALAAgAFwAbgAgACAAIAAgACAAIAAgACAAIAAgACAAIAAgACAAIAAgACAAIAAgACAAIAAgACAAIABcACIAkiFcACIALAAgAFwAIgC2AFwAIgBcAG4AIAAgACAAIAAgACAAIAAgACAAIAAgACAAIAAgACAAIAAgACAAIAAgACAAIAAgACAAKQBcAG4AIAAgACAAIAAgACAAIAAgACAAIAAgACAAIAAgACAAIAAgACAAIAAgACkALABcAG4AIAAgACAAIAAvAC8AIAAgAEMAaABlAGMAawAgAGkAbgBwAHUAdABzACAALQAgAE8AbQBpAHQAdABlAGQAIAByAGUAcQB1AGkAcgBlAGQAIABhAHIAZwB1AG0AZQBuAHQAcwBcAG4AIAAgACAAIAAgACAAIAAgAEgAZQBsAHAAPwAsACAAIAAgACAAIAAgACAAIAAgACAASQBTAE8ATQBJAFQAVABFAEQAKAAgAEQAYQB0AGU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EAGEAdABlACwAIAAgACAAIAAgACAAIAAgAEkARgAoACAASQBTAE8ATQBJAFQAVABFAEQAKAAgAEQAYQB0AGUAKQAsACAAXABuACAAIAAgACAAIAAgACAAIAAgACAAIAAgACAAIAAgACAAIAAgACAAIAAgACAAIAAgACAAIAAgACAARgBBAEwAUwBFACwAXABuACAAIAAgACAAIAAgACAAIAAgACAAIAAgACAAIAAgACAAIAAgACAAIAAgACAAIAAgACAAIAAgACAASQBGACgAIABJAFMATgBVAE0AQgBFAFIAKAAgAEQAYQB0AGUAKQAsACAARABhAHQAZQAsACAARABBAFQARQBWAEEATABVAEUAKAAgAEQAYQB0AGUAKQApAFwAbgAgACAAIAAgACAAIAAgACAAIAAgACAAIAAgACAAIAAgACAAIAAgACAAIAAgACAAIAApACwAXABuACAAIAAgACAAIAAgACAAIABJAG4AdABlAHIAdgBhAGwALAAgACAAIAAgACAAIAAgACAAIABJAEYAKAAgAEkAUwBPAE0ASQBUAFQARQBEACgAIABJAG4AdABlAHIAdgBhAGwAKQAsACAAXAAiAE0AXAAiACwAIABJAG4AdABlAHIAdgBhAGwAKQAsAFwAbgAgACAAIAAgAC8ALwAgACAAUAByAG8AYwBlAGQAdQByAGUAXABuACAAIAAgACAAIAAgACAAIABSAGUAcwB1AGwAdAAsACAAIAAgACAAIABTAFcASQBUAEMASAAoAEkAbgB0AGUAcgB2AGEAbAAsAFwAbgAgACAAIAAgACAAIAAgACAAIAAgACAAIAAgACAAIAAgACAAIAAgACAAIAAgACAAIABcACIARABcACIALAAgAFQARQBYAFQAKABEAGEAdABlACwAIABcACIAeQB5AHkAeQAtAG0AbQBtAC0AZABkAFwAIgApACwAXABuACAAIAAgACAAIAAgACAAIAAgACAAIAAgACAAIAAgACAAIAAgACAAIAAgACAAIAAgAFwAIgBXAFwAIgAsACAAWQBFAEEAUgAoAEQAYQB0AGUAKQAgACYAIABcACIAOgBXAFwAIgAgACYAIABUAEUAWABUACgAUQBVAE8AVABJAEUATgBUACgARABhAHQAZQAgAC0AIABEAEEAVABFACgAWQBFAEEAUgAoAEQAYQB0AGUAKQAsACAAMQAsACAAMAApACAALQAgADEALAAgADcAKQAgACsAIAAxACwAIABcACIAMAAwAFwAIgApACwAXABuACAAIAAgACAAIAAgACAAIAAgACAAIAAgACAAIAAgACAAIAAgACAAIAAgACAAIAAgAFwAIgBJAFwAIgAsACAAWQBFAEEAUgAoAEQAYQB0AGUAKQAgACYAIABcACIAOgBXAFwAIgAgACYAIABUAEUAWABUACgASQBTAE8AVwBFAEUASwBOAFUATQAoAEQAYQB0AGUAKQAsACAAXAAiADAAMABcACIAKQAsAFwAbgAgACAAIAAgACAAIAAgACAAIAAgACAAIAAgACAAIAAgACAAIAAgACAAIAAgACAAIABcACIATQBcACIALAAgAFQARQBYAFQAKABEAGEAdABlACwAIABcACIAWQBZAFkAWQAtAE0ATQBNAFwAIgApACwAXABuACAAIAAgACAAIAAgACAAIAAgACAAIAAgACAAIAAgACAAIAAgACAAIAAgACAAIAAgAFwAIgBRAFwAIgAsACAAWQBFAEEAUgAoAEQAYQB0AGUAKQAgACYAIABcACIAOgBRAFwAIgAgACYAIABRAFUATwBUAEkARQBOAFQAKABNAE8ATgBUAEgAKABEAGEAdABlACkAIAAtACAAMQAsACAAMwApACAAKwAgADEALABcAG4AIAAgACAAIAAgACAAIAAgACAAIAAgACAAIAAgACAAIAAgACAAIAAgACAAIAAgACAAXAAiAFMAXAAiACwAIABZAEUAQQBSACgARABhAHQAZQApACAAJgAgAFwAIgA6AFMAXAAiACAAJgAgAFEAVQBPAFQASQBFAE4AVAAoAE0ATwBOAFQASAAoAEQAYQB0AGUAKQAgAC0AIAAxACwAIAA2ACkAIAArACAAMQAsAFwAbgAgACAAIAAgACAAIAAgACAAIAAgACAAIAAgACAAIAAgACAAIAAgACAAIAAgACAAIABcACIAQQBcACIALAAgAFQARQBYAFQAKABEAGEAdABlACwAIABcACIAWQBZAFkAWQBcACIAKQAsAFwAbgAgACAAIAAgACAAIAAgACAAIAAgACAAIAAgACAAIAAgACAAIAAgACAAIAAgACAAIABcACIAWQBcACIALAAgAFQARQBYAFQAKABEAGEAdABlACwAIABcACIAWQBZAFkAWQBcACIAKQAsACAAIAAgACAAIAAgACAAIAAgACAAIAAgACAAIAAgACAAIAAgACAAIAAgACAAIAAgACAAIAAgACAAXABuACAAIAAgACAAIAAgACAAIAAgACAAIAAgACAAIAAgACAAIAAgACAAIAAgACAAIAAgACMAVgBhAGwAdQBlACEAXABuACAAIAAgACAAIAAgACAAIAAgACAAIAAgACAAIAAgACAAIAAgACAAIAApACwAIAAgACAAIAAgACAAIAAgAFwAbgAgACAAIAAgAC8ALwAgACAAUgBlAHQAdQByAG4AIABSAGUAcwB1AGwAdABcAG4AIAAgACAAIAAgACAAIAAgAEMASABPAE8AUwBFACgAIABIAGUAbABwAD8AIAArACAAMQAsACAAUgBlAHMAdQBsAHQALAAgAEgAZQBsAHAAKQBcAG4AIAAgACAAIAApAFwAbgApADsAXABuAFwAbgBcAG4AXABuAC8AKgAgACAARgBVAE4AQwBUAEkATwBOACAATgBBAE0ARQA6ACAAIABQAGUAcgBpAG8AZABzALsDXABuACAAIAAgACAARABFAFMAQwBSAEkAUABUAEkATwBOADoAKgAvAC8AKgAqAEQAZQB0AGUAcgBtAGkAbgBlACAAdABoAGUAIABuAHUAbQBiAGUAcgAgAG8AZgAgAHAAZQByAGkAbwBkAHMAIABmAHIAbwBtACAAUwB0AGEAcgB0AHMAIAB0AG8AIABEAGEAdABlADIAIABpAG4AIABEAGEAeQBzACwAIABXAGUAZQBrAHMALAAgAE0AbwBuAHQAaABzACwAIABRAHUAYQByAHQAZQByAHMALAAgAG8AcgAgAFkAZQBhAHIAcwAuACoALwBcAG4AUABlAHIAaQBvAGQAcwC7AyAAPQAgAEwAQQBNAEIARABBACgAXABuAC8ALwAgACAAUABhAHIAYQBtAGUAdABlAHIAIABEAGUAYwBsAGEAcgBhAHQAaQBvAG4AcwBcAG4AIAAgACAAIABbAFMAdABhAHIAdABzAF0ALABcAG4AIAAgACAAIABbAEUAbgBkAHMAXQAsAFwAbgAgACAAIAAgAFsASQBuAHQAZQByAHYAYQBsAHMAXQAsAFwAbgAgACAAIAAgAEwARQBUACgAXABuAC8ALwAgACAASABlAGwAcABcAG4AIAAgACAAIAAgACAAIAAgAEgAZQBsAHAALAAgACAAIAAgACAAIAAgAFQAUgBJAE0AKABUAEUAWABUAFMAUABMAEkAVAAoACAAXABuACAAIAAgACAAIAAgACAAIAAgACAAIAAgACAAIAAgACAAIAAgACAAIAAgACAAIAAgAFwAIgBGAFUATgBDAFQASQBPAE4AOgAgACAAIAAgACAAIACSIVAAZQByAGkAbwBkAHMAuwMoAFMAdABhAHIAdABzACwAIABFAG4AZABzACwAIABbAEkAbgB0AGUAcgB2AGEAbABzAF0AKQC2AFwAIgAgACYAXABuACAAIAAgACAAIAAgACAAIAAgACAAIAAgACAAIAAgACAAIAAgACAAIAAgACAAIAAgAFwAIgBEAEUAUwBDAFIASQBQAFQASQBPAE4AOgAgACAAIACSIUQAZQB0AGUAcgBtAGkAbgBlACAAdABoAGUAIABuAHUAbQBiAGUAcgAgAG8AZgAgAHAAZQByAGkAbwBkAHMAIABmAHIAbwBtACAAZABhAHQAZQAxACAAdABvACAAZABhAHQAZQAgADIAIABpAG4AYwBsAHUAcwBpAHYAZQAuALYAXAAiACAAJgBcAG4AIAAgACAAIAAgACAAIAAgACAAIAAgACAAIAAgACAAIAAgACAAIAAgACAAIAAgACAAIAAgACAAIAAgACAAIAAgACAAIAAgACAAIAAgACAAXAAiAJIhRABpAGYAZgBlAHIAZQBuAGMAZQBzACAAdABvACAARQB4AGMAZQBsADQALgAwACcAcwAgAEQAYQB0AGUARABpAGYAIABhAHIAZQA6ALYAXAAiACAAJgAgAFwAbgAgACAAIAAgACAAIAAgACAAIAAgACAAIAAgACAAIAAgACAAIAAgACAAIAAgACAAIAAgACAAIAAgACAAIAAgACAAIAAgACAAIAAgACAAIABcACIAkiEqACAASQBuAHQAZQByAHYAYQBsACAAaQBuAGMAbAB1AGQAZQBzACAAVwBlAGUAawBzACAAJgAgAFEAdQBhAHIAdABlAHIAcwC2AFwAIgAgACYAIABcAG4AIAAgACAAIAAgACAAIAAgACAAIAAgACAAIAAgACAAIAAgACAAIAAgACAAIAAgACAAIAAgACAAIAAgACAAIAAgACAAIAAgACAAIAAgACAAXAAiAJIhKgAgAEUAbgBkACAARABhAHQAZQAgAGkAcwAgAGkAbgBjAGwAdQBzAGkAdgBlALYAXAAiACAAJgAgAFwAbgAgACAAIAAgACAAIAAgACAAIAAgACAAIAAgACAAIAAgACAAIAAgACAAIAAgACAAIAAgACAAIAAgACAAIAAgACAAIAAgACAAIAAgACAAIABcACIAkiEqACAAUgBlAHQAdQByAG4AcwAgAG4AZQBnAGEAdABpAHYAZQAgAHYAYQBsAHUAZQBzACAAaQBmACAARABhAHQAZQAxACAAaQBzACAAYQBmAHQAZQByACAARABhAHQAZQAyALYAXAAiACAAJgAgAFwAbg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BcACIAUABBAFIAQQBNAEUAVABFAFIAUwA6ACAAIAAgACAAkiG2AFwAIgAgACYAXABuACAAIAAgACAAIAAgACAAIAAgACAAIAAgACAAIAAgACAAIAAgACAAIAAgACAAIAAgAFwAIgBTAHQAYQByAHQAcwAgACAAIAAgACAAIAAgACAAIACSISgAUgBlAHEAdQBpAHIAZQBkACkAIABGAGkAcgBzAHQAIABkAGEAdABlACAAKABuAG8AcgBtAGEAbABsAHkAIABvAGwAZABlAHIAKQAuACAAVABoAGkAcwAgAGMAYQBuACAAYgBlACAAYQAgAHMAaQBuAGcAbABlACAAbgB1AG0AYgBlAHIAIABvAHIAIABhAHIAcgBhAHkALgC2AFwAIgAgACYAXABuACAAIAAgACAAIAAgACAAIAAgACAAIAAgACAAIAAgACAAIAAgACAAIAAgACAAIAAgAFwAIgBFAG4AZABzACAAIAAgACAAIAAgACAAIAAgACAAIACSISgAUgBlAHEAdQBpAHIAZQBkACkAIABTAGUAYwBvAG4AZAAgAGQAYQB0AGUAIAAoAG4AbwByAG0AYQBsAGwAeQAgAG4AZQB3AGUAcgApAC4AIABUAGgAaQBzACAAbQB1AHMAdAAgAGIAZQAgAHQAaABlACAAcwBhAG0AZQAgAHMAaABhAHAAZQAgACgAIwAgAG8AZgAgAHIAbwB3AHMAIAAmACAAYwBvAGwAdQBtAG4AcwApACAAYQBzACAARABhAHQAZQAxAC4AtgBcACIAIAAmAFwAbgAgACAAIAAgACAAIAAgACAAIAAgACAAIAAgACAAIAAgACAAIAAgACAAIAAgACAAIABcACIASQBuAHQAZQByAHYAYQBsAHMAIAAgACAAIAAgACAAkiEoAE8AcAB0AGkAbwBuAGEAbAApACAARABhAHkAcwAsACAAVwBlAGUAawBzACwAIABNAG8AbgB0AGgAcwAgACgAZABlAGYAYQB1AGwAdAApACwAIABRAHUAYQByAHQAZQByAHMALAAgAG8AcgAgAFkAZQBhAHIAcwAgACgARAAsACAAVwAsACAATQAsACAAUQAsACAAWQApALYAXAAiACAAJgBcAG4AIAAgACAAIAAgACAAIAAgACAAIAAgACAAIAAgACAAIAAgACAAIAAgACAAIAAgACAAXAAiAEUAWABBAE0AUABMAEUAUwA6ACAAIAAgACAAIAAgAJIhtgBcACIAIAAmACAAXABuACAAIAAgACAAIAAgACAAIAAgACAAIAAgACAAIAAgACAAIAAgACAAIAAgACAAIAAgAFwAIgBSAGUAcwB1AGwAdAAgACAAIAAgACAAIAAgACAAIACSIUYAbwByAG0AdQBsAGEAIAAoAG4AYQBiAGwAYQAuAGQAIABpAHMAIABhAHMAcwB1AG0AZQBkACAAdABvACAAYgBlACAAdABoAGUAIABtAG8AZAB1AGwAZQAnAHMAIABuAGEAbQBlACkAtgBcACIAIAAmAFwAbgAgACAAIAAgACAAIAAgACAAIAAgACAAIAAgACAAIAAgACAAIAAgACAAIAAgACAAIABcACIAMgAgACAAIAAgACAAIAAgACAAIAAgACAAIAAgACAAkiE9AG4AYQBiAGwAYQAuAGQALgBQAGUAcgBpAG8AZABzALsDKABcACIAXAAiADMAMQAvADMALwAyADAAMgA1AFwAIgBcACIALAAgAFwAIgBcACIAMQA1AC8ANQAvADIAMAAyADUAXAAiAFwAIgApALYAXAAiACAAJgBcAG4AIAAgACAAIAAgACAAIAAgACAAIAAgACAAIAAgACAAIAAgACAAIAAgACAAIAAgACAAXAAiAC0AMgAgACAAIAAgACAAIAAgACAAIAAgACAAIAAgAJIhPQBuAGEAYgBsAGEALgBkAC4AUABlAHIAaQBvAGQAcwC7AygAXAAiAFwAIgAxADUALwA1AC8AMgAwADIANQBcACIAXAAiACwAIABcACIAXAAiADMAMQAvADMALwAyADAAMgA1AFwAIgBcACIAKQC2AFwAIgAgACYAXABuACAAIAAgACAAIAAgACAAIAAgACAAIAAgACAAIAAgACAAIAAgACAAIAAgACAAIAAgAFwAIgAtADEAMgAgACAAIAAgACAAIAAgACAAIAAgACAAIACSIT0AbgBhAGIAbABhAC4AZAAuAFAAZQByAGkAbwBkAHMAuwMoAFwAIgBcACIAMQA1AC8AMQAvADIAMAAyADYAXAAiAFwAIgAsACAAXAAiAFwAIgAxADYALwAxAC8AMgAwADIANQBcACIAXAAiACwAIAAsACAARgBBAEwAUwBFACkAtgBcACIAIAAmAFwAbgAgACAAIAAgACAAIAAgACAAIAAgACAAIAAgACAAIAAgACAAIAAgACAAIAAgACAAIABcACIALQA1ADMAIAAgACAAIAAgACAAIAAgACAAIAAgACAAkiE9AG4AYQBiAGwAYQAuAGQALgBQAGUAcgBpAG8AZABzALsDKABcACIAXAAiADEANQAvADEALwAyADAAMgA2AFwAIgBcACIALAAgAFwAIgBcACIAMQA2AC8AMQAvADIAMAAyADUAXAAiAFwAIgAsACAAXAAiAFwAIgBXAFwAIgBcACIAKQBcACIALABcAG4AIAAgACAAIAAgACAAIAAgACAAIAAgACAAIAAgACAAIAAgACAAIAAgACAAIAAgACAAXAAiAJIhXAAiACwAIABcACIAtgBcACIAXABuACAAIAAgACAAIAAgACAAIAAgACAAIAAgACAAIAAgACAAIAAgACAAIAApAFwAbg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UwB0AGEAcgB0AHMAKQAsAFwAbgAgACAAIAAgACAAIAAgACAAIAAgACAAIAAgACAAIAAgACAAIAAgACAAIAAgACAAIAAgACAAIAAgAEkAUwBPAE0ASQBUAFQARQBEACgAIABFAG4AZABzACkAXABuACAAIAAgACAAIAAgACAAIAAgACAAIAAgACAAIAAgACAAIAAgACAAIAAgACAAIAAgACkALABcAG4AIAAgACAAIAAvAC8AIAAgAEMAaABlAGMAawAgAGkAbgBwAHUAdABzACAALQAgAFMAZQB0ACAAbwBwAHQAaQBvAG4AYQBsACAAYQByAGcAdQBtAGUAbgB0AHMAJwAgAGQAZQBmAGEAdQBsAHQAcwAgAGEAbgBkACAAYQBwAHAAbAB5ACAAYwBvAG4AdgBlAG4AaQBlAG4AYwBlACAAYwBvAG4AdgBlAHIAcwBpAG8AbgBzAFwAbgAgACAAIAAgACAAIAAgACAAQwB2AHQAUwB0AGEAcgB0AHMALAAgACAAIAAgACAAIABJAEYAKAAgAEkAUwBPAE0ASQBUAFQARQBEACgAIABTAHQAYQByAHQAcwApACwAIABcAG4AIAAgACAAIAAgACAAIAAgACAAIAAgACAAIAAgACAAIAAgACAAIAAgACAAIAAgACAAIAAgACAAIABGAEEATABTAEUALABcAG4AIAAgACAAIAAgACAAIAAgACAAIAAgACAAIAAgACAAIAAgACAAIAAgACAAIAAgACAAIAAgACAAIABJAEYAKAAgAEkAUwBOAFUATQBCAEUAUgAoACAAUwB0AGEAcgB0AHMAKQAsACAAUwB0AGEAcgB0AHMALAAgAEQAQQBUAEUAVgBBAEwAVQBFACgAIABTAHQAYQByAHQAcwApACkAXABuACAAIAAgACAAIAAgACAAIAAgACAAIAAgACAAIAAgACAAIAAgACAAIAAgACAAIAAgACkALABcAG4AIAAgACAAIAAgACAAIAAgAEMAdgB0AEUAbgBkAHMALAAgACAAIAAgACAAIAAgAEkARgAoACAASQBTAE8ATQBJAFQAVABFAEQAKAAgAEUAbgBkAHMAKQAsACAAXABuACAAIAAgACAAIAAgACAAIAAgACAAIAAgACAAIAAgACAAIAAgACAAIAAgACAAIAAgACAAIAAgACAARgBBAEwAUwBFACwAXABuACAAIAAgACAAIAAgACAAIAAgACAAIAAgACAAIAAgACAAIAAgACAAIAAgACAAIAAgACAAIAAgACAASQBGACgAIABJAFMATgBVAE0AQgBFAFIAKAAgAEUAbgBkAHMAKQAsACAARQBuAGQAcwAsACAARABBAFQARQBWAEEATABVAEUAKAAgAEUAbgBkAHMAKQApAFwAbgAgACAAIAAgACAAIAAgACAAIAAgACAAIAAgACAAIAAgACAAIAAgACAAIAAgACAAIAApACwAXABuACAAIAAgACAAIAAgACAAIABJAG4AdABlAHIAdgBhAGwAcwAsACAAIAAgACAAIAAgAEkARgAoACAASQBTAE8ATQBJAFQAVABFAEQAKAAgAEkAbgB0AGUAcgB2AGEAbABzACkALAAgAFwAIgBNAFwAIgAsACAASQBuAHQAZQByAHYAYQBsAHMAKQAsAFwAbgAgACAAIAAgAC8ALwAgACAAQwBvAG4AcwB0AGEAbgB0ACAARABlAGMAbABhAHIAYQB0AGkAbwBuAHMAXABuACAAIAAgACAAIAAgACAAIABNAFAAWQAsACAAMQAyACwAIAAgACAAIAAvAC8ATQBvAG4AdABoAHMAIABQAGUAcgAgAFkAZQBhAHIAXABuACAAIAAgACAAIAAgACAAIABNAFAAUQAsACAAMwAsACAAIAAgACAAIAAvAC8ATQBvAG4AdABoAHMAIABQAGUAcgAgAFEAdQBhAHIAdABlAHIAXABuACAAIAAgACAAIAAgACAAIABEAFAAVwAsACAANwAsACAAIAAgACAAIAAvAC8ARABhAHkAcwAgAFAAZQByACAAVwBlAGUAawBcAG4AIAAgACAAIAAvAC8AIAAgAFAAcgBvAGMAZQBkAHUAcgBlAFwAbgAgACAAIAAgACAAIAAgACAAUgBvAHcAcwAsACAAIAAgACAAIAAgACAATQBBAFgAKAAgAFIATwBXAFMAKAAgAEMAdgB0AFMAdABhAHIAdABzACkALAAgAFIATwBXAFMAKAAgAEMAdgB0AEUAbgBkAHMAKQApACwAIABcAG4AIAAgACAAIAAgACAAIAAgAEMAbwBsAHMALAAgACAAIAAgACAAIAAgAE0AQQBYACgAIABDAE8ATABVAE0ATgBTACgAIABDAHYAdABTAHQAYQByAHQAcwApACwAIABDAE8ATABVAE0ATgBTACgAIABDAHYAdABFAG4AZABzACkAKQAsACAAXABuACAAIAAgACAAIAAgACAAIABSAGUAcwB1AGwAdAAsACAAIAAgACAAIABNAEEASwBFAEEAUgBSAEEAWQAoAFIAbwB3AHMALAAgAEMAbwBsAHMALAAgAFwAbgAgACAAIAAgACAAIAAgACAAIAAgACAAIAAgACAAIAAgACAAIAAgACAAIAAgACAAIABMAEEATQBCAEQAQQAoAFIALAAgAEMALAAgAFwAbgAgACAAIAAgACAAIAAgACAAIAAgACAAIAAgACAAIAAgACAAIAAgACAAIAAgACAAIAAgACAAIAAgAEwARQBUACgARABhAHQAZQBPAG4AZQAsACAAIAAgACAASQBGACgAIABDAE8AVQBOAFQAQQAoACAAQwB2AHQAUwB0AGEAcgB0AHMAKQAgAD0AIAAxACwAIABDAHYAdABTAHQAYQByAHQAcwAsACAASQBOAEQARQBYACgAIABDAHYAdABTAHQAYQByAHQAcwAsACAAUgAsACAAQwApACkALAAgAFwAbgAgACAAIAAgACAAIAAgACAAIAAgACAAIAAgACAAIAAgACAAIAAgACAAIAAgACAAIAAgACAAIAAgACAAIAAgACAARABhAHQAZQBUAHcAbwAsACAAIAAgACAASQBGACgAIABDAE8AVQBOAFQAQQAoACAAQwB2AHQARQBuAGQAcwApACAAPQAgADEALAAgAEMAdgB0AEUAbgBkAHMALAAgAEkATgBEAEUAWAAoACAAQwB2AHQARQBuAGQAcwAsACAAUgAsACAAQwApACkALABcAG4AIAAgACAAIAAgACAAIAAgACAAIAAgACAAIAAgACAAIAAgACAAIAAgACAAIAAgACAAIAAgACAAIAAgACAAIAAgAEkAbgB0AGUAcgB2AGEAbAAsACAAIAAgAEkARgAoACAAQwBPAFUATgBUAEEAKAAgAEkAbgB0AGUAcgB2AGEAbABzACkAIAA9ACAAMQAsACAASQBuAHQAZQByAHYAYQBsAHMALAAgAEkATgBEAEUAWAAoACAASQBuAHQAZQByAHYAYQBsAHMALAAgAFIALAAgAEMAKQApACwAXABuACAAIAAgACAAIAAgACAAIAAgACAAIAAgACAAIAAgACAAIAAgACAAIAAgACAAIAAgACAAIAAgACAAIAAgACAAIABFAGEAcgBsAGkAZQBzAHQALAAgACAAIABNAEkATgAoAEQAYQB0AGUATwBuAGUALAAgAEQAYQB0AGUAVAB3AG8AKQAsAFwAbgAgACAAIAAgACAAIAAgACAAIAAgACAAIAAgACAAIAAgACAAIAAgACAAIAAgACAAIAAgACAAIAAgACAAIAAgACAATABhAHQAZQBzAHQALAAgACAAIAAgACAATQBBAFgAKABEAGEAdABlAE8AbgBlACwAIABEAGEAdABlAFQAdwBvACkAIAAsACAALwAvACsAIAAxACwAXABuACAAIAAgACAAIAAgACAAIAAgACAAIAAgACAAIAAgACAAIAAgACAAIAAgACAAIAAgACAAIAAgACAAIAAgACAAIABTAGkAZwBuACwAIAAgACAAIAAgACAAIABTAEkARwBOACgATQBhAHgAKABEAGEAdABlAFQAdwBvACAALQAgAEQAYQB0AGUATwBuAGUALAAgADEAKQApACwAXABuACAAIAAgACAAIAAgACAAIAAgACAAIAAgACAAIAAgACAAIAAgACAAIAAgACAAIAAgACAAIAAgACAAIAAgACAAIABQAGUAcgBpAG8AZABzACwAIAAgACAAIABTAHcAaQB0AGMAaAAoAEkAbgB0AGUAcgB2AGEAbAAsACAAIAAgAFwAbgAgACAAIAAgACAAIAAgACAAIAAgACAAIAAgACAAIAAgACAAIAAgACAAIAAgACAAIAAgACAAIAAgACAAIAAgACAAIAAgACAAIAAgACAAIAAgACAAIAAgACAAIAAgACAAIABcACIARABcACIALAAgAEQAQQBUAEUARABJAEYAKABFAGEAcgBsAGkAZQBzAHQALAAgAEwAYQB0AGUAcwB0ACwAIABcACIARABcACIAKQAsAFwAbgAgACAAIAAgACAAIAAgACAAIAAgACAAIAAgACAAIAAgACAAIAAgACAAIAAgACAAIAAgACAAIAAgACAAIAAgACAAIAAgACAAIAAgACAAIAAgACAAIAAgACAAIAAgACAAIABcACIAVwBcACIALAAgAEkATgBUACgARABBAFQARQBEAEkARgAoAEUAYQByAGwAaQBlAHMAdAAsACAATABhAHQAZQBzAHQALAAgAFwAIgBEAFwAIgApAC8ARABQAFcAKQAsAFwAbgAgACAAIAAgACAAIAAgACAAIAAgACAAIAAgACAAIAAgACAAIAAgACAAIAAgACAAIAAgACAAIAAgACAAIAAgACAAIAAgACAAIAAgACAAIAAgACAAIAAgACAAIAAgACAAIABcACIATQBcACIALAAgAEQAQQBUAEUARABJAEYAKABFAGEAcgBsAGkAZQBzAHQALAAgAEwAYQB0AGUAcwB0ACwAIABcACIATQBcACIAKQAsAFwAbgAgACAAIAAgACAAIAAgACAAIAAgACAAIAAgACAAIAAgACAAIAAgACAAIAAgACAAIAAgACAAIAAgACAAIAAgACAAIAAgACAAIAAgACAAIAAgACAAIAAgACAAIAAgACAAIABcACIAUQBcACIALAAgAEkATgBUACgARABBAFQARQBEAEkARgAoAEUAYQByAGwAaQBlAHMAdAAsACAATABhAHQAZQBzAHQALAAgAFwAIgBNAFwAIgApAC8ATQBQAFEAKQAsAFwAbgAgACAAIAAgACAAIAAgACAAIAAgACAAIAAgACAAIAAgACAAIAAgACAAIAAgACAAIAAgACAAIAAgACAAIAAgACAAIAAgACAAIAAgACAAIAAgACAAIAAgACAAIAAgACAAIABcACIAWQBcACIALAAgAEQAQQBUAEUARABJAEYAKABFAGEAcgBsAGkAZQBzAHQALAAgAEwAYQB0AGUAcwB0ACwAIABcACIAWQBcACIAKQBcAG4AIAAgACAAIAAgACAAIAAgACAAIAAgACAAIAAgACAAIAAgACAAIAAgACAAIAAgACAAIAAgACAAIAAgACAAIAAgACAAIAAgACAAIAAgACAAIAAgACAAIAAgACkALABcAG4AIAAgACAAIAAgACAAIAAgACAAIAAgACAAIAAgACAAIAAgACAAIAAgACAAIAAgACAAIAAgACAAIAAgACAAIAAgAFMAaQBnAG4AIAAqACAAUABlAHIAaQBvAGQAcwBcAG4AIAAgACAAIAAgACAAIAAgACAAIAAgACAAIAAgACAAIAAgACAAIAAgACAAIAAgACAAIAAgACAAIAApAFwAbgAgACAAIAAgACAAIAAgACAAIAAgACAAIAAgACAAIAAgACAAIAAgACAAIAAgACAAIAApAFwAbgAgACAAIAAgACAAIAAgACAAIAAgACAAIAAgACAAIAAgACAAIAAgACAAKQAsACAAIAAgACAAIAAgACAAIABcAG4AIAAgACAAIAAvAC8AIAAgAFIAZQB0AHUAcgBuACAAUgBlAHMAdQBsAHQAXABuACAAIAAgACAAIAAgACAAIABDAEgATwBPAFMARQAoACAASABlAGwAcAA/ACAAKwAgADEALAAgAFIAZQBzAHUAbAB0ACwAIABIAGUAbABwACkAXABuACAAIAAgACAAKQBcAG4AKQA7AFwAbgBcAG4AXABuAFwAbgAvACoAIAAgAEYAVQBOAEMAVABJAE8ATgAgAE4AQQBNAEUAOgAgACAAUwBjAGgAZQBkAHUAbABlAFIAYQB0AGUAcwC7A1wAbgAgACAAIAAgAEQARQBTAEMAUgBJAFAAVABJAE8ATgA6ACoALwAvACoAKgBTAGMAaABlAGQAdQBsAGUAIAByAGEAdABlAHMAIAB0AGgAYQB0ACAAcABlAHIAcwBpAHMAdAAgAHUAbgB0AGkAbAAgAHIAZQBwAGwAYQBjAGUAZAAgAGkAbgAgAGEAIAB0AGkAbQBlAGwAaQBuAGUALgAgACoALwBcAG4AUwBjAGgAZQBkAHUAbABlAFIAYQB0AGUAcwC7AyAAPQAgAEwAQQBNAEIARABBACgAXABuAC8ALwAgACAAUABhAHIAYQBtAGUAdABlAHIAIABEAGUAYwBsAGEAcgBhAHQAaQBvAG4AcwBcAG4AIAAgACAAIABbAFAAZQByAGkAbwBkAEUAbgBkAHMAXQAsAFwAbgAgACAAIAAgAFsAUgBhAHQAZQBTAHQAYQByAHQAcwBdACwAXABuACAAIAAgACAAWwBSAGEAdABlAHMAXQAsACAAIABcAG4ALwAvACAAIABIAGUAbABwAFwAbgAgACAAIAAgAEwARQBUACgAXABuACAAIAAgACAAIAAgACAAIABIAGUAbABwACwAIAAgACAAIAAgACAAIABUAFIASQBNACgAVABFAFgAVABTAFAATABJAFQAKABcAG4AIAAgACAAIAAgACAAIAAgACAAIAAgACAAIAAgACAAIAAgACAAIAAgACAAIAAgACAAXAAiAEYAVQBOAEMAVABJAE8ATgA6ACAAIAAgACAAIAAgAJIhUwBjAGgAZQBkAHUAbABlAFIAYQB0AGUAcwC7AygAUABlAHIAaQBvAGQARQBuAGQAcwAsACAAUgBhAHQAZQBTAHQAYQByAHQAcwAsACAAUgBhAHQAZQBzACkAtgBcACIAIAAmAFwAbgAgACAAIAAgACAAIAAgACAAIAAgACAAIAAgACAAIAAgACAAIAAgACAAIAAgACAAIABcACIARABFAFMAQwBSAEkAUABUAEkATwBOADoAIAAgACAAkiFTAGMAaABlAGQAdQBsAGUAcwAgAHIAYQB0AGUAcwAgAHQAaABhAHQAIABwAGUAcgBzAGkAcwB0ACAAdQBuAHQAaQBsACAAcgBlAHAAbABhAGMAZQBkACAAaQBuACAAYQAgAHQAaQBtAGUAbABpAG4AZQAgAGYAcgBvAG0AIABhACAAcwBjAGgAZQBkAHUAbABlACAAaQBuACAAYQAgAHQAYQBiAGwAZQAuALYAXAAiACAAJgAgAFwAbgAgACAAIAAgACAAIAAgACAAIAAgACAAIAAgACAAIAAgACAAIAAgACAAIAAgACAAIABcACIATgBPAFQARQAhACAAIAAgACAAIAAgACAAIAAgACAAkiFJAGYAIAAyACAAcgBhAHQAZQBzACAAYQByAGUAIABzAGMAaABlAGQAdQBsAGUAZAAgAHcAaQB0AGgAaQBuACAAdABoAGUAIABzAGEAbQBlACAAcABlAHIAaQBvAGQALAAgAG8AbgBsAHkAIAB0AGgAZQAgAGwAYQBzAHQAIAByAGEAdABlACAAdwBpAGwAbAAgAGIAZQAgAHMAZQBsAGUAYwB0AGUAZAAuALYAXAAiACAAJgAgAFwAbg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FwAIgBQAEEAUgBBAE0ARQBUAEUAUgBTADoAIAAgACAAIACSIbYAXAAiACAAJgAgAFwAbgAgACAAIAAgACAAIAAgACAAIAAgACAAIAAgACAAIAAgACAAIAAgACAAIAAgACAAIABcACIAUABlAHIAaQBvAGQARQBuAGQAcwAgACAAIAAgACAAkiEoAFIAZQBxAHUAaQByAGUAZAApACAAQQAgAHIAbwB3ACAAbwBmACAAcABlAHIAaQBvAGQAIABlAG4AZAAgAGQAYQB0AGUAcwAgACgAdABpAG0AZQBsAGkAbgBlACkALgC2AFwAIgAgACYAIABcAG4AIAAgACAAIAAgACAAIAAgACAAIAAgACAAIAAgACAAIAAgACAAIAAgACAAIAAgACAAXAAiAFIAYQB0AGUAUwB0AGEAcgB0AHMAIAAgACAAIAAgAJIhKABSAGUAcQB1AGkAcgBlAGQAKQAgAEEAIABjAG8AbAB1AG0AbgAgAG8AcgAgAHIAbwB3ACAAbwBmACAAcgBhAHQAZQAgAGUAZgBmAGUAYwB0AGkAdgBlACAAZABhAHQAZQBzACAAaQBuACAAYQBuAHkAIABvAHIAZABlAHIALgC2AFwAIgAgACYAIABcAG4AIAAgACAAIAAgACAAIAAgACAAIAAgACAAIAAgACAAIAAgACAAIAAgACAAIAAgACAAXAAiAFIAYQB0AGUAcwAgACAAIAAgACAAIAAgACAAIAAgAJIhKABSAGUAcQB1AGkAcgBlAGQAKQAgAEEAIABjAG8AbAB1AG0AbgAgAG8AcgAgAHIAbwB3ACAAbwBmACAAcgBhAHQAZQBzACAAYQBzAHMAbwBjAGkAYQB0AGUAZAAgAHcAaQB0AGgAIABSAGEAdABlAFMAdABhAHIAdABzAC4AtgBcACIAIAAmACAAXABuACAAIAAgACAAIAAgACAAIAAgACAAIAAgACAAIAAgACAAIAAgACAAIAAgACAAIAAgAFwAIgBFAFgAQQBNAFAATABFAFMAOgAgACAAIAAgACAAIACSIbYAXAAiACAAJgAgAFwAbgAgACAAIAAgACAAIAAgACAAIAAgACAAIAAgACAAIAAgACAAIAAgACAAIAAgACAAIABcACIAUgBlAHMAdQBsAHQAIAAgACAAIAAgACAAIAAgACAAkiFGAG8AcgBtAHUAbABhACAAKABuAGEAYgBsAGEALgBkACAAaQBzACAAYQBzAHMAdQBtAGUAZAAgAHQAbwAgAGIAZQAgAHQAaABlACAAbQBvAGQAdQBsAGUAJwBzACAAbgBhAG0AZQApALYAXAAiACAAJgBcAG4AIAAgACAAIAAgACAAIAAgACAAIAAgACAAIAAgACAAIAAgACAAIAAgACAAIAAgACAAXAAiAF8ALAAxADAALAAyADAALAAzADAALAAzADAAIAAgAJIhPQBuAGEAYgBsAGEALgBkAC4AUwBjAGgAZQBkAHUAbABlAFIAYQB0AGUAcwC7AygAVABpAG0AZQBsAGkAbgBlALsDKABcACIAXAAiADEALwAxAC8AMgAwADIANQBcACIAXAAiACwANQAsAFwAIgBcACIAVwBcACIAXAAiACkALAB7ADQANQA2ADYAMgA7ACAANAA1ADYANwAwADsAIAA0ADUANgA3ADYAfQAsACAAewAxADAAOwAgADIAMAA7ACAAMwAwAH0AKQBcACIALAAgAFwAbgAgACAAIAAgACAAIAAgACAAIAAgACAAIAAgACAAIAAgACAAIAAgACAAIAAgACAAIABcACIAkiFcACIALAAgAFwAIgC2AFwAIgBcAG4AIAAgACAAIAAgACAAIAAgACAAIAAgACAAIAAgACAAIAAgACAAIAAgACAAIAAgACAAKQBcAG4AIAAgACAAIAAgACAAIAAgACAAIAAgACAAIAAgACAAIAAgACAAIAAgACkALAAgACAAIABcAG4AIAAgACAAIAAvAC8AIAAgAEMAaABlAGMAawAgAGkAbgBwAHUAdABzACAALQAgAE8AbQBpAHQAdABlAGQAIAByAGUAcQB1AGkAcgBlAGQAIABhAHIAZwB1AG0AZQBuAHQAcwBcAG4AIAAgACAAIAAgACAAIAAgAHMALAAgACAAIAAgACAAIAAgACAAIAAgACAAIAAgACAAMQAsAFwAbgAgACAAIAAgACAAIAAgACAASABlAGwAcAA/ACwAIAAgACAAIAAgACAAIAAgACAAIABPAFIAKAAgAEkAUwBPAE0ASQBUAFQARQBEACgAIABQAGUAcgBpAG8AZABFAG4AZABzACkALABcAG4AIAAgACAAIAAgACAAIAAgACAAIAAgACAAIAAgACAAIAAgACAAIAAgACAAIAAgACAAIAAgACAAIABJAFMATwBNAEkAVABUAEUARAAoACAAUgBhAHQAZQBTAHQAYQByAHQAcwApACwAXABuACAAIAAgACAAIAAgACAAIAAgACAAIAAgACAAIAAgACAAIAAgACAAIAAgACAAIAAgACAAIAAgACAASQBTAE8ATQBJAFQAVABFAEQAKAAgAFIAYQB0AGUAcw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EUAbgBkAHMALAAgACAAIAAgACAAIAAgACAASQBGACgAIABJAFMATwBNAEkAVABUAEUARAAoACAAUABlAHIAaQBvAGQARQBuAGQAcwApACwAIABcAG4AIAAgACAAIAAgACAAIAAgACAAIAAgACAAIAAgACAAIAAgACAAIAAgACAAIAAgACAAIAAgACAAIABGAEEATABTAEUALABcAG4AIAAgACAAIAAgACAAIAAgACAAIAAgACAAIAAgACAAIAAgACAAIAAgACAAIAAgACAAIAAgACAAIABJAEYAKAAgAEkAUwBOAFUATQBCAEUAUgAoACAAUABlAHIAaQBvAGQARQBuAGQAcwApACwAIABQAGUAcgBpAG8AZABFAG4AZABzACwAIABEAEEAVABFAFYAQQBMAFUARQAoACAAUABlAHIAaQBvAGQARQBuAGQAcwApACkAXABuACAAIAAgACAAIAAgACAAIAAgACAAIAAgACAAIAAgACAAIAAgACAAIAAgACAAIAAgACkALABcAG4AIAAgACAAIAAgACAAIAAgAEMAdgB0AFMAdABhAHIAdABzACwAIAAgACAAIAAgACAASQBGACgAIABJAFMATwBNAEkAVABUAEUARAAoACAAUgBhAHQAZQBTAHQAYQByAHQAcwApACwAIABcAG4AIAAgACAAIAAgACAAIAAgACAAIAAgACAAIAAgACAAIAAgACAAIAAgACAAIAAgACAAIAAgACAAIABGAEEATABTAEUALAAgAFwAbgAgACAAIAAgACAAIAAgACAAIAAgACAAIAAgACAAIAAgACAAIAAgACAAIAAgACAAIAAgACAAIAAgAEkARgAoACAASQBTAE4AVQBNAEIARQBSACgAIABSAGEAdABlAFMAdABhAHIAdABzACkALAAgAFIAYQB0AGUAUwB0AGEAcgB0AHMALAAgAEQAQQBUAEUAVgBBAEwAVQBFACgAIABSAGEAdABlAFMAdABhAHIAdABzACkAKQBcAG4AIAAgACAAIAAgACAAIAAgACAAIAAgACAAIAAgACAAIAAgACAAIAAgACAAIAAgACAAKQAsAFwAbgAgACAAIAAgAC8ALwAgACAAUAByAG8AYwBlAGQAdQByAGUAXABuACAAIAAgACAAIAAgACAAIABSAGUAcwB1AGwAdAAsACAAIAAgACAAIAAgACAAIAAgAFgATABPAE8ASwBVAFAAKABQAGUAcgBpAG8AZABFAG4AZABzACwAIABSAGEAdABlAFMAdABhAHIAdABzACwAIABSAGEAdABlAHMALAAgAFwAIgBcACIALAAgAC0AMQApACwAXABuACAAIAAgACAALwAvACAAIABSAGUAdAB1AHIAbgAgAFIAZQBzAHUAbAB0AFwAbgAgACAAIAAgACAAIAAgACAAQwBIAE8ATwBTAEUAKAAgAEgAZQBsAHAAPwAgACsAIAAxACwAIABSAGUAcwB1AGwAdAAsACAASABlAGwAcAApAFwAbgAgACAAIAAgACkAXABuACkAOwBcAG4AXABuAFwAbgBcAG4ALwAqACAAIABGAFUATgBDAFQASQBPAE4AIABOAEEATQBFADoAIAAgAFMAYwBoAGUAZAB1AGwAZQBSAGEAdABlAHMAQgB5AEkAdABlAG0AcwC7A1wAbgAgACAAIAAgAEQARQBTAEMAUgBJAFAAVABJAE8ATgA6ACoALwAvACoAKgBTAGMAaABlAGQAdQBsAGUAIAByAGEAdABlAHMAIAB0AGgAYQB0ACAAcABlAHIAcwBpAHMAdAAgAHUAbgB0AGkAbAAgAHIAZQBwAGwAYQBjAGUAZAAgAGkAbgAgAGEAIAB0AGkAbQBlAGwAaQBuAGUAIABmAG8AcgAgAGUAYQBjAGgAIABpAHQAZQBtACAAaQBuACAAYQAgAGwAaQBzAHQALgAgACoALwBcAG4AUwBjAGgAZQBkAHUAbABlAFIAYQB0AGUAcwBCAHkASQB0AGUAbQBzALsDIAA9ACAATABBAE0AQgBEAEEAKABcAG4ALwAvACAAIABQAGEAcgBhAG0AZQB0AGUAcgAgAEQAZQBjAGwAYQByAGEAdABpAG8AbgBzAFwAbgAgACAAIAAgAFsAUABlAHIAaQBvAGQARQBuAGQAcwBdACwAXABuACAAIAAgACAAWwBJAHQAZQBtAEYAaQBsAHQAZQByAF0ALABcAG4AIAAgACAAIABbAEkAdABlAG0ATABpAHMAdABdACwAXABuACAAIAAgACAAWwBFAGYAZgBlAGMAdABpAHYAZQBMAGkAcwB0AF0ALABcAG4AIAAgACAAIABbAFIAYQB0AGUATABpAHMAdABdACwAXABuACAAIAAgACAAWwBEAG8ATgBvAHQAVQBzAGUAXQAsACAAXABuAC8ALwAgACAASABlAGwAcABcAG4AIAAgACAAIABMAEUAVAAoAFwAbgAgACAAIAAgACAAIAAgACAASABlAGwAcAAsACAAIAAgACAAIAAgACAAVABSAEkATQAoAFQARQBYAFQAUwBQAEwASQBUACgAXABuACAAIAAgACAAIAAgACAAIAAgACAAIAAgACAAIAAgACAAIAAgACAAIAAgACAAIAAgAFwAIgBGAFUATgBDAFQASQBPAE4AOgAgACAAIAAgACAAIACSIVMAYwBoAGUAZAB1AGwAZQBSAGEAdABlAHMAQgB5AEkAdABlAG0AcwC7AygAUABlAHIAaQBvAGQARQBuAGQAcwAsACAASQB0AGUAbQBGAGkAbAB0AGUAcgAsACAASQB0AGUAbQBMAGkAcwB0ACwAIABFAGYAZgBlAGMAdABpAHYAZQBMAGkAcwB0ACwAIABSAGEAdABlAEwAaQBzAHQAKQC2AFwAIgAgACYAXABuACAAIAAgACAAIAAgACAAIAAgACAAIAAgACAAIAAgACAAIAAgACAAIAAgACAAIAAgAFwAIgBEAEUAUwBDAFIASQBQAFQASQBPAE4AOgAgACAAIACSIVMAYwBoAGUAZAB1AGwAZQBzACAAZQBhAGMAaAAgAGkAdABlAG0AJwBzACAAcgBhAHQAZQBzACAAYgB5ACAAcABlAHIAaQBvAGQAIAB1AG4AdABpAGwAIABhAG4AbwB0AGgAZQByACAAcgBhAHQAZQAgAHQAYQBrAGUAcwAgAGUAZgBmAGUAYwB0AC4AtgBcACIAIAAmACAAXABuACAAIAAgACAAIAAgACAAIAAgACAAIAAgACAAIAAgACAAIAAgACAAIAAgACAAIAAgAFwAIgBOAE8AVABFACEAIAAgACAAIAAgACAAIAAgACAAIACSIUkAZgAgADIAIAByAGEAdABlAHMAIABhAHIAZQAgAHMAYwBoAGUAZAB1AGwAZQBkACAAdwBpAHQAaABpAG4AIAB0AGgAZQAgAHMAYQBtAGUAIABwAGUAcgBpAG8AZAAgAGYAbwByACAAdABoAGUAIABzAGEAbQBlACAAaQB0AGUAbQAsACAALgC2AFwAIgAgACYAIABcAG4AIAAgACAAIAAgACAAIAAgACAAIAAgACAAIAAgACAAIAAgACAAIAAgACAAIAAgACAAIAAgACAAIAAgACAAIAAgACAAIAAgACAAIAAgACAAXAAiAJIhbwBuAGwAeQAgAHQAaABlACAAbABhAHMAdAAgAHIAYQB0AGUAIAB3AGkAbABsACAAYgBlACAAcwBlAGwAZQBjAHQAZQBkAC4AtgBcACIAIAAmACAAXABuACAAIAAgACAAIAAgACAAIAAgACAAIAAgACAAIAAgACAAIAAgACAAIAAgACAAIAAgAFwAIgBXAEUAQgBQAEEARwBFADoAIAAgACAAIAAgACAAIACSIWgAdAB0AHAAcwA6AC8ALwBnAGkAdABoAHUAYgAuAGMAbwBtAC8AcgB5AGEAbgBkAHUAZwB1AGkAZAAvAE4AYQBiAGwAYQC2AFwAIgAgACYAIABcAG4AIAAgACAAIAAgACAAIAAgACAAIAAgACAAIAAgACAAIAAgACAAIAAgACAAIAAgACAAXAAiAFAAQQBSAEEATQBFAFQARQBSAFMAOgAgACAAIAAgAJIhtgBcACIAIAAmACAAXABuACAAIAAgACAAIAAgACAAIAAgACAAIAAgACAAIAAgACAAIAAgACAAIAAgACAAIAAgAFwAIgBQAGUAcgBpAG8AZABFAG4AZABzACAAIAAgACAAIACSISgAUgBlAHEAdQBpAHIAZQBkACkAIABBACAAcgBvAHcAIABvAHIAIABjAG8AbAB1AG0AbgAgAG8AZgAgAHAAZQByAGkAbwBkACAAZQBuAGQAIABkAGEAdABlAHMAIAAoAHQAaQBtAGUAbABpAG4AZQApAC4AtgBcACIAIAAmACAAXABuACAAIAAgACAAIAAgACAAIAAgACAAIAAgACAAIAAgACAAIAAgACAAIAAgACAAIAAgAFwAIgBJAHQAZQBtAEYAaQBsAHQAZQByACAAIAAgACAAIACSISgAUgBlAHEAdQBpAHIAZQBkACkAIAAxACAAbwByACAAbQBvAHIAZQAgAGkAdABlAG0AcwAgAHQAbwAgAGYAaQBsAHQAZQByACAAYQAgAHIAYQB0AGUAIABzAGMAaABlAGQAdQBsAGUAIABiAHkALgAgALYAXAAiACAAJgBcAG4AIAAgACAAIAAgACAAIAAgACAAIAAgACAAIAAgACAAIAAgACAAIAAgACAAIAAgACAAXAAiACAAIAAgACAAIAAgACAAIAAgACAAIAAgACAAIAAgAJIhQQAgACcAcgBhAHQAZQAgAHMAYwBoAGUAZAB1AGwAZQAnACAAaQBzACAAYQAgAHQAYQBiAGwAZQAvAGwAaQBzAHQAIAB3AGgAZQByAGUAIABlAGEAYwBoACAAcgBvAHcAIABjAG8AbgB0AGEAaQBuAHMAIABhACAAdQBuAGkAcQB1AGUAIABpAHQAZQBtAC8AZQBmAGYAZQBjAHQAaQB2AGUAIABkAGEAdABlACAAcABhAGkAcgAgAHcAaQB0AGgAIABhACAAcgBhAHQAZQAuALYAXAAiACAAJgBcAG4AIAAgACAAIAAgACAAIAAgACAAIAAgACAAIAAgACAAIAAgACAAIAAgACAAIAAgACAAXAAiAEkAdABlAG0ATABpAHMAdAAgACAAIAAgACAAIAAgAJIhKABSAGUAcQB1AGkAcgBlAGQAKQAgAEkAdABlAG0AcwAgAGkAbgAgAGEAIAByAGEAdABlACAAcwBjAGgAZQBkAHUAbABlAC4AtgBcACIAIAAmACAAXABuACAAIAAgACAAIAAgACAAIAAgACAAIAAgACAAIAAgACAAIAAgACAAIAAgACAAIAAgAFwAIgBFAGYAZgBlAGMAdABpAHYAZQBMAGkAcwB0ACAAIACSISgAUgBlAHEAdQBpAHIAZQBkACkAIABFAGYAZgBlAGMAdABpAHYAZQAgAGQAYQB0AGUAcwAgAGkAbgAgAHQAaABlACAAcgBhAHQAZQAgAHMAYwBoAGUAZAB1AGwAZQAuALYAXAAiACAAJgAgAFwAbgAgACAAIAAgACAAIAAgACAAIAAgACAAIAAgACAAIAAgACAAIAAgACAAIAAgACAAIABcACIAUgBhAHQAZQBMAGkAcwB0ACAAIAAgACAAIAAgACAAkiEoAFIAZQBxAHUAaQByAGUAZAApACAAUgBhAHQAZQBzACAAaQBuACAAYQAgAHIAYQB0AGUAIABzAGMAaABlAGQAdQBsAGUAIABmAG8AcgAgAGUAYQBjAGgAIABpAHQAZQBtAC8AZQBmAGYAZQBjAHQAaQB2AGUAIABkAGEAdABlACAAcABhAGkAcgAuALYAXAAiACAAJgAgAFwAbgAgACAAIAAgACAAIAAgACAAIAAgACAAIAAgACAAIAAgACAAIAAgACAAIAAgACAAIABcACIARABvAE4AbwB0AFUAcwBlACAAIAAgACAAIAAgACAAkiFUAGgAaQBzACAAaQBzACAAYQAgAGMAbwB1AG4AdABlAHIAIAB1AHMAZQBkACAAaQBuAHQAZQByAG4AYQBsAGwAeQAuACAARABvACAAbgBvAHQAIABtAGEAawBlACAAYQBuAHkAIABlAG4AdAByAHkALgC2AFwAIgAgACYAIABcAG4AIAAgACAAIAAgACAAIAAgACAAIAAgACAAIAAgACAAIAAgACAAIAAgACAAIAAgACAAXAAiAEUAWABBAE0AUABMAEUAUwA6ACAAIAAgACAAIAAgAJIhtgBcACIAIAAmACAAXABuACAAIAAgACAAIAAgACAAIAAgACAAIAAgACAAIAAgACAAIAAgACAAIAAgACAAIAAgAFwAIgBSAGUAcwB1AGwAdAAgACAAIAAgACAAIAAgACAAIACSIUYAbwByAG0AdQBsAGEAIAAoAG4AYQBiAGwAYQAuAGQAIABpAHMAIABhAHMAcwB1AG0AZQBkACAAdABvACAAYgBlACAAdABoAGUAIABtAG8AZAB1AGwAZQAnAHMAIABuAGEAbQBlACkAtgBcACIAIAAmAFwAbgAgACAAIAAgACAAIAAgACAAIAAgACAAIAAgACAAIAAgACAAIAAgACAAIAAgACAAIAAgACAAIAAgACAAIAAgACAAIAAgACAAIAAgACAAIABcACIAkiFuAGEAYgBsAGEALgBkAC4AUwBjAGgAZQBkAHUAbABlAFIAYQB0AGUAcwBCAHkASQB0AGUAbQBzALsDKAAgAFQAaQBtAGUAbABpAG4AZQC7AygAIABcACIAXAAiADEALwAxAC8AMgAwADIANQBcACIAXAAiACkALAAgAFUATgBJAFEAVQBFACgAIAB0AGIAbABSAGEAdABlAHMAKABVAG4AaQB0ACkAKQAsALYAXAAiACAAJgBcAG4AIAAgACAAIAAgACAAIAAgACAAIAAgACAAIAAgACAAIAAgACAAIAAgACAAIAAgACAAIAAgACAAIAAgACAAIAAgACAAIAAgACAAIAAgACAAXAAiAJIhdABiAGwAUgBhAHQAZQBzAFsAVQBuAGkAdABdACwAIAB0AGIAbABSAGEAdABlAHMAWwBSAGUAbgB0AF0ALAAgAHQAYgBsAFIAYQB0AGUAcwBbAEUAZgBmAGUAYwB0AGkAdgBlAF0AKQBcACIALAAgAFwAbgAgACAAIAAgACAAIAAgACAAIAAgACAAIAAgACAAIAAgACAAIAAgACAAIAAgACAAIABcACIAkiFcACIALAAgAFwAIgC2AFwAIgBcAG4AIAAgACAAIAAgACAAIAAgACAAIAAgACAAIAAgACAAIAAgACAAIAAgACAAIAAgACAAIAAgACAAIAApAFwAbgAgACAAIAAgACAAIAAgACAAIAAgACAAIAAgACAAIAAgACAAIAAgACAAIAAgACAAIAApACwAXABuACAAIAAgACAAIAAgACAAIAAgACAAIAAgACAAIAAgACAAIAAgACAAIABcAG4AIAAgACAAIAAvAC8AIAAgAEMAaABlAGMAawAgAGkAbgBwAHUAdABzACAALQAgAE8AbQBpAHQAdABlAGQAIAByAGUAcQB1AGkAcgBlAGQAIABhAHIAZwB1AG0AZQBuAHQAcwBcAG4AIAAgACAAIAAgACAAIAAgAEgAZQBsAHAAPwAsACAAIAAgACAAIAAgACAAIAAgACAATwBSACgAIABJAFMATwBNAEkAVABUAEUARAAoACAAUABlAHIAaQBvAGQARQBuAGQAcwApACwAIABcAG4AIAAgACAAIAAgACAAIAAgACAAIAAgACAAIAAgACAAIAAgACAAIAAgACAAIAAgACAAIAAgACAAIABJAFMATwBNAEkAVABUAEUARAAoACAASQB0AGUAbQBGAGkAbAB0AGUAcgApACwAXABuACAAIAAgACAAIAAgACAAIAAgACAAIAAgACAAIAAgACAAIAAgACAAIAAgACAAIAAgACAAIAAgACAASQBTAE8ATQBJAFQAVABFAEQAKAAgAEkAdABlAG0ATABpAHMAdAApACwAIABcAG4AIAAgACAAIAAgACAAIAAgACAAIAAgACAAIAAgACAAIAAgACAAIAAgACAAIAAgACAAIAAgACAAIABJAFMATwBNAEkAVABUAEUARAAoACAARQBmAGYAZQBjAHQAaQB2AGUATABpAHMAdAApACwAXABuACAAIAAgACAAIAAgACAAIAAgACAAIAAgACAAIAAgACAAIAAgACAAIAAgACAAIAAgACAAIAAgACAASQBTAE8ATQBJAFQAVABFAEQAKAAgAFIAYQB0AGUATABpAHMAdA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QAbwBOAG8AdABVAHMAZQAsACAAIAAgACAAIAAgACAASQBGACgAIABJAFMATwBNAEkAVABUAEUARAAoACAARABvAE4AbwB0AFUAcwBlACkALAAgADEALAAgAEQAbwBOAG8AdABVAHMAZQApACwAXABuACAAIAAgACAAIAAgACAAIABDAHYAdABQAHIAZABFAG4AZABzACwAIAAgACAAIAAgAEkARgAoACAASQBTAE8ATQBJAFQAVABFAEQAKAAgAFAAZQByAGkAbwBkAEUAbgBkAHMAKQAsACAAXABuACAAIAAgACAAIAAgACAAIAAgACAAIAAgACAAIAAgACAAIAAgACAAIAAgACAAIAAgACAAIAAgACAARgBBAEwAUwBFACwAXABuACAAIAAgACAAIAAgACAAIAAgACAAIAAgACAAIAAgACAAIAAgACAAIAAgACAAIAAgACAAIAAgACAASQBGACgAIABJAFMATgBVAE0AQgBFAFIAKAAgAFAAZQByAGkAbwBkAEUAbgBkAHMAKQAsACAAUABlAHIAaQBvAGQARQBuAGQAcwAsACAARABBAFQARQBWAEEATABVAEUAKAAgAFAAZQByAGkAbwBkAEUAbgBkAHMAKQApAFwAbgAgACAAIAAgACAAIAAgACAAIAAgACAAIAAgACAAIAAgACAAIAAgACAAIAAgACAAIAApACwAXABuACAAIAAgACAAIAAgACAAIABDAHYAdABFAGYAZgBEAGEAdABlAHMALAAgACAAIAAgAEkARgAoACAASQBTAE8ATQBJAFQAVABFAEQAKAAgAEUAZgBmAGUAYwB0AGkAdgBlAEwAaQBzAHQAKQAsACAAXABuACAAIAAgACAAIAAgACAAIAAgACAAIAAgACAAIAAgACAAIAAgACAAIAAgACAAIAAgACAAIAAgACAARgBBAEwAUwBFACwAXABuACAAIAAgACAAIAAgACAAIAAgACAAIAAgACAAIAAgACAAIAAgACAAIAAgACAAIAAgACAAIAAgACAASQBGACgAIABJAFMATgBVAE0AQgBFAFIAKAAgAEUAZgBmAGUAYwB0AGkAdgBlAEwAaQBzAHQAKQAsACAARQBmAGYAZQBjAHQAaQB2AGUATABpAHMAdAAsACAARABBAFQARQBWAEEATABVAEUAKAAgAEUAZgBmAGUAYwB0AGkAdgBlAEwAaQBzAHQAKQApAFwAbgAgACAAIAAgACAAIAAgACAAIAAgACAAIAAgACAAIAAgACAAIAAgACAAIAAgACAAIAApACwAXABuACAAIAAgACAALwAvACAAIABQAHIAbwBjAGUAZAB1AHIAZQBcAG4AIAAgACAAIAAgACAAIAAgAEMAbwB1AG4AdABzACwAIAAgACAAIAAgACAAIAAgACAAQwBPAFUATgBUAEEAKAAgAEkAdABlAG0ARgBpAGwAdABlAHIAKQAsAFwAbgAgACAAIAAgACAAIAAgACAASQB0AGUAbQAsACAAIAAgACAAIAAgACAAIAAgACAAIABJAE4ARABFAFgAKAAgAEkAdABlAG0ARgBpAGwAdABlAHIALAAgAEQAbwBOAG8AdABVAHMAZQApACwAXABuACAAIAAgACAAIAAgACAAIABJAHQAZQBtAEQAYQB0AGUAcwAsACAAIAAgACAAIAAgAEYASQBMAFQARQBSACgAIABDAHYAdABFAGYAZgBEAGEAdABlAHMALAAgAEkAdABlAG0ATABpAHMAdAAgAD0AIABJAHQAZQBtACkALAAgAFwAbgAgACAAIAAgACAAIAAgACAASQB0AGUAbQBSAGEAdABlAHMALAAgACAAIAAgACAAIABGAEkATABUAEUAUgAoACAAUgBhAHQAZQBMAGkAcwB0ACwAIABJAHQAZQBtAEwAaQBzAHQAIAA9ACAASQB0AGUAbQApACwAIABcAG4AIAAgACAAIAAgACAAIAAgAE4AZQB3AFIAbwB3ACwAIAAgACAAIAAgACAAIAAgACAAWABMAE8ATwBLAFUAUAAoACAAUABlAHIAaQBvAGQARQBuAGQAcwAsACAASQB0AGUAbQBEAGEAdABlAHMALAAgAEkAdABlAG0AUgBhAHQAZQBzACwAIAAwACwAIAAtADEAKQAsAFwAbgAgACAAIAAgACAAIAAgACAAUgBlAHMAdQBsAHQALAAgACAAIAAgACAAIAAgACAAIABJAEYAKAAgAEQAbwBOAG8AdABVAHMAZQAgAD4APQAgAEMAbwB1AG4AdABzACwAIABcAG4AIAAgACAAIAAgACAAIAAgACAAIAAgACAAIAAgACAAIAAgACAAIAAgACAAIAAgACAAIAAgACAAIABOAGUAdwBSAG8AdwAsACAAXABuACAAIAAgACAAIAAgACAAIAAgACAAIAAgACAAIAAgACAAIAAgACAAIAAgACAAIAAgACAAIAAgACAAVgBTAFQAQQBDAEsAKAAgAFwAbgAgACAAIAAgACAAIAAgACAAIAAgACAAIAAgACAAIAAgACAAIAAgACAAIAAgACAAIAAgACAAIAAgACAAIAAgACAATgBlAHcAUgBvAHcALAAgAFwAbgAgACAAIAAgACAAIAAgACAAIAAgACAAIAAgACAAIAAgACAAIAAgACAAIAAgACAAIAAgACAAIAAgACAAIAAgACAAUwBjAGgAZQBkAHUAbABlAFIAYQB0AGUAcwBCAHkASQB0AGUAbQBzALsDKAAgAEMAdgB0AFAAcgBkAEUAbgBkAHMALAAgAEkAdABlAG0ARgBpAGwAdABlAHIALAAgAEkAdABlAG0ATABpAHMAdAAsACAAQwB2AHQARQBmAGYARABhAHQAZQBzACwAIABSAGEAdABlAEwAaQBzAHQALAAgAEQAbwBOAG8AdABVAHMAZQAgACsAIAAxACAAKQBcAG4AIAAgACAAIAAgACAAIAAgACAAIAAgACAAIAAgACAAIAAgACAAIAAgACAAIAAgACAAIAAgACAAIAApAFwAbgAgACAAIAAgACAAIAAgACAAIAAgACAAIAAgACAAIAAgACAAIAAgACAAIAAgACAAIAApACwAXABuACAAIAAgACAALwAvACAAIABSAGUAdAB1AHIAbgAgAFIAZQBzAHUAbAB0AFwAbgAgACAAIAAgACAAIAAgACAAQwBIAE8ATwBTAEUAKAAgAEgAZQBsAHAAPwAgACsAIAAxACwAIABSAGUAcwB1AGwAdAAsACAASABlAGwAcAApAFwAbgAgACAAIAAgACkAXABuACkAOwBcAG4AXABuAFwAbgBcAG4ALwAqACAAIABGAFUATgBDAFQASQBPAE4AIABOAEEATQBFADoAIAAgAFMAYwBoAGUAZAB1AGwAZQBWAGEAbAB1AGUAcwC7A1wAbgAgACAAIAAgAEQARQBTAEMAUgBJAFAAVABJAE8ATgA6ACoALwAvACoAKgBTAGMAaABlAGQAdQBsAGUAcwAgAHYAYQBsAHUAZQBzACAAaQBuACAAYQAgAHQAaQBtAGUAbABpAG4AZQAgAGYAcgBvAG0AIABhACAAcwBjAGgAZQBkAHUAbABlACAAaQBuACAAYQAgAHQAYQBiAGwAZQAuACAAKgAvAFwAbgBTAGMAaABlAGQAdQBsAGUAVgBhAGwAdQBlAHMAuwMgAD0AIABMAEEATQBCAEQAQQAoAFwAbgAvAC8AIAAgAFAAYQByAGEAbQBlAHQAZQByACAARABlAGMAbABhAHIAYQB0AGkAbwBuAHMAXABuACAAIAAgACAAWwBQAGUAcgBpAG8AZABTAHQAYQByAHQAcwBdACwAXABuACAAIAAgACAAWwBQAGUAcgBpAG8AZABFAG4AZABzAF0ALABcAG4AIAAgACAAIABbAFYAYQBsAHUAZQBzAF0ALABcAG4AIAAgACAAIABbAEUAZgBmAGUAYwB0AGkAdgBlAEQAYQB0AGUAcwBdACwAXABuACAAIAAgACAATABFAFQAKABcAG4ALwAvACAAIABIAGUAbABwAFwAbgAgACAAIAAgACAAIAAgACAASABlAGwAcAAsACAAIAAgACAAIAAgACAAVABSAEkATQAoAFQARQBYAFQAUwBQAEwASQBUACgAIABcAG4AIAAgACAAIAAgACAAIAAgACAAIAAgACAAIAAgACAAIAAgACAAIAAgACAAIAAgACAAXAAiAEYAVQBOAEMAVABJAE8ATgA6ACAAIAAgACAAIAAgAJIhUwBjAGgAZQBkAHUAbABlAFYAYQBsAHUAZQBzALsDKABQAGUAcgBpAG8AZABTAHQAYQByAHQAcwAsACAAUABlAHIAaQBvAGQARQBuAGQAcwAsACAAVgBhAGwAdQBlAHMALAAgAEUAZgBmAGUAYwB0AGkAdgBlAEQAYQB0AGUAcwApALYAXAAiACAAJgBcAG4AIAAgACAAIAAgACAAIAAgACAAIAAgACAAIAAgACAAIAAgACAAIAAgACAAIAAgACAAXAAiAEQARQBTAEMAUgBJAFAAVABJAE8ATgA6ACAAIAAgAJIhUABsAGEAYwBlACAAdgBhAGwAdQBlAHMAIABmAHIAbwBtACAAYQAgAHQAYQBiAGwAZQAgAGkAbgB0AG8AIABhACAAdABpAG0AZQBsAGkAbgBlACcAcwAgAGEAcABwAHIAbwBwAHIAaQBhAHQAZQAgAHAAZQByAGkAbwBkAC4AtgBcACIAIAAmACAAXABuACAAIAAgACAAIAAgACAAIAAgACAAIAAgACAAIAAgACAAIAAgACAAIAAgACAAIAAgAFwAIgBXAEUAQgBTAEkAVABFADoAIAAgACAAIAAgACAAIACSIWgAdAB0AHAAcwA6AC8ALwBnAGkAdABoAHUAYgAuAGMAbwBtAC8AcgB5AGEAbgBkAHUAZwB1AGkAZAAvAE4AYQBiAGwAYQAgALYAXAAiACAAJgBcAG4AIAAgACAAIAAgACAAIAAgACAAIAAgACAAIAAgACAAIAAgACAAIAAgACAAIAAgACAAXAAiAFAAQQBSAEEATQBFAFQARQBSAFMAOgAgACAAIAAgAJIhtgBcACIAIAAmACAAXABuACAAIAAgACAAIAAgACAAIAAgACAAIAAgACAAIAAgACAAIAAgACAAIAAgACAAIAAgAFwAIgBQAGUAcgBpAG8AZABTAHQAYQByAHQAcwAgACAAIACSISgAUgBlAHEAdQBpAHIAZQBkACkAIABBACAAYwBvAGwAdQBtAG4AIABvAHIAIAByAG8AdwAgAG8AZgAgAHAAZQByAGkAbwBkACAAcwB0AGEAcgB0ACAAZABhAHQAZQBzACAAKAB0AGkAbQBlAGwAaQBuAGUAKQAuALYAXAAiACAAJgAgAFwAbgAgACAAIAAgACAAIAAgACAAIAAgACAAIAAgACAAIAAgACAAIAAgACAAIAAgACAAIABcACIAUABlAHIAaQBvAGQARQBuAGQAcwAgACAAIAAgACAAkiEoAFIAZQBxAHUAaQByAGUAZAApACAAQQAgAGMAbwBsAHUAbQBuACAAbwByACAAcgBvAHcAIABvAGYAIABwAGUAcgBpAG8AZAAgAGUAbgBkAHMAIABkAGEAdABlAHMAIAAoAHQAaQBtAGUAbABpAG4AZQApAC4AtgBcACIAIAAmACAAXABuACAAIAAgACAAIAAgACAAIAAgACAAIAAgACAAIAAgACAAIAAgACAAIAAgACAAIAAgAFwAIgBWAGEAbAB1AGUAcwAgACAAIAAgACAAIAAgACAAIACSISgAUgBlAHEAdQBpAHIAZQBkACkAIABBACAAYwBvAGwAdQBtAG4AIABvAHIAIAByAG8AdwAgAG8AZgAgAHYAYQBsAHUAZQBzACAAdABvACAAYgBlACAAcwBjAGgAZQBkAHUAbABlAGQALgC2AFwAIgAgACYAIABcAG4AIAAgACAAIAAgACAAIAAgACAAIAAgACAAIAAgACAAIAAgACAAIAAgACAAIAAgACAAXAAiAEUAZgBmAGUAYwB0AGkAdgBlAEQAYQB0AGUAcwAgAJIhKABSAGUAcQB1AGkAcgBlAGQAKQAgAEEAIABjAG8AbAB1AG0AbgAgAG8AcgAgAHIAbwB3ACAAbwBmACAAdwBoAGUAbgAgAGEAIAB2AGEAbAB1AGUAIABpAHMAIABzAGMAaABlAGQAdQBsAGUAZAAuALYAXAAiACAAJgAgACAAIAAgACAAIAAgACAAIAAgACAAIAAgACAAIAAgACAAIAAgAFwAbgAgACAAIAAgACAAIAAgACAAIAAgACAAIAAgACAAIAAgACAAIAAgACAAIAAgACAAIABcACIARQBYAEEATQBQAEwARQBTADoAkiG2AFwAIgAgACYAXABuACAAIAAgACAAIAAgACAAIAAgACAAIAAgACAAIAAgACAAIAAgACAAIAAgACAAIAAgAFwAIgBSAGUAcwB1AGwAdAAgACAAIAAgACAAIAAgACAAIACSIUYAbwByAG0AdQBsAGEAIAAoAG4AYQBiAGwAYQAuAGQAIABpAHMAIABhAHMAcwB1AG0AZQBkACAAdABvACAAYgBlACAAdABoAGUAIABtAG8AZAB1AGwAZQAnAHMAIABuAGEAbQBlACkAtgBcACIAIAAmAFwAbgAgACAAIAAgACAAIAAgACAAIAAgACAAIAAgACAAIAAgACAAIAAgACAAIAAgACAAIAAgACAAIAAgACAAIAAgACAAIAAgACAAIAAgACAAIABcACIAkiE9AG4AYQBiAGwAYQAuAGQALgBTAGMAaABlAGQAdQBsAGUAVgBhAGwAdQBlAHMAuwMoAFQAaQBtAGUAbABpAG4AZQC7AygAXAAiAFwAIgAxAC8AMQAvADIAMAAyADUAXAAiAFwAIgApACwAIABUAGkAbQBlAGwAaQBuAGUAuwMoAFwAIgBcACIAMQAvADEALwAyADAAMgA1AFwAIgBcACIALAAsACwARgBBAEwAUwBFACkALAAgAHsAMQA7ADMAfQAsACAAewBcACIAXAAiADEALwAxAC8AMgAwADIANQBcACIAXAAiADsAIABcACIAXAAiADEANQAvADIALwAyADAAMgA1AFwAIgBcACIAfQApAFwAIgAsACAAXABuACAAIAAgACAAIAAgACAAIAAgACAAIAAgACAAIAAgACAAIAAgACAAIAAgACAAIAAgAFwAIgCSIVwAIgAsACAAXAAiALYAXAAiAFwAbgAgACAAIAAgACAAIAAgACAAIAAgACAAIAAgACAAIAAgACAAIAAgACAAIAAgACA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QAGUAcgBpAG8AZABTAHQAYQByAHQAcwApACwAIABcAG4AIAAgACAAIAAgACAAIAAgACAAIAAgACAAIAAgACAAIAAgACAAIAAgACAAIAAgACAAIAAgACAAIABJAFMATwBNAEkAVABUAEUARAAoACAAUABlAHIAaQBvAGQARQBuAGQAcwApACwAXABuACAAIAAgACAAIAAgACAAIAAgACAAIAAgACAAIAAgACAAIAAgACAAIAAgACAAIAAgACAAIAAgACAASQBTAE8ATQBJAFQAVABFAEQAKAAgAFYAYQBsAHUAZQBzACkALAAgAFwAbgAgACAAIAAgACAAIAAgACAAIAAgACAAIAAgACAAIAAgACAAIAAgACAAIAAgACAAIAAgACAAIAAgAEkAUwBPAE0ASQBUAFQARQBEACgAIABFAGYAZgBlAGMAdABpAHYAZQBEAGEAdABlAHMAKQBcAG4AIAAgACAAIAAgACAAIAAgACAAIAAgACAAIAAgACAAIAAgACAAIAAgACAAIAAgACA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QAHIAZABTAHQAYQByAHQAcwAsACAAIAAgAEkARgAoACAASQBTAE8ATQBJAFQAVABFAEQAKAAgAFAAZQByAGkAbwBkAFMAdABhAHIAdABzACkALAAgAFwAbgAgACAAIAAgACAAIAAgACAAIAAgACAAIAAgACAAIAAgACAAIAAgACAAIAAgACAAIAAgACAAIAAgAEYAQQBMAFMARQAsAFwAbgAgACAAIAAgACAAIAAgACAAIAAgACAAIAAgACAAIAAgACAAIAAgACAAIAAgACAAIAAgACAAIAAgAEkARgAoACAASQBTAE4AVQBNAEIARQBSACgAIABQAGUAcgBpAG8AZABTAHQAYQByAHQAcwApACwAIABQAGUAcgBpAG8AZABTAHQAYQByAHQAcwAsACAARABBAFQARQBWAEEATABVAEUAKAAgAFAAZQByAGkAbwBkAFMAdABhAHIAdABzACkAKQBcAG4AIAAgACAAIAAgACAAIAAgACAAIAAgACAAIAAgACAAIAAgACAAIAAgACAAIAAgACAAKQAsAFwAbgAgACAAIAAgACAAIAAgACAAQwB2AHQAUAByAGQARQBuAGQAcwAsACAAIAAgACAAIABJAEYAKAAgAEkAUwBPAE0ASQBUAFQARQBEACgAIABQAGUAcgBpAG8AZABFAG4AZABzACkALAAgAFwAbgAgACAAIAAgACAAIAAgACAAIAAgACAAIAAgACAAIAAgACAAIAAgACAAIAAgACAAIAAgACAAIAAgAEYAQQBMAFMARQAsAFwAbgAgACAAIAAgACAAIAAgACAAIAAgACAAIAAgACAAIAAgACAAIAAgACAAIAAgACAAIAAgACAAIAAgAEkARgAoACAASQBTAE4AVQBNAEIARQBSACgAIABQAGUAcgBpAG8AZABFAG4AZABzACkALAAgAFAAZQByAGkAbwBkAEUAbgBkAHMALAAgAEQAQQBUAEUAVgBBAEwAVQBFACgAIABQAGUAcgBpAG8AZABFAG4AZABzACkAKQBcAG4AIAAgACAAIAAgACAAIAAgACAAIAAgACAAIAAgACAAIAAgACAAIAAgACAAIAAgACAAKQAsAFwAbgAgACAAIAAgACAAIAAgACAAQwB2AHQARQBmAGYARABhAHQAZQBzACwAIAAgACAAIABJAEYAKAAgAEkAUwBPAE0ASQBUAFQARQBEACgAIABFAGYAZgBlAGMAdABpAHYAZQBEAGEAdABlAHMAKQAsACAAXABuACAAIAAgACAAIAAgACAAIAAgACAAIAAgACAAIAAgACAAIAAgACAAIAAgACAAIAAgACAAIAAgACAARgBBAEwAUwBFACwAXABuACAAIAAgACAAIAAgACAAIAAgACAAIAAgACAAIAAgACAAIAAgACAAIAAgACAAIAAgACAAIAAgACAASQBGACgAIABJAFMATgBVAE0AQgBFAFIAKAAgAEUAZgBmAGUAYwB0AGkAdgBlAEQAYQB0AGUAcwApACwAIABFAGYAZgBlAGMAdABpAHYAZQBEAGEAdABlAHMALAAgAEQAQQBUAEUAVgBBAEwAVQBFACgAIABFAGYAZgBlAGMAdABpAHYAZQBEAGEAdABlAHMAKQApAFwAbgAgACAAIAAgACAAIAAgACAAIAAgACAAIAAgACAAIAAgACAAIAAgACAAIAAgACAAIAApACwAXABuACAAIAAgACAALwAvACAAIABQAHIAbwBjAGUAZAB1AHIAZQBcAG4AIAAgACAAIAAgACAAIAAgAFIAZQBzAHUAbAB0ACwAIAAgACAAIAAgACAAIAAgACAAQgBZAEMATwBMACgAXABuACAAIAAgACAAIAAgACAAIAAgACAAIAAgACAAIAAgACAAIAAgACAAIAAgACAAIAAgACAAIAAgACAAUwBFAFEAVQBFAE4AQwBFACgALAAgAEMATwBMAFUATQBOAFMAKABQAGUAcgBpAG8AZABTAHQAYQByAHQAcwApACkALAAgAFwAbgAgACAAIAAgACAAIAAgACAAIAAgACAAIAAgACAAIAAgACAAIAAgACAAIAAgACAAIAAgACAAIAAgAEwAQQBNAEIARABBACgAUABlAHIAaQBvAGQALAAgAFwAbgAgACAAIAAgACAAIAAgACAAIAAgACAAIAAgACAAIAAgACAAIAAgACAAIAAgACAAIAAgACAAIAAgACAAIAAgACAATABFAFQAKABTAHQAYQByAHQARABhAHQAZQAsACAAIABJAE4ARABFAFgAKABQAGUAcgBpAG8AZABTAHQAYQByAHQAcwAsACAAUABlAHIAaQBvAGQAKQAsACAAXABuACAAIAAgACAAIAAgACAAIAAgACAAIAAgACAAIAAgACAAIAAgACAAIAAgACAAIAAgACAAIAAgACAAIAAgACAAIAAgACAAIAAgAEUAbgBkAEQAYQB0AGUALAAgACAAIAAgAEkATgBEAEUAWAAoAFAAZQByAGkAbwBkAEUAbgBkAHMALAAgAFAAZQByAGkAbwBkACkALABcAG4AIAAgACAAIAAgACAAIAAgACAAIAAgACAAIAAgACAAIAAgACAAIAAgACAAIAAgACAAIAAgACAAIAAgACAAIAAgACAAIAAgACAAUwBVAE0AKABWAGEAbAB1AGUAcwAgACoAIAAoAEMAdgB0AEUAZgBmAEQAYQB0AGUAcwAgAD4APQAgAFMAdABhAHIAdABEAGEAdABlACkAIAAqACAAKABDAHYAdABFAGYAZgBEAGEAdABlAHMAIAA8AD0AIABFAG4AZABEAGEAdABlACkAKQ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TAGMAaABlAGQAdQBsAGUAVgBhAGwAdQBlAHMAQgB5AEkAdABlAG0AcwC7A1wAbgAgACAAIAAgAEQARQBTAEMAUgBJAFAAVABJAE8ATgA6ACoALwAvACoAKgBTAGMAaABlAGQAdQBsAGUAIABhAG4AZAAgAHMAdQBtACAAdgBhAGwAdQBlAHMAIABpAG4AIABhACAAdABpAG0AZQBsAGkAbgBlACAAZgBvAHIAIABlAGEAYwBoACAAaQB0AGUAbQAuACoALwBcAG4AUwBjAGgAZQBkAHUAbABlAFYAYQBsAHUAZQBzAEIAeQBJAHQAZQBtAHMAuwMgAD0AIABMAEEATQBCAEQAQQAoAFwAbgAvAC8AIAAgAFAAYQByAGEAbQBlAHQAZQByACAARABlAGMAbABhAHIAYQB0AGkAbwBuAHMAXABuACAAIAAgACAAWwBQAGUAcgBpAG8AZABTAHQAYQByAHQAcwBdACwAXABuACAAIAAgACAAWwBQAGUAcgBpAG8AZABFAG4AZABzAF0ALABcAG4AIAAgACAAIABbAEkAdABlAG0ARgBpAGwAdABlAHIAXQAsAFwAbgAgACAAIAAgAFsASQB0AGUAbQBMAGkAcwB0AF0ALABcAG4AIAAgACAAIABbAEUAZgBmAGUAYwB0AGkAdgBlAEwAaQBzAHQAXQAsAFwAbgAgACAAIAAgAFsAVgBhAGwAdQBlAEwAaQBzAHQAXQAsAFwAbgAgACAAIAAgAFsARABvAE4AbwB0AFUAcwBlAF0ALABcAG4AIAAgACAAIABMAEUAVAAoAFwAbgAvAC8AIAAgAEgAZQBsAHAAXABuACAAIAAgACAAIAAgACAAIABIAGUAbABwACwAIAAgACAAIAAgACAAIABUAFIASQBNACgAVABFAFgAVABTAFAATABJAFQAKAAgAFwAbgAgACAAIAAgACAAIAAgACAAIAAgACAAIAAgACAAIAAgACAAIAAgACAAIAAgACAAIABcACIARgBVAE4AQwBUAEkATwBOADoAIAAgACAAIAAgACAAkiFTAGMAaABlAGQAdQBsAGUAVgBhAGwAdQBlAHMAQgB5AEkAdABlAG0AcwC7AygAUABlAHIAaQBvAGQAUwB0AGEAcgB0AHMALAAgAFAAZQByAGkAbwBkAEUAbgBkAHMALAAgAEkAdABlAG0ARgBpAGwAdABlAHIALAAgAEkAdABlAG0ATABpAHMAdAAsACAARQBmAGYAZQBjAHQAaQB2AGUATABpAHMAdAAsACAAVgBhAGwAdQBlAEwAaQBzAHQAKQC2AFwAIgAgACYAXABuACAAIAAgACAAIAAgACAAIAAgACAAIAAgACAAIAAgACAAIAAgACAAIAAgACAAIAAgAFwAIgBEAEUAUwBDAFIASQBQAFQASQBPAE4AOgAgACAAIACSIVMAYwBoAGUAZAB1AGwAZQAgAGEAbgBkACAAcwB1AG0AIAB2AGEAbAB1AGUAcwAgAGkAbgAgAGEAIAB0AGkAbQBlAGwAaQBuAGUAIABmAG8AcgAgAGUAYQBjAGgAIABpAHQAZQBtAC4AtgBcACIAIAAmACAAXABuACAAIAAgACAAIAAgACAAIAAgACAAIAAgACAAIAAgACAAIAAgACAAIAAgACAAIAAgAFwAIgBXAEUAQgBQAEEARwBFADoAIAAgACAAIAAgACAAIACSIWgAdAB0AHAAcwA6AC8ALwBnAGkAdABoAHUAYgAuAGMAbwBtAC8AcgB5AGEAbgBkAHUAZwB1AGkAZAAvAE4AYQBiAGwAYQC2AFwAIgAgACYAIABcAG4AIAAgACAAIAAgACAAIAAgACAAIAAgACAAIAAgACAAIAAgACAAIAAgACAAIAAgACAAXAAiAFAAQQBSAEEATQBFAFQARQBSAFMAOgAgACAAIAAgAJIhtgBcACIAIAAmACAAXABuACAAIAAgACAAIAAgACAAIAAgACAAIAAgACAAIAAgACAAIAAgACAAIAAgACAAIAAgAFwAIgBQAGUAcgBpAG8AZABTAHQAYQByAHQAcwAgACAAIACSISgAUgBlAHEAdQBpAHIAZQBkACkAIABBACAAcgBvAHcAIABvAGYAIABwAGUAcgBpAG8AZAAgAHMAdABhAHIAdAAgAGQAYQB0AGUAcwAgACgAdABpAG0AZQBsAGkAbgBlACkALgC2AFwAIgAgACYAIABcAG4AIAAgACAAIAAgACAAIAAgACAAIAAgACAAIAAgACAAIAAgACAAIAAgACAAIAAgACAAXAAiAFAAZQByAGkAbwBkAEUAbgBkAHMAIAAgACAAIAAgAJIhKABSAGUAcQB1AGkAcgBlAGQAKQAgAEEAIAByAG8AdwAgAG8AZgAgAHAAZQByAGkAbwBkACAAZQBuAGQAIABkAGEAdABlAHMAIAAoAHQAaQBtAGUAbABpAG4AZQApAC4AtgBcACIAIAAmACAAXABuACAAIAAgACAAIAAgACAAIAAgACAAIAAgACAAIAAgACAAIAAgACAAIAAgACAAIAAgAFwAIgBJAHQAZQBtAEYAaQBsAHQAZQByACAAIAAgACAAIACSISgAUgBlAHEAdQBpAHIAZQBkACkAIABBACAAYwBvAGwAdQBtAG4AIABvAGYAIAAxACAAbwByACAAbQBvAHIAZQAgAGkAdABlAG0AcwAgAHQAbwAgAGYAaQBsAHQAZQByACAAYQAgAHYAYQBsAHUAZQAgAHMAYwBoAGUAZAB1AGwAZQAgAGIAeQAuACAAtgBcACIAIAAmAFwAbgAgACAAIAAgACAAIAAgACAAIAAgACAAIAAgACAAIAAgACAAIAAgACAAIAAgACAAIABcACIAIAAgACAAIAAgACAAIAAgACAAIAAgACAAIAAgACAAkiFBACAAJwB2AGEAbAB1AGUAIABzAGMAaABlAGQAdQBsAGUAJwAgAGkAcwAgAGEAIAB0AGEAYgBsAGUALwBsAGkAcwB0ACAAdwBoAGUAcgBlACAAZQBhAGMAaAAgAHIAbwB3ACAAYwBvAG4AdABhAGkAbgBzACAAYQAgAHUAbgBpAHEAdQBlACAAaQB0AGUAbQAvAGUAZgBmAGUAYwB0AGkAdgBlACAAZABhAHQAZQAgAHAAYQBpAHIAIAB3AGkAdABoACAAYQAgAHYAYQBsAHUAZQAuALYAXAAiACAAJgBcAG4AIAAgACAAIAAgACAAIAAgACAAIAAgACAAIAAgACAAIAAgACAAIAAgACAAIAAgACAAXAAiAEkAdABlAG0ATABpAHMAdAAgACAAIAAgACAAIAAgAJIhKABSAGUAcQB1AGkAcgBlAGQAKQAgAEkAdABlAG0AcwAgAGkAbgAgAGEAIAB2AGEAbAB1AGUAIABzAGMAaABlAGQAdQBsAGUALgC2AFwAIgAgACYAIABcAG4AIAAgACAAIAAgACAAIAAgACAAIAAgACAAIAAgACAAIAAgACAAIAAgACAAIAAgACAAXAAiAEUAZgBmAGUAYwB0AGkAdgBlAEwAaQBzAHQAIAAgAJIhKABSAGUAcQB1AGkAcgBlAGQAKQAgAEUAZgBmAGUAYwB0AGkAdgBlACAAZABhAHQAZQBzACAAaQBuACAAdABoAGUAIAB2AGEAbAB1AGUAIABzAGMAaABlAGQAdQBsAGUALgC2AFwAIgAgACYAIABcAG4AIAAgACAAIAAgACAAIAAgACAAIAAgACAAIAAgACAAIAAgACAAIAAgACAAIAAgACAAXAAiAFYAYQBsAHUAZQBMAGkAcwB0ACAAIAAgACAAIAAgAJIhKABSAGUAcQB1AGkAcgBlAGQAKQAgAFYAYQBsAHUAZQBzACAAaQBuACAAYQAgAHYAYQBsAHUAZQAgAHMAYwBoAGUAZAB1AGwAZQAgAGYAbwByACAAZQBhAGMAaAAgAGkAdABlAG0ALwBlAGYAZgBlAGMAdABpAHYAZQAgAGQAYQB0AGUAIABwAGEAaQByAC4AtgBcACIAIAAmACAAXABuACAAIAAgACAAIAAgACAAIAAgACAAIAAgACAAIAAgACAAIAAgACAAIAAgACAAIAAgAFwAIgBEAG8ATgBvAHQAVQBzAGUAIAAgACAAIAAgACAAIACSIVQAaABpAHMAIABpAHMAIABhACAAYwBvAHUAbgB0AGUAcgAgAHUAcwBlAGQAIABpAG4AdABlAHIAbgBhAGwAbAB5AC4AIABEAG8AIABuAG8AdAAgAG0AYQBrAGUAIABhAG4AeQAgAGUAbgB0AHIAeQAuALYAXAAiACAAJgAgAFwAbgAgACAAIAAgACAAIAAgACAAIAAgACAAIAAgACAAIAAgACAAIAAgACAAIAAgACAAIABcACIARQBYAEEATQBQAEwARQBTADoAIAAgACAAIAAgACAAkiG2AFwAIgAgACYAIABcAG4AIAAgACAAIAAgACAAIAAgACAAIAAgACAAIAAgACAAIAAgACAAIAAgACAAIAAgACAAXAAiAFIAZQBzAHUAbAB0ACAAIAAgACAAIAAgACAAIAAgAJIhRgBvAHIAbQB1AGwAYQAgACgAbgBhAGIAbABhAC4AZAAgAGkAcwAgAGEAcwBzAHUAbQBlAGQAIAB0AG8AIABiAGUAIAB0AGgAZQAgAG0AbwBkAHUAbABlACcAcwAgAG4AYQBtAGUAKQC2AFwAIgAgACYAXABuACAAIAAgACAAIAAgACAAIAAgACAAIAAgACAAIAAgACAAIAAgACAAIAAgACAAIAAgACAAIAAgACAAIAAgACAAIAAgACAAIAAgACAAIAAgAFwAIgCSIW4AYQBiAGwAYQAuAGQALgBTAGMAaABlAGQAdQBsAGUAUgBhAHQAZQBzAEIAeQBJAHQAZQBtAHMAuwMoACAAVABpAG0AZQBsAGkAbgBlALsDKAAgAFwAIgBcACIAMQAvADEALwAyADAAMgA1AFwAIgBcACIAKQAsACAAIABUAGkAbQBlAGwAaQBuAGUAuwMoACAAXAAiAFwAIgAxAC8AMQAvADIAMAAyADUAXAAiAFwAIgAsACwALABGAEEATABTAEUAKQAsACAAtgBcACIAIAAmACAAXABuACAAIAAgACAAIAAgACAAIAAgACAAIAAgACAAIAAgACAAIAAgACAAIAAgACAAIAAgACAAIAAgACAAIAAgACAAIAAgACAAIAAgACAAIAAgAFwAIgCSIVUATgBJAFEAVQBFACgAIAB0AGIAbABFAHgAcAAoAEkAdABlAG0AcwApACkALAAgAHQAYgBsAEUAeABwAFsASQB0AGUAbQBzAF0ALAAgAHQAYgBsAEUAeABwAFsARABhAHQAZQBzAF0ALAAgAHQAYgBsAEUAeABwAFsAQQBtAG8AdQBuAHQAXQApAFwAIgAsACAAXABuACAAIAAgACAAIAAgACAAIAAgACAAIAAgACAAIAAgACAAIAAgACAAIAAgACAAIAAgAFwAIgCSIVwAIgAsACAAXAAiALYAXAAiAFwAbgAgACAAIAAgACAAIAAgACAAIAAgACAAIAAgACAAIAAgACAAIAAgACAAIAAgACA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QAGUAcgBpAG8AZABTAHQAYQByAHQAcwApACwAIABcAG4AIAAgACAAIAAgACAAIAAgACAAIAAgACAAIAAgACAAIAAgACAAIAAgACAAIAAgACAAIAAgACAAIABJAFMATwBNAEkAVABUAEUARAAoACAAUABlAHIAaQBvAGQARQBuAGQAcwApACwAIABcAG4AIAAgACAAIAAgACAAIAAgACAAIAAgACAAIAAgACAAIAAgACAAIAAgACAAIAAgACAAIAAgACAAIABJAFMATwBNAEkAVABUAEUARAAoACAASQB0AGUAbQBGAGkAbAB0AGUAcgApACwAXABuACAAIAAgACAAIAAgACAAIAAgACAAIAAgACAAIAAgACAAIAAgACAAIAAgACAAIAAgACAAIAAgACAASQBTAE8ATQBJAFQAVABFAEQAKAAgAEkAdABlAG0ATABpAHMAdAApACwAIABcAG4AIAAgACAAIAAgACAAIAAgACAAIAAgACAAIAAgACAAIAAgACAAIAAgACAAIAAgACAAIAAgACAAIABJAFMATwBNAEkAVABUAEUARAAoACAARQBmAGYAZQBjAHQAaQB2AGUATABpAHMAdAApACwAXABuACAAIAAgACAAIAAgACAAIAAgACAAIAAgACAAIAAgACAAIAAgACAAIAAgACAAIAAgACAAIAAgACAASQBTAE8ATQBJAFQAVABFAEQAKAAgAFYAYQBsAHUAZQBMAGkAcwB0ACkAXABuACAAIAAgACAAIAAgACAAIAAgACAAIAAgACAAIAAgACAAIAAgACAAIAAgACAAIAAgACkALABcAG4AIAAgACAAIAAvAC8AIAAgAEMAaABlAGMAawAgAGkAbgBwAHUAdABzACAALQAgAFMAZQB0ACAAbwBwAHQAaQBvAG4AYQBsACAAYQByAGcAdQBtAGUAbgB0AHMAJwAgAGQAZQBmAGEAdQBsAHQAcwAgAGEAbgBkACAAYQBwAHAAbAB5ACAAYwBvAG4AdgBlAG4AaQBlAG4AYwBlACAAYwBvAG4AdgBlAHIAcwBpAG8AbgBzAFwAbgAgACAAIAAgACAAIAAgACAAQwBvAHUAbgB0AGUAcgAsACAAIAAgACAAIAAgACAAIABJAEYAKAAgAEkAUwBPAE0ASQBUAFQARQBEACgAIABEAG8ATgBvAHQAVQBzAGUAKQAsACAAMQAsACAARABvAE4AbwB0AFUAcwBlACkALABcAG4AIAAgACAAIAAgACAAIAAgAEMAdgB0AFAAcgBkAFMAdABhAHIAdABzACwAIAAgACAASQBGACgAIABJAFMATwBNAEkAVABUAEUARAAoACAAUABlAHIAaQBvAGQAUwB0AGEAcgB0AHMAKQAsACAAXABuACAAIAAgACAAIAAgACAAIAAgACAAIAAgACAAIAAgACAAIAAgACAAIAAgACAAIAAgACAAIAAgACAARgBBAEwAUwBFACwAXABuACAAIAAgACAAIAAgACAAIAAgACAAIAAgACAAIAAgACAAIAAgACAAIAAgACAAIAAgACAAIAAgACAASQBGACgAIABJAFMATgBVAE0AQgBFAFIAKAAgAFAAZQByAGkAbwBkAFMAdABhAHIAdABzACkALAAgAFAAZQByAGkAbwBkAFMAdABhAHIAdABzACwAIABEAEEAVABFAFYAQQBMAFUARQAoACAAUABlAHIAaQBvAGQAUwB0AGEAcgB0AHMAKQApAFwAbgAgACAAIAAgACAAIAAgACAAIAAgACAAIAAgACAAIAAgACAAIAAgACAAIAAgACAAIAApACwAXABuACAAIAAgACAAIAAgACAAIABDAHYAdABQAHIAZABFAG4AZABzACwAIAAgACAAIAAgAEkARgAoACAASQBTAE8ATQBJAFQAVABFAEQAKAAgAFAAZQByAGkAbwBkAEUAbgBkAHMAKQAsACAAXABuACAAIAAgACAAIAAgACAAIAAgACAAIAAgACAAIAAgACAAIAAgACAAIAAgACAAIAAgACAAIAAgACAARgBBAEwAUwBFACwAXABuACAAIAAgACAAIAAgACAAIAAgACAAIAAgACAAIAAgACAAIAAgACAAIAAgACAAIAAgACAAIAAgACAASQBGACgAIABJAFMATgBVAE0AQgBFAFIAKAAgAFAAZQByAGkAbwBkAEUAbgBkAHMAKQAsACAAUABlAHIAaQBvAGQARQBuAGQAcwAsACAARABBAFQARQBWAEEATABVAEUAKAAgAFAAZQByAGkAbwBkAEUAbgBkAHMAKQApAFwAbgAgACAAIAAgACAAIAAgACAAIAAgACAAIAAgACAAIAAgACAAIAAgACAAIAAgACAAIAApACwAXABuACAAIAAgACAAIAAgACAAIABDAHYAdABFAGYAZgBEAGEAdABlAHMALAAgACAAIAAgAEkARgAoACAASQBTAE8ATQBJAFQAVABFAEQAKAAgAEUAZgBmAGUAYwB0AGkAdgBlAEwAaQBzAHQAKQAsACAAXABuACAAIAAgACAAIAAgACAAIAAgACAAIAAgACAAIAAgACAAIAAgACAAIAAgACAAIAAgACAAIAAgACAARgBBAEwAUwBFACwAXABuACAAIAAgACAAIAAgACAAIAAgACAAIAAgACAAIAAgACAAIAAgACAAIAAgACAAIAAgACAAIAAgACAASQBGACgAIABJAFMATgBVAE0AQgBFAFIAKAAgAEUAZgBmAGUAYwB0AGkAdgBlAEwAaQBzAHQAKQAsACAARQBmAGYAZQBjAHQAaQB2AGUATABpAHMAdAAsACAARABBAFQARQBWAEEATABVAEUAKAAgAEUAZgBmAGUAYwB0AGkAdgBlAEwAaQBzAHQAKQApAFwAbgAgACAAIAAgACAAIAAgACAAIAAgACAAIAAgACAAIAAgACAAIAAgACAAIAAgACAAIAApACwAIAAgACAAXABuACAAIAAgACAALwAvACAAIABQAHIAbwBjAGUAZAB1AHIAZQBcAG4AIAAgACAAIAAgACAAIAAgAEMAbwB1AG4AdABzACwAIAAgACAAIAAgACAAIAAgACAAQwBPAFUATgBUAEEAKAAgAEkAdABlAG0ARgBpAGwAdABlAHIAKQAsAFwAbgAgACAAIAAgACAAIAAgACAASQB0AGUAbQAsACAAIAAgACAAIAAgACAAIAAgACAAIABJAE4ARABFAFgAKAAgAEkAdABlAG0ARgBpAGwAdABlAHIALAAgAEMAbwB1AG4AdABlAHIAKQAsAFwAbgAgACAAIAAgACAAIAAgACAASQB0AGUAbQBEAGEAdABlAHMALAAgACAAIAAgACAAIABGAEkATABUAEUAUgAoACAAQwB2AHQARQBmAGYARABhAHQAZQBzACwAIABJAHQAZQBtAEwAaQBzAHQAIAA9ACAASQB0AGUAbQApACwAIABcAG4AIAAgACAAIAAgACAAIAAgAEkAdABlAG0AVgBhAGwAdQBlAHMALAAgACAAIAAgACAARgBJAEwAVABFAFIAKAAgAFYAYQBsAHUAZQBMAGkAcwB0ACwAIABJAHQAZQBtAEwAaQBzAHQAIAA9ACAASQB0AGUAbQApACwAIABcAG4AIAAgACAAIAAgACAAIAAgAEEAcgByAGEAeQAsACAAIAAgACAAIAAgACAAIAAgACAAKABJAHQAZQBtAEQAYQB0AGUAcwAgAD4APQAgAFAAZQByAGkAbwBkAFMAdABhAHIAdABzACkAIAAqACAAKABJAHQAZQBtAEQAYQB0AGUAcwAgADwAPQAgAFAAZQByAGkAbwBkAEUAbgBkAHMAKQAgACoAIABJAHQAZQBtAFYAYQBsAHUAZQBzACwAXABuACAAIAAgACAAIAAgACAAIABOAGUAdwBSAG8AdwAsACAAIAAgACAAIAAgACAAIAAgAEIAWQBDAE8ATAAoACAAQQByAHIAYQB5ACwAIABMAEEATQBCAEQAQQAoACAAQwBvAGwAdQBtAG4ALAAgAFMAVQBNACgAIABDAG8AbAB1AG0AbgApACkAKQAsAFwAbgAgACAAIAAgACAAIAAgACAAUgBlAHMAdQBsAHQALAAgACAAIAAgACAAIAAgACAAIABJAEYAKAAgAEMAbwB1AG4AdABlAHIAIAA+AD0AIABDAG8AdQBuAHQAcwAsACAAXABuACAAIAAgACAAIAAgACAAIAAgACAAIAAgACAAIAAgACAAIAAgACAAIAAgACAAIAAgACAAIAAgACAATgBlAHcAUgBvAHcALAAgAFwAbgAgACAAIAAgACAAIAAgACAAIAAgACAAIAAgACAAIAAgACAAIAAgACAAIAAgACAAIAAgACAAIAAgAFYAUwBUAEEAQwBLACgAIABcAG4AIAAgACAAIAAgACAAIAAgACAAIAAgACAAIAAgACAAIAAgACAAIAAgACAAIAAgACAAIAAgACAAIAAgACAAIAAgAE4AZQB3AFIAbwB3ACwAIABcAG4AIAAgACAAIAAgACAAIAAgACAAIAAgACAAIAAgACAAIAAgACAAIAAgACAAIAAgACAAIAAgACAAIAAgACAAIAAgAFMAYwBoAGUAZAB1AGwAZQBWAGEAbAB1AGUAcwBCAHkASQB0AGUAbQBzALsDKAAgAEMAdgB0AFAAcgBkAFMAdABhAHIAdABzACwAIABDAHYAdABQAHIAZABFAG4AZABzACwAIABcAG4AIAAgACAAIAAgACAAIAAgACAAIAAgACAAIAAgACAAIAAgACAAIAAgACAAIAAgACAAIAAgACAAIAAgACAAIAAgACAAIAAgACAASQB0AGUAbQBGAGkAbAB0AGUAcgAsACAASQB0AGUAbQBMAGkAcwB0ACwAIABDAHYAdABFAGYAZgBEAGEAdABlAHMALAAgAFYAYQBsAHUAZQBMAGkAcwB0ACwAIABDAG8AdQBuAHQAZQByACAAKwAgADEAIAApAFwAbgAgACAAIAAgACAAIAAgACAAIAAgACAAIAAgACAAIAAgACAAIAAgACAAIAAgACAAIAAgACAAIAAgACkAXABuACAAIAAgACAAIAAgACAAIAAgACAAIAAgACAAIAAgACAAIAAgACAAIAAgACAAIAAgACk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VABpAG0AZQBsAGkAbgBlALsDXABuACAAIAAgACAARABFAFMAQwBSAEkAUABUAEkATwBOADoAKgAvAC8AKgAqAEMAcgBlAGEAdABlACAAYQAgAGgAbwByAGkAegBvAG4AdABhAGwAIABsAGkAcwB0ACAAbwBmACAAcABlAHIAaQBvAGQAIABkAGEAdABlAHMAKgAvAFwAbgBUAGkAbQBlAGwAaQBuAGUAuwMgAD0AIABMAEEATQBCAEQAQQAoAFwAbgAvAC8AIAAgAFAAYQByAGEAbQBlAHQAZQByACAARABlAGMAbABhAHIAYQB0AGkAbwBuAHMAXABuACAAIAAgACAAWwBTAHQAYQByAHQARABhAHQAZQBdACwAXABuACAAIAAgACAAWwBQAGUAcgBpAG8AZABzAF0ALABcAG4AIAAgACAAIABbAEkAbgB0AGUAcgB2AGEAbABdACwAXABuACAAIAAgACAAWwBQAGUAcgBpAG8AZABTAHQAYQByAHQAcwA/AF0ALAAgACAAIAAg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UAGkAbQBlAGwAaQBuAGUAuwMoAFMAdABhAHIAdABEAGEAdABlACwAIABQAGUAcgBpAG8AZABzACwAIABJAG4AdABlAHIAdgBhAGwALAAgAFAAZQByAGkAbwBkAFMAdABhAHIAdABzAD8AKQC2AFwAIgAgACYAXABuACAAIAAgACAAIAAgACAAIAAgACAAIAAgACAAIAAgACAAIAAgACAAIAAgACAAIAAgACAAIAAgACAAXAAiAEQARQBTAEMAUgBJAFAAVABJAE8ATgA6ACAAIAAgAJIhQwByAGUAYQB0AGUAcwAgAGEAIABoAG8AcgBpAHoAbwBuAHQAYQBsACAAbABpAHMAdAAgAG8AZgAgAHAAZQByAGkAbwBkACAAZABhAHQAZQBzAC4AtgBcACIAIAAmACAAXABuACAAIAAgACAAIAAgACAAIAAgACAAIAAgACAAIAAgACAAIAAgACAAIAAgACAAIAAgACAAIAAgACAAXAAiAFcARQBCAFMASQBUAEUAOgAgACAAIAAgACAAIAAgAJIhaAB0AHQAcABzADoALwAvAGcAaQB0AGgAdQBiAC4AYwBvAG0ALwByAHkAYQBuAGQAdQBnAHUAaQBkAC8ATgBhAGIAbABhALYAXAAiACAAJgAgAFwAbgAgACAAIAAgACAAIAAgACAAIAAgACAAIAAgACAAIAAgACAAIAAgACAAIAAgACAAIAAgACAAIAAgAFwAIgBQAEEAUgBBAE0ARQBUAEUAUgBTADoAIAAgACAAIAAgACAAIAAgAJIhtgBcACIAIAAmACAAXABuACAAIAAgACAAIAAgACAAIAAgACAAIAAgACAAIAAgACAAIAAgACAAIAAgACAAIAAgACAAIAAgACAAXAAiAFMAdABhAHIAdABEAGEAdABlACAAIAAgACAAIAAgAJIhKABSAGUAcQB1AGkAcgBlAGQAKQAgAEYAaQByAHMAdAAgAHAAZQByAGkAbwBkACcAcwAgAHMAdABhAHIAdAAgAGQAYQB0AGUALgAgAE0AYQB5ACAAYgBlACAAZQBuAHQAZQByAGUAZAAgAGEAcwAgAHQAZQB4AHQALgC2AFwAIgAgACYAXABuACAAIAAgACAAIAAgACAAIAAgACAAIAAgACAAIAAgACAAIAAgACAAIAAgACAAIAAgACAAIAAgACAAXAAiAFAAZQByAGkAbwBkAHMAIAAgACAAIAAgACAAIAAgAJIhKABPAHAAdABpAG8AbgBhAGwAKQAgAFQAaABlACAAbgB1AG0AYgBlAHIAIABvAGYAIABwAGUAcgBpAG8AZAAgAGkAbgAgAHQAaABlACAAdABpAG0AZQBsAGkAbgBlAC4AIABEAGUAZgBhAHUAbAB0AHMAIAB0AG8AIAAxADIALgC2AFwAIgAgACYAXABuACAAIAAgACAAIAAgACAAIAAgACAAIAAgACAAIAAgACAAIAAgACAAIAAgACAAIAAgACAAIAAgACAAXAAiAEkAbgB0AGUAcgB2AGEAbAAgACAAIAAgACAAIAAgAJIhKABPAHAAdABpAG8AbgBhAGwAKQAgAFAAZQByAGkAbwBkACAAaQBuAHQAZQByAHYAYQBsADoAIABEACwAIABXACwAIABNACwAIABRACAAbwByACAAWQAgACgARABhAHkALAAgAFcAZQBlAGsALAAgAE0AbwBuAHQAaAAgADwAZABlAGYAYQB1AGwAdAA+ACwAIABRAHUAYQByAHQAZQByACwAIABvAHIAIABZAGUAYQByACkAtgBcACIAIAAmAFwAbgAgACAAIAAgACAAIAAgACAAIAAgACAAIAAgACAAIAAgACAAIAAgACAAIAAgACAAIAAgACAAIAAgAFwAIgBQAGUAcgBpAG8AZABTAHQAYQByAHQAcwA/ACAAIACSISgATwBwAHQAaQBvAG4AYQBsACkAIABUAFIAVQBFAD0ARABpAHMAcABsAGEAeQAgAHAAZQByAGkAbwBkACAAcwB0AGEAcgB0ACAAZABhAHQAZQBzACAAPABkAGUAZgBhAHUAbAB0AD4ALgAgAEYAQQBMAFMARQA9AFAAZQByAGkAbwBkACAAZQBuAGQAIABkAGEAdABlAHMAtgBcACIAIAAmAFwAbgAgACAAIAAgACAAIAAgACAAIAAgACAAIAAgACAAIAAgACAAIAAgACAAIAAgACAAIAAgACAAIAAgAFwAIgBFAFgAQQBNAFAATABFAFMAOgAgACAAIAAgACAAIACSIbYAXAAiACAAJgAgAFwAbgAgACAAIAAgACAAIAAgACAAIAAgACAAIAAgACAAIAAgACAAIAAgACAAIAAgACAAIAAgACAAIAAgAFwAIgBSAGUAcwB1AGwAdAAgACAAIAAgACAAIAAgACAAIACSIUYAbwByAG0AdQBsAGEAIAAoAG4AYQBiAGwAYQAuAGQAIABpAHMAIABhAHMAcwB1AG0AZQBkACAAdABvACAAYgBlACAAdABoAGUAIABtAG8AZAB1AGwAZQAnAHMAIABuAGEAbQBlACkAtgBcACIAIAAmAFwAbgAgACAAIAAgACAAIAAgACAAIAAgACAAIAAgACAAIAAgACAAIAAgACAAIAAgACAAIAAgACAAIAAgAFwAIgAxADIAIABtAG8ALAAgAHMAdABhAHIAdABzACAAIACSIT0AbgBhAGIAbABhAC4AZAAuAFQAaQBtAGUAbABpAG4AZQC7AygAVABPAEQAQQBZACgAKQApALYAXAAiACAAJgBcAG4AIAAgACAAIAAgACAAIAAgACAAIAAgACAAIAAgACAAIAAgACAAIAAgACAAIAAgACAAIAAgACAAIABcACIAMQAyACAAcQB0AHIALAAgAGUAbgBkAHMAIAAgACAAkiE9AG4AYQBiAGwAYQAuAGQALgBUAGkAbQBlAGwAaQBuAGUAuwMoAFQATwBEAEEAWQAoACkALAAgACwAIABcACIAXAAiAFEAXAAiAFwAIgAsACAARgBBAEwAUwBF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CAAIAAgACAAIAAgAFwAbgAgACAAIAAgAC8ALwAgACAATgBhAG0AZQBkACAAQwBvAG4AcwB0AGEAbgB0AHMAXABuACAAIAAgACAAIAAgACAAIABNAFAAWQAsACAAMQAyACwAIAAgACAAIAAgACAAIAAgAC8ALwBNAG8AbgB0AGgAcwAgAFAAZQByACAAWQBlAGEAcgBcAG4AIAAgACAAIAAgACAAIAAgAE0AUABRACwAIAAzACwAIAAgACAAIAAgACAAIAAgACAALwAvAE0AbwBuAHQAaABzACAAUABlAHIAIABRAHUAYQByAHQAZQByAFwAbgAgACAAIAAgACAAIAAgACAARABQAFcALAAgADcALAAgACAAIAAgACAAIAAgACAAIAAvAC8ARABhAHkAcwAgAFAAZQByACAAVwBlAGUAawBcAG4AIAAgACAAIAAvAC8AIAAgAEMAaABlAGMAawAgAGkAbgBwAHUAdABzACAALQAgAE8AbQBpAHQAdABlAGQAIAByAGUAcQB1AGkAcgBlAGQAIABhAHIAZwB1AG0AZQBuAHQAcwBcAG4AIAAgACAAIAAgACAAIAAgAEgAZQBsAHAAPwAsACAAIAAgACAAIAAgACAAIAAgACAASQBTAE8ATQBJAFQAVABFAEQAKAAgAFMAdABhAHIAdABEAGEAdABlACkALAAgAFwAbgAgACAAIAAgAC8ALwAgACAAQwBoAGUAYwBrACAAaQBuAHAAdQB0AHMAIAAtACAAUwBlAHQAIABvAHAAdABpAG8AbgBhAGwAIABhAHIAZwB1AG0AZQBuAHQAcwAnACAAZABlAGYAYQB1AGwAdABzACAAYQBuAGQAIABhAHAAcABsAHkAIABjAG8AbgB2AGUAbgBpAGUAbgBjAGUAIABjAG8AbgB2AGUAcgBzAGkAbwBuAHMAXABuACAAIAAgACAAIAAgACAAIABDAHYAdABTAHQAYQByAHQALAAgACAAIAAgACAAIAAgAEkARgAoACAASQBTAE8ATQBJAFQAVABFAEQAKAAgAFMAdABhAHIAdABEAGEAdABlACkALAAgAFwAbgAgACAAIAAgACAAIAAgACAAIAAgACAAIAAgACAAIAAgACAAIAAgACAAIAAgACAAIAAgACAAIAAgAEYAQQBMAFMARQAsAFwAbgAgACAAIAAgACAAIAAgACAAIAAgACAAIAAgACAAIAAgACAAIAAgACAAIAAgACAAIAAgACAAIAAgAEkARgAoACAASQBTAE4AVQBNAEIARQBSACgAIABTAHQAYQByAHQARABhAHQAZQApACwAIABTAHQAYQByAHQARABhAHQAZQAsACAARABBAFQARQBWAEEATABVAEUAKAAgAFMAdABhAHIAdABEAGEAdABlACkAKQBcAG4AIAAgACAAIAAgACAAIAAgACAAIAAgACAAIAAgACAAIAAgACAAIAAgACAAIAAgACAAKQAsAFwAbgAgACAAIAAgACAAIAAgACAAUABlAHIAaQBvAGQAcwAsACAAIAAgACAAIAAgACAAIABJAEYAKAAgAEkAUwBPAE0ASQBUAFQARQBEACgAIABQAGUAcgBpAG8AZABzACkALAAgADEAMgAsACAAUABlAHIAaQBvAGQAcwApACwAXABuACAAIAAgACAAIAAgACAAIABJAG4AdABlAHIAdgBhAGwALAAgACAAIAAgACAAIAAgAEkARgAoACAASQBTAE8ATQBJAFQAVABFAEQAKAAgAEkAbgB0AGUAcgB2AGEAbAApACwAIABcACIATQBcACIALAAgAEkAbgB0AGUAcgB2AGEAbAApACwAXABuACAAIAAgACAAIAAgACAAIABQAGUAcgBpAG8AZABTAHQAYQByAHQAcwA/ACwAIAAgAEkARgAoACAASQBTAEwATwBHAEkAQwBBAEwAKAAgAFAAZQByAGkAbwBkAFMAdABhAHIAdABzAD8AKQAsACAAUABlAHIAaQBvAGQAUwB0AGEAcgB0AHMAPwAsACAAVABSAFUARQApACwAXABuACAAIAAgACAALwAvACAAIABQAHIAbwBjAGUAZAB1AHIAZQBcAG4AIAAgACAAIAAgACAAIAAgAEUAbgBkAEQAYQB0AGUAcwAsACAAIAAgACAAIAAgACAATgAoAE4ATwBUACgAUABlAHIAaQBvAGQAUwB0AGEAcgB0AHMAPwApACkALABcAG4AIAAgACAAIAAgACAAIAAgAFIAZQBzAHUAbAB0ACwAIAAgACAAIAAgACAAIAAgACAAUwBXAEkAVABDAEgAKABcAG4AIAAgACAAIAAgACAAIAAgACAAIAAgACAAIAAgACAAIAAgACAAIAAgACAAIAAgACAAIAAgACAAIABJAG4AdABlAHIAdgBhAGwALABcAG4AIAAgACAAIAAgACAAIAAgACAAIAAgACAAIAAgACAAIAAgACAAIAAgACAAIAAgACAAIAAgACAAIABcACIAWQBcACIALAAgAEUARABBAFQARQAoAFMAdABhAHIAdABEAGEAdABlACwAIABTAEUAUQBVAEUATgBDAEUAKAAxACwAIABQAGUAcgBpAG8AZABzACwAIABFAG4AZABEAGEAdABlAHMAIAAqACAATQBQAFkALAAgAE0AUABZACkAKQAgAC0AIABFAG4AZABEAGEAdABlAHMALABcAG4AIAAgACAAIAAgACAAIAAgACAAIAAgACAAIAAgACAAIAAgACAAIAAgACAAIAAgACAAIAAgACAAIABcACIAUQBcACIALAAgAEUARABBAFQARQAoAFMAdABhAHIAdABEAGEAdABlACwAIABTAEUAUQBVAEUATgBDAEUAKAAxACwAIABQAGUAcgBpAG8AZABzACwAIABFAG4AZABEAGEAdABlAHMAIAAqACAATQBQAFEALAAgAE0AUABRACkAKQAgAC0AIABFAG4AZABEAGEAdABlAHMALABcAG4AIAAgACAAIAAgACAAIAAgACAAIAAgACAAIAAgACAAIAAgACAAIAAgACAAIAAgACAAIAAgACAAIABcACIATQBcACIALAAgAEUARABBAFQARQAoAFMAdABhAHIAdABEAGEAdABlACwAIABTAEUAUQBVAEUATgBDAEUAKAAxACwAIABQAGUAcgBpAG8AZABzACwAIABFAG4AZABEAGEAdABlAHMALAAgADEAKQApACAALQAgAEUAbgBkAEQAYQB0AGUAcwAsAFwAbgAgACAAIAAgACAAIAAgACAAIAAgACAAIAAgACAAIAAgACAAIAAgACAAIAAgACAAIAAgACAAIAAgAFwAIgBXAFwAIgAsACAAUwBFAFEAVQBFAE4AQwBFACgAMQAsACAAUABlAHIAaQBvAGQAcwAsACAAUwB0AGEAcgB0AEQAYQB0AGUAIAArACAASQBGACgAUABlAHIAaQBvAGQAUwB0AGEAcgB0AHMAPwAsACAAMAAsACAARABQAFcAIAAtACAAMQApACwAIABEAFAAVwApACwAXABuACAAIAAgACAAIAAgACAAIAAgACAAIAAgACAAIAAgACAAIAAgACAAIAAgACAAIAAgACAAIAAgACAAXAAiAEQAXAAiACwAIABTAEUAUQBVAEUATgBDAEUAKAAxACwAIABQAGUAcgBpAG8AZABzACwAIABTAHQAYQByAHQARABhAHQAZQAsACAAMQApACwAXABuACAAIAAgACAAIAAgACAAIAAgACAAIAAgACAAIAAgACAAIAAgACAAIAAgACAAIAAgACAAIAAgACAAIwBWAGEAbAB1AGUAIQBcAG4AIAAgACAAIAAgACAAIAAgACAAIAAgACAAIAAgACAAIAAgACAAIAAgACAAIAAgACA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GAGkAbgBhAG4AYwBpAGEAbABZAGUAYQByALsDXABuACAAIAAgACAARABFAFMAQwBSAEkAUABUAEkATwBOADoAKgAvAC8AKgAqAEwAYQBiAGUAbABzACAAZABhAHQAZQBzACAAdwBpAHQAaAAgAHQAaABlAGkAcgAgAEEAdQBzAHQAcgBhAGwAaQBhAG4AIABmAGkAbgBhAG4AYwBpAGEAbAAgAHkAZQBhAHIALAAgAHcAaABpAGMAaAAgAHMAdABhAHIAdABzACAAbwBuACAAMQAgAEoAdQBsAHkAKgAvAFwAbgBcAG4ARgBpAG4AYQBuAGMAaQBhAGwAWQBlAGEAcgC7AyAAPQAgAEwAQQBNAEIARABBACgAXABuAC8ALwAgACAAUABhAHIAYQBtAGUAdABlAHIAIABEAGUAYwBsAGEAcgBhAHQAaQBvAG4AXABuACAAIAAgACAAWwBEAGEAdABlAHMAXQAsAFwAbgAgACAAIAAgAFsAUwB0AGEAcgB0AE0AbwBuAHQAaA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UYAaQBuAGEAbgBjAGkAYQBsAFkAZQBhAHIAuwMoAEQAYQB0AGUAcwAsACAAWwBTAHQAYQByAHQATQBvAG4AdABoAF0AKQC2AFwAIgAgACYAXABuACAAIAAgACAAIAAgACAAIAAgACAAIAAgACAAIAAgACAAIAAgACAAIAAgACAAIAAgACAAIAAgACAAXAAiAEQARQBTAEMAUgBJAFAAVABJAE8ATgA6ACAAIAAgAJIhTABhAGIAZQBsAHMAIABkAGEAdABlAHMAIAB3AGkAdABoACAAdABoAGUAaQByACAAQQB1AHMAdAByAGEAbABpAGEAbgAgAGYAaQBuAGEAbgBjAGkAYQBsACAAeQBlAGEAcgAsACAAdwBoAGkAYwBoACAAcwB0AGEAcgB0AHMAIABvAG4AIAAxACAASgB1AGwAeQAuALYAXAAiACAAJg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FwAbgAgACAAIAAgACAAIAAgACAAIAAgACAAIAAgACAAIAAgACAAIAAgACAAIAAgACAAIAAgACAAIAAgAFwAIgBEAGEAdABlAHMAIAAgACAAIAAgACAAIAAgACAAIACSISgAUgBlAHEAdQBpAHIAZQBkACkAIABPAG4AZQAgAG8AcgAgAG0AbwByAGUAIABkAGEAdABlAHMALgC2AFwAIgAgACYAXABuACAAIAAgACAAIAAgACAAIAAgACAAIAAgACAAIAAgACAAIAAgACAAIAAgACAAIAAgACAAIAAgACAAXAAiAFMAdABhAHIAdABNAG8AbgB0AGgAIAAgACAAIAAgAJIhKABPAHAAdABpAG8AbgBhAGwAOgAgAEQAZQBmAGEAdQBsAHQAIAA9ACAANwApACAATQBvAG4AdABoACAAdABoAGUAIABmAGkAbgBhAG4AYwBpAGEAbAAgAHkAZQBhAHIAIABzAHQAYQByAHQAcwAuALYAXAAiACAAJgBcAG4AIAAgACAAIAAgACAAIAAgACAAIAAgACAAIAAgACAAIAAgACAAIAAgACAAIAAgACAAIAAgACAAIABcACIARQBYAEEATQBQAEwARQBTADoAIAAgACAAIAAgACAAkiG2AFwAIgAgACYAXABuACAAIAAgACAAIAAgACAAIAAgACAAIAAgACAAIAAgACAAIAAgACAAIAAgACAAIAAgACAAIAAgACAAXAAiAJIhRgBvAHIAbQB1AGwAYQAgACgAbgBhAGIAbABhAC4AZAAgAGkAcwAgAGEAcwBzAHUAbQBlAGQAIAB0AG8AIABiAGUAIAB0AGgAZQAgAG0AbwBkAHUAbABlACcAcwAgAG4AYQBtAGUAKQC2AFwAIgAgACYAXABuACAAIAAgACAAIAAgACAAIAAgACAAIAAgACAAIAAgACAAIAAgACAAIAAgACAAIAAgACAAIAAgACAAXAAiAJIhPQBuAGEAYgBsAGEALgBkAC4ARgBpAG4AYQBuAGMAaQBhAGwAWQBlAGEAcgC7AygARABBAFQARQAoADIAMAAyADYALAA4ACwAMQA1ACkAKQC2AFwAIgAgACYAXABuACAAIAAgACAAIAAgACAAIAAgACAAIAAgACAAIAAgACAAIAAgACAAIAAgACAAIAAgACAAIAAgACAAXAAiAJIhUgBlAHMAdQBsAHQAtgBcACIAIAAmAFwAbgAgACAAIAAgACAAIAAgACAAIAAgACAAIAAgACAAIAAgACAAIAAgACAAIAAgACAAIAAgACAAIAAgAFwAIgCSIUYAWQAyADAAMgA3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SQBTAE8ATQBJAFQAVABFAEQAKAAgAEQAYQB0AGUAcwApACwAXABuACAAIAAgACAALwAvACAAIABTAGUAdAAgAGQAZQBmAGEAdQBsAHQAcwBcAG4AIAAgACAAIAAgACAAIAAgAEYAWQBTAHQAYQByAHQALAAgACAAIAAgACAAIAAgACAASQBGACgAIABJAFMATwBNAEkAVABUAEUARAAoACAAUwB0AGEAcgB0AE0AbwBuAHQAaAApACwAIAA3ACwAIABTAHQAYQByAHQATQBvAG4AdABoACkALABcAG4AIAAgACAAIAAvAC8AIAAgAFAAcgBvAGMAZQBkAHUAcgBlAFwAbgAgACAAIAAgACAAIAAgACAAUgBlAHMAdQBsAHQALAAgACAAIAAgACAAIAAgACAAIABcACIARgBZAFwAIgAgACYAIABUAEUAWABUACgAIABZAEUAQQBSACgAIABEAGEAdABlAHMAKQAgACsAIABOACgAIABNAE8ATgBUAEgAKAAgAEQAYQB0AGUAcwApACAAPgA9ACAARgBZAFMAdABhAHIAdAApACwAIABcACIAMAAwADAAMABcACIAKQAsACAAXABuACAAIAAgACAALwAvACAAIABSAGUAdAB1AHIAbgAgAFIAZQBzAHUAbAB0ACAAbwByACAASABlAGwAcABcAG4AIAAgACAAIAAgACAAIAAgAEMASABPAE8AUwBFACgAIABIAGUAbABwAD8AIAArACAAMQAsACAAUgBlAHMAdQBsAHQALAAgAEgAZQBsAHAAKQBcAG4AIAAgACAAIAApAFwAbgApADsAXABuACIAfQAsAHsAIgBwAGEAdABoACIAOgAiAC8AcAByAG8AagBlAGMAdABzAC8AbgBhAGIAbABhAC4AZQAiACwAIgB0AGUAeAB0ACIAOgAiAC8AKgAgACAARgBVAE4AQwBUAEkATwBOACAATgBBAE0ARQA6ACAAIABBAGIAbwB1AHQAuwNcAG4AIAAgACAAIABEAEUAUwBDAFIASQBQAFQASQBPAE4AOgAqAC8ALwAqACoARABpAHMAcABsAGEAeQBzACAAdABoAGkAcwAgAG0AbwBkAHUAbABlACcAcwAgAHIAZQBwAG8AcwBpAHQAbwByAHkAIABVAFIATAAgAGEAbgBkACAAZgB1AG4AYwB0AGkAbwBuACAAbABpAHMAdAAqAC8AXABuAFwAbgBBAGIAbwB1AHQAuwMgAD0AIABUAFIASQBNACgAVABFAFgAVABTAFAATABJAFQAKABcAG4AIAAgACAAIABcACIAQQBiAG8AdQB0ADoAIAAgACAAIAAgACAAIAAgACAAIAAgACAAIAAgACAAIAAgACAAIAAgACAAkiFCAGEAcwBpAGMAIABmAHUAbgBjAHQAaQBvAG4AcwAgAGYAbwByACAAdwBvAHIAawBpAG4AZwAgAHcAaQB0AGgAIABkAHkAbgBhAG0AaQBjACAAYQByAHIAYQB5AHMALgAgAFMAdQBnAGcAZQBzAHQAZQBkACAAbQBvAGQAdQBsAGUAIABuAGEAbQBlADoAIABuAGEAYgBsAGEALgBlALYAXAAiACAAJgBcAG4AIAAgACAAIABcACIAVgBlAHIAcwBpAG8AbgA6ACAAIAAgACAAIAAgACAAIAAgACAAIAAgACAAIAAgACAAIAAgACAAkiExADgAIABBAHUAZwAgADIAMAAyADYAtgBcACIAIAAmAFwAbgAgACAAIAAgAFwAIgBSAGUAcABvAHMAaQB0AG8AcgB5ADoAIAAgACAAIAAgACAAIAAgACAAIAAgACAAIAAgACAAIAAgACAAkiFoAHQAdABwAHMAOgAvAC8AZwBpAHQAaAB1AGIALgBjAG8AbQAvAHIAeQBhAG4AZAB1AGcAdQBpAGQALwBOAGEAYgBsAGEAIAC2AFwAIgAgACYAXABuACAAIAAgACAAXAAiAJIhtgBcACIAIAAmAFwAbgAgACAAIAAgAFwAIgBGAHUAbgBjAHQAaQBvAG4AIAAgACAAIAAgACAAIAAgACAAIAAgACAAIAAgACAAIAAgACAAIACSIUQAZQBzAGMAcgBpAHAAdABpAG8AbgC2AFwAIgAgACYAIABcAG4AIAAgACAAIABcACIAQQBiAG8AdQB0ALsDIAAgACAAIAAgACAAIAAgACAAIAAgACAAIAAgACAAIAAgACAAIAAgACAAkiFQAHIAbwBkAHUAYwBlAHMAIAB0AGgAaQBzACAAdABhAGIAbABlALYAXAAiACAAJgAgAFwAbgAgACAAIAAgAFwAIgBDAG8AdQBuAHQAQwC7AyAAIAAgACAAIAAgACAAIAAgACAAIAAgACAAIAAgACAAIAAgACAAIACSIUMAbwB1AG4AdAAgAGgAbwB3ACAAbQBhAG4AeQAgAG8AZgAgAG8AbgBlACAAbwByACAAbQBvAHIAZQAgAGMAaABhAHIAYQBjAHQAZQByAHMAIABhAHIAZQAgAGkAbgAgAGEAIAB0AGUAeAB0ACAAcwB0AHIAaQBuAGcAtgBcACIAIAAmAFwAbgAgACAAIAAgAFwAIgBTAHUAbQBDAG8AbABzALsDIAAgACAAIAAgACAAIAAgACAAIAAgACAAIAAgACAAIAAgACAAIACSIUcAZQB0ACAAdABoAGUAIAB0AG8AdABhAGwAIABvAGYAIABlAGEAYwBoACAAYwBvAGwAdQBtAG4AtgBcACIAIAAmACAAXABuACAAIAAgACAAXAAiAFMAdQBtAFIAbwB3AHMAuwMgACAAIAAgACAAIAAgACAAIAAgACAAIAAgACAAIAAgACAAIAAgAJIhRwBlAHQAIAB0AGgAZQAgAHQAbwB0AGEAbAAgAG8AZgAgAGUAYQBjAGgAIAByAG8AdwC2AFwAIgAgACYAIABcAG4AIAAgACAAIABcACIAQQB2AGcAQwBvAGwAcwC7AyAAIAAgACAAIAAgACAAIAAgACAAIAAgACAAIAAgACAAIAAgACAAkiFHAGUAdAAgAHQAaABlACAAYQB2AGUAcgBhAGcAZQAgAG8AZgAgAGUAYQBjAGgAIABjAG8AbAB1AG0AbgC2AFwAIgAgACYAIABcAG4AIAAgACAAIABcACIAQQB2AGcAUgBvAHcAcwC7AyAAIAAgACAAIAAgACAAIAAgACAAIAAgACAAIAAgACAAIAAgACAAkiFHAGUAdAAgAHQAaABlACAAYQB2AGUAcgBhAGcAZQAgAG8AZgAgAGUAYQBjAGgAIAByAG8AdwC2AFwAIgAgACYAIABcAG4AIAAgACAAIABcACIATQBpAG4AQwBvAGwAcwC7AyAAIAAgACAAIAAgACAAIAAgACAAIAAgACAAIAAgACAAIAAgACAAkiFHAGUAdAAgAHQAaABlACAAbQBpAG4AaQBtAHUAbQAgAG8AZgAgAGUAYQBjAGgAIABjAG8AbAB1AG0AbgC2AFwAIgAgACYAIABcAG4AIAAgACAAIABcACIATQBpAG4AUgBvAHcAcwC7AyAAIAAgACAAIAAgACAAIAAgACAAIAAgACAAIAAgACAAIAAgACAAkiFHAGUAdAAgAHQAaABlACAAbQBpAG4AaQBtAHUAbQAgAG8AZgAgAGUAYQBjAGgAIAByAG8AdwC2AFwAIgAgACYAIABcAG4AIAAgACAAIABcACIATQBhAHgAQwBvAGwAcwC7AyAAIAAgACAAIAAgACAAIAAgACAAIAAgACAAIAAgACAAIAAgACAAkiFHAGUAdAAgAHQAaABlACAAbQBhAHgAaQBtAHUAbQAgAG8AZgAgAGUAYQBjAGgAIABjAG8AbAB1AG0AbgC2AFwAIgAgACYAIABcAG4AIAAgACAAIABcACIATQBhAHgAUgBvAHcAcwC7AyAAIAAgACAAIAAgACAAIAAgACAAIAAgACAAIAAgACAAIAAgACAAkiFHAGUAdAAgAHQAaABlACAAbQBhAHgAaQBtAHUAbQAgAG8AZgAgAGUAYQBjAGgAIAByAG8AdwC2AFwAIgAgACYAIABcAG4AIAAgACAAIABcACIAQwBvAHUAbgB0AEMAbwBsAHMAuwMgACAAIAAgACAAIAAgACAAIAAgACAAIAAgACAAIAAgACAAkiFHAGUAdAAgAHQAaABlACAAYwBvAHUAbgB0ACAAbwBmACAAbgB1AG0AYgBlAHIAcwAgAGkAbgAgAGUAYQBjAGgAIABjAG8AbAB1AG0AbgC2AFwAIgAgACYAIABcAG4AIAAgACAAIABcACIAQwBvAHUAbgB0AFIAbwB3AHMAuwMgACAAIAAgACAAIAAgACAAIAAgACAAIAAgACAAIAAgACAAkiFHAGUAdAAgAHQAaABlACAAYwBvAHUAbgB0ACAAbwBmACAAbgB1AG0AYgBlAHIAcwAgAGkAbgAgAGUAYQBjAGgAIAByAG8AdwC2AFwAIgAgACYAIABcAG4AIAAgACAAIABcACIAQwBvAHUAbgB0AEEAQwBvAGwAcwC7AyAAIAAgACAAIAAgACAAIAAgACAAIAAgACAAIAAgACAAkiFHAGUAdAAgAHQAaABlACAAYwBvAHUAbgB0ACAAbwBmACAAZQB2AGUAcgB5AHQAaABpAG4AZwAgAG8AZgAgAGUAYQBjAGgAIABjAG8AbAB1AG0AbgC2AFwAIgAgACYAIABcAG4AIAAgACAAIABcACIAQwBvAHUAbgB0AEEAUgBvAHcAcwC7AyAAIAAgACAAIAAgACAAIAAgACAAIAAgACAAIAAgACAAkiFHAGUAdAAgAHQAaABlACAAYwBvAHUAbgB0ACAAbwBmACAAZQB2AGUAcgB5AHQAaABpAG4AZwAgAG8AZgAgAGUAYQBjAGgAIAByAG8AdwC2AFwAIgAgACYAIABcAG4AIAAgACAAIABcACIASQBzAEIAZQB0AHcAZQBlAG4AuwMgACAAIAAgACAAIAAgACAAIAAgACAAIAAgACAAIAAgACAAkiFEAGUAdABlAHIAbQBpAG4AZQAgAGkAZgAgAGEAIAB2AGEAbAB1AGUAIABpAHMAIABiAGUAdAB3AGUAZQBuACAAYQAgAGwAbwB3AGUAcgAgAGEAbgBkACAAdQBwAHAAZQByACAAbABpAG0AaQB0AC4AtgBcACIAIAAmACAAXABuACAAIAAgACAAXAAiAEkAcwBJAG4ATABpAHMAdAC7AyAAIAAgACAAIAAgACAAIAAgACAAIAAgACAAIAAgACAAIAAgAJIhRABlAHQAZQByAG0AaQBuAGUAIABpAGYAIABhACAAdgBhAGwAdQBlACAAaQBzACAAbwBuAGUAIABvAGYAIABhACAAbABpAHMAdAAgAG8AZgAgAGkAdABlAG0AcwAuALYAXAAiACAAJgBcAG4AIAAgACAAIABcACIAUgBhAG4AZwBlAFQAbwBEAEEAuwMgACAAIAAgACAAIAAgACAAIAAgACAAIAAgACAAIAAgACAAkiFDAG8AbgB2AGUAcgB0ACAAYQAgAHIAYQBuAGcAZQAgAHIAZQBmAGUAcgBlAG4AYwBlACAAdABvACAAYQAgAGQAeQBuAGEAbQBpAGMAIABhAHIAcgBhAHkAIAByAGUAZgBlAHIAZQBuAGMAZQBcACIALABcAG4AIAAgACAAIABcACIAkiFcACIALABcACIAtgBcACIAXABuACAAIAAgACAAKQBcAG4AKQA7AFwAbgBcAG4AXABuAFwAbgAvACoAIAAgAEYAVQBOAEMAVABJAE8ATgAgAE4AQQBNAEUAOgAgACAAQwBvAHUAbgB0AEMAuwNcAG4AIAAgACAAIABEAEUAUwBDAFIASQBQAFQASQBPAE4AOgAqAC8ALwAqACoAQwBvAHUAbgB0ACAAbwBjAGMAdQByAHIAZQBuAGMAZQBzACAAbwBmACAAYwBoAGEAcgBhAGMAdABlAHIAKABzACkAIABpAG4AIABhACAAcwB0AHIAaQBuAGcAKgAvAFwAbgBDAG8AdQBuAHQAQwC7AyAAPQAgAEwAQQBNAEIARABBACgAXABuAC8ALwAgACAAUABhAHIAYQBtAGUAdABlAHIAIABEAGUAYwBsAGEAcgBhAHQAaQBvAG4AcwBcAG4AIAAgACAAIAAgACAAIAAgAFsAVABlAHgAdABdACwAXABuACAAIAAgACAAIAAgACAAIABbAEMAaABhAHIAYQBjAHQAZQByAHMAXQAsAFwAbgAvAC8AIAAgAEgAZQBsAHAAXABuACAAIAAgACAATABFAFQAKABIAGUAbABwACwAIAAgACAAIAAgACAAIABUAFIASQBNACgAVABFAFgAVABTAFAATABJAFQAKAAgAFwAbgAgACAAIAAgACAAIAAgACAAIAAgACAAIAAgACAAIAAgACAAIAAgACAAIAAgACAAIAAgACAAIAAgAFwAIgBGAFUATgBDAFQASQBPAE4AOgAgACAAIAAgACAAIACSIUMAbwB1AG4AdABDALsDKAAgAFQAZQB4AHQALAAgAEMAaABhAHIAYQBjAHQAZQByAHMAKQC2AFwAIgAgACYAXABuACAAIAAgACAAIAAgACAAIAAgACAAIAAgACAAIAAgACAAIAAgACAAIAAgACAAIAAgACAAIAAgACAAXAAiAEQARQBTAEMAUgBJAFAAVABJAE8ATgA6ACAAIAAgAJIhQwBvAHUAbgB0ACAAaABvAHcAIABtAGEAbgB5ACAAbwBmACAAbwBuAGUAIABvAHIAIABtAG8AcgBlACAAYwBoAGEAcgBhAGMAdABlAHIAcwAgAGEAcgBlACAAaQBuACAAYQAgAHMAdAByAGkAbgBnAC4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UAGUAeAB0ACAAIAAgACAAIAAgACAAIAAgACAAIACSISgAUgBlAHEAdQBpAHIAZQBkACkAIABUAGgAZQAgAHMAdAByAGkAbgBnACAAdABvACAAaQBuAHQAZQByAHIAbwBnAGEAdABlALYAXAAiACAAJgAgAFwAbgAgACAAIAAgACAAIAAgACAAIAAgACAAIAAgACAAIAAgACAAIAAgACAAIAAgACAAIAAgACAAIAAgAFwAIgBDAGgAYQByAGEAYwB0AGUAcgBzACAAIAAgACAAIACSISgAUgBlAHEAdQBpAHIAZQBkACkAIABBACAAcwBpAG4AZwBsAGUAIABjAGgAYQByAGEAYwB0AGUAcgAsACAAbwByACAAQwBTAFYAIABvAGYAIABjAGgAYQByAGEAYwB0AGUAcgBzACAAdABvACAAZgBpAG4AZAAgAGkAbgAgAFQAZQB4AHQAtgBcACIAIAAmACAAXABuACAAIAAgACAAIAAgACAAIAAgACAAIAAgACAAIAAgACAAIAAgACAAIAAgACAAIAAgACAAIAAgACAAIAAgACAAIAAgACAAIAAgACAAIAAgACAAIAAgACAAXAAiAJIhTgBPAFQARQAhACAAQwBhAHMAZQAgAHMAZQBuAHMAaQB0AGkAdgBl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MAbwB1AG4AdABDALsDKAAgAFwAIgBcACIATQBhAHIAeQAgAGgAYQBkACAAYQAgAGwAaQB0AHQAbABlACAAbABhAG0AYgBcACIAXAAiACwAIABcACIAXAAiAGEALABiAFwAIgBcACIAKQBcACIALAAg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SABlAGwAcAA/ACwAIAAgACAAIAAgACAAIAAgACAAIAAgAE8AUgAoACAASQBTAE8ATQBJAFQAVABFAEQAKAAgAFQAZQB4AHQAKQAsAFwAbgAgACAAIAAgACAAIAAgACAAIAAgACAAIAAgACAAIAAgACAAIAAgACAAIAAgACAAIAAgACAAIAAgAEkAUwBPAE0ASQBUAFQARQBEACgAIABDAGgAYQByAGEAYwB0AGUAcgBzACkAXABuACAAIAAgACAAIAAgACAAIAAgACAAIAAgACAAIAAgACAAIAAgACAAIAAgACAAIAAgACkALABcAG4AIAAgACAAIAAvAC8AIAAgAFMAZQB0ACAAZABlAGYAYQB1AGwAdABzAFwAbgAgACAAIAAgACAAIAAgACAAQwBoAGEAcgBhAGMAdABlAHIAcwAsACAAIAAgACAAIABUAEUAWABUAFMAUABMAEkAVAAoACAAQwBoAGEAcgBhAGMAdABlAHIAcwAsACAAXAAiACwAXAAiACAAKQAsAFwAbgAgACAAIAAgAC8ALwAgACAAUAByAG8AYwBlAGQAdQByAGUAXABuACAAIAAgACAAIAAgACAAIABSAGUAcwB1AGwAdAAsACAAIAAgACAAIAAgACAAIAAgAEwARQBOACgAVABlAHgAdAApACAALQAgAFMAVQBNACgATABFAE4AKABUAEUAWABUAFMAUABMAEkAVAAoACAAVABlAHgAdAAsACAAQwBoAGEAcgBhAGMAdABlAHIAcwApACkAKQ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FMAdQBtAFIAbwB3AHMAuwNcAG4AIAAgACAAIABEAEUAUwBDAFIASQBQAFQASQBPAE4AOgAqAC8ALwAqACoARwBlAHQAIAB0AGgAZQAgAHQAbwB0AGEAbAAgAGYAbwByACAAZQBhAGMAaAAgAHIAbwB3ACoALwBcAG4AUwB1AG0AUgBvAHc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UwB1AG0AUgBvAHcAcwC7AygAIABBAHIAcgBhAHkAKQC2AFwAIgAgACYAXABuACAAIAAgACAAIAAgACAAIAAgACAAIAAgACAAIAAgACAAIAAgACAAIAAgACAAIAAgACAAIAAgACAAXAAiAEQARQBTAEMAUgBJAFAAVABJAE8ATgA6ACAAIAAgAJIhRwBlAHQAIAB0AGgAZQAgAHQAbwB0AGEAbAAgAG8AZgAgAGUAYQBjAGgAIAByAG8Adw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HQAbwB0AGEAbABsAGUAZAAgAGIAeQAgAHIAbwB3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UwB1AG0AUgBvAHc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UwBVAE0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UwB1AG0AQwBvAGwAcwC7A1wAbgAgACAAIAAgAEQARQBTAEMAUgBJAFAAVABJAE8ATgA6ACoALwAvACoAKgBHAGUAdAAgAHQAaABlACAAdABvAHQAYQBsACAAZgBvAHIAIABlAGEAYwBoACAAQwBvAGwAdQBtAG4AKgAvAFwAbgBTAHUAbQ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TAHUAbQBDAG8AbABzALsDKAAgAEEAcgByAGEAeQApALYAXAAiACAAJgBcAG4AIAAgACAAIAAgACAAIAAgACAAIAAgACAAIAAgACAAIAAgACAAIAAgACAAIAAgACAAIAAgACAAIABcACIARABFAFMAQwBSAEkAUABUAEkATwBOADoAIAAgACAAkiFHAGUAdAAgAHQAaABlACAAdABvAHQAYQBsACAAbwBmACAAZQBhAGMAaAAgAG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dABvAHQAYQBsAGwAZQBkACAAYgB5ACAAYwBvAGwAdQBtAG4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TAHUAbQBDAG8AbA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TAFUATQAo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BAHYAZwBSAG8AdwBzALsDXABuACAAIAAgACAARABFAFMAQwBSAEkAUABUAEkATwBOADoAKgAvAC8AKgAqAEcAZQB0ACAAdABoAGUAIABhAHYAZQByAGEAZwBlACAAZgBvAHIAIABlAGEAYwBoACAAcgBvAHcAKgAvAFwAbgBBAHYAZwBSAG8Adw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BAHYAZwBSAG8AdwBzALsDKAAgAEEAcgByAGEAeQApALYAXAAiACAAJgBcAG4AIAAgACAAIAAgACAAIAAgACAAIAAgACAAIAAgACAAIAAgACAAIAAgACAAIAAgACAAIAAgACAAIABcACIARABFAFMAQwBSAEkAUABUAEkATwBOADoAIAAgACAAkiFHAGUAdAAgAHQAaABlACAAYQB2AGUAcgBhAGcAZQAgAG8AZgAgAGUAYQBjAGgAIAByAG8Adw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EAdgBlAHIAYQBnAGUAZAAgAGIAeQAgAHIAbwB3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QQB2AGcAUgBvAHc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QQBWAEUAUgBBAEcARQ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BAHYAZwBDAG8AbABzALsDXABuACAAIAAgACAARABFAFMAQwBSAEkAUABUAEkATwBOADoAKgAvAC8AKgAqAEcAZQB0ACAAdABoAGUAIABhAHYAZQByAGEAZwBlACAAZgBvAHIAIABlAGEAYwBoACAAQwBvAGwAdQBtAG4AKgAvAFwAbgBBAHYAZw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TAHUAbQBDAG8AbABzALsDKAAgAEEAcgByAGEAeQApALYAXAAiACAAJgBcAG4AIAAgACAAIAAgACAAIAAgACAAIAAgACAAIAAgACAAIAAgACAAIAAgACAAIAAgACAAIAAgACAAIABcACIARABFAFMAQwBSAEkAUABUAEkATwBOADoAIAAgACAAkiFHAGUAdAAgAHQAaABlACAAYQB2AGUAcgBhAGcAZQAgAGYAbwByACAAZQBhAGMAaAAgAE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YQB2AGUAcgBhAGcAZQBkACAAYgB5ACAAYwBvAGwAdQBtAG4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BAHYAZwBDAG8AbA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BAFYARQBSAEEARwBF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0AaQBuAFIAbwB3AHMAuwNcAG4AIAAgACAAIABEAEUAUwBDAFIASQBQAFQASQBPAE4AOgAqAC8ALwAqACoARwBlAHQAIAB0AGgAZQAgAG0AaQBuAGkAbQB1AG0AIABmAG8AcgAgAGUAYQBjAGgAIAByAG8AdwAqAC8AXABuAE0AaQBu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0AaQBuAFIAbwB3AHMAuwMoACAAQQByAHIAYQB5ACkAtgBcACIAIAAmAFwAbgAgACAAIAAgACAAIAAgACAAIAAgACAAIAAgACAAIAAgACAAIAAgACAAIAAgACAAIAAgACAAIAAgAFwAIgBEAEUAUwBDAFIASQBQAFQASQBPAE4AOgAgACAAIACSIUcAZQB0ACAAdABoAGUAIABtAGkAbgBpAG0AdQBtACAAbwBmACAAZQBhAGMAaAAgAHIAbwB3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pAG4AaQBtAHUAbQAgAGIAeQAgAHIAbwB3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TQBpAG4AUgBvAHc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TQBJAE4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pAG4AQwBvAGwAcwC7A1wAbgAgACAAIAAgAEQARQBTAEMAUgBJAFAAVABJAE8ATgA6ACoALwAvACoAKgBHAGUAdAAgAHQAaABlACAAbQBpAG4AaQBtAHUAbQAgAGYAbwByACAAZQBhAGMAaAAgAEMAbwBsAHUAbQBuACoALwBcAG4ATQBpAG4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TQBpAG4AQwBvAGwAcwC7AygAIABBAHIAcgBhAHkAKQC2AFwAIgAgACYAXABuACAAIAAgACAAIAAgACAAIAAgACAAIAAgACAAIAAgACAAIAAgACAAIAAgACAAIAAgACAAIAAgACAAXAAiAEQARQBTAEMAUgBJAFAAVABJAE8ATgA6ACAAIAAgAJIhRwBlAHQAIAB0AGgAZQAgAG0AaQBuAGkAbQB1AG0AIABmAG8AcgAgAGUAYQBjAGgAIABDAG8AbAB1AG0Abg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aQBuAHUAbQB1AG0AIABiAHkAIABjAG8AbAB1AG0Abg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0AaQBuAEMAbwBs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0ASQBO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0AYQB4AFIAbwB3AHMAuwNcAG4AIAAgACAAIABEAEUAUwBDAFIASQBQAFQASQBPAE4AOgAqAC8ALwAqACoARwBlAHQAIAB0AGgAZQAgAG0AYQB4AGkAbQB1AG0AIABmAG8AcgAgAGUAYQBjAGgAIAByAG8AdwAqAC8AXABuAE0AYQB4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0AYQB4AFIAbwB3AHMAuwMoACAAQQByAHIAYQB5ACkAtgBcACIAIAAmAFwAbgAgACAAIAAgACAAIAAgACAAIAAgACAAIAAgACAAIAAgACAAIAAgACAAIAAgACAAIAAgACAAIAAgAFwAIgBEAEUAUwBDAFIASQBQAFQASQBPAE4AOgAgACAAIACSIUcAZQB0ACAAdABoAGUAIABtAGEAeABpAG0AdQBtACAAbwBmACAAZQBhAGMAaAAgAHIAbwB3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hAHgAaQBtAHUAbQAgAGIAeQAgAHIAbwB3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TQBhAHgAUgBvAHc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TQBBAFg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hAHgAQwBvAGwAcwC7A1wAbgAgACAAIAAgAEQARQBTAEMAUgBJAFAAVABJAE8ATgA6ACoALwAvACoAKgBHAGUAdAAgAHQAaABlACAAbQBhAHgAaQBtAHUAbQAgAGYAbwByACAAZQBhAGMAaAAgAEMAbwBsAHUAbQBuACoALwBcAG4ATQBhAHg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TQBhAHgAQwBvAGwAcwC7AygAIABBAHIAcgBhAHkAKQC2AFwAIgAgACYAXABuACAAIAAgACAAIAAgACAAIAAgACAAIAAgACAAIAAgACAAIAAgACAAIAAgACAAIAAgACAAIAAgACAAXAAiAEQARQBTAEMAUgBJAFAAVABJAE8ATgA6ACAAIAAgAJIhRwBlAHQAIAB0AGgAZQAgAG0AaQBuAGkAbQB1AG0AIABmAG8AcgAgAGUAYQBjAGgAIABDAG8AbAB1AG0Abg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YQB4AGkAbQB1AG0AIABiAHkAIABjAG8AbAB1AG0Abg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0AYQB4AEMAbwBs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0AQQBY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BAFIAbwB3AHMAuwNcAG4AIAAgACAAIABEAEUAUwBDAFIASQBQAFQASQBPAE4AOgAqAC8ALwAqACoAQwBvAHUAbgB0ACAAZQB2AGUAcgB5AHQAaABpAG4AZwAgAGkAbgAgAGUAYQBjAGgAIAByAG8AdwAqAC8AXABuAEMAbwB1AG4AdABB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MAbwB1AG4AdABBAFIAbwB3AHMAuwMoACAAQQByAHIAYQB5ACkAtgBcACIAIAAmAFwAbgAgACAAIAAgACAAIAAgACAAIAAgACAAIAAgACAAIAAgACAAIAAgACAAIAAgACAAIAAgACAAIAAgAFwAIgBEAEUAUwBDAFIASQBQAFQASQBPAE4AOgAgACAAIACSIUMAbwB1AG4AdAAgAGUAdgBlAHIAeQB0AGgAaQBuAGcAIABpAG4AIABlAGEAYwBoACAAcgBvAHc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jAG8AdQBuAHQAZQBk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QwBvAHUAbgB0AEEAUgBvAHcAcwC7AygAIABDAEgATwBPAFMARQAoACAAUgBBAE4ARABBAFIAUgBBAFkAKAAgADUALAAgADUALAAgADEALAAgADUAKQAsAFwAIgBcACIAQQBcACIAXAAiACwAIABcACIAXAAiAEIAXAAiAFwAIgAsACAAXAAiAFwAIgBcACIAXAAiACwAIAAxACwAIAAy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DAE8AVQBOAFQAQQAoACA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BAEMAbwBsAHMAuwNcAG4AIAAgACAAIABEAEUAUwBDAFIASQBQAFQASQBPAE4AOgAqAC8ALwAqACoAQwBvAHUAbgB0ACAAZQB2AGUAcgB5AHQAaABpAG4AZwAgAGkAbgAgAGUAYQBjAGgAIAByAG8AdwAqAC8AXABuAEMAbwB1AG4AdABBAEMAbwBs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MAbwB1AG4AdABBAEMAbwBsAHMAuwMoACAAQQByAHIAYQB5ACAAKQC2AFwAIgAgACYAXABuACAAIAAgACAAIAAgACAAIAAgACAAIAAgACAAIAAgACAAIAAgACAAIAAgACAAIAAgACAAIAAgACAAXAAiAEQARQBTAEMAUgBJAFAAVABJAE8ATgA6ACAAIAAgAJIhQwBvAHUAbgB0ACAAZQB2AGUAcgB5AHQAaABpAG4AZwAgAGkAbgAgAGUAYQBjAGgAIABjAG8AbAB1AG0Abg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MAbwB1AG4AdABlAGQ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DAG8AdQBuAHQAQQBDAG8AbABzALsDKAAgAEMASABPAE8AUwBFACgAIABSAEEATgBEAEEAUgBSAEEAWQAoACAANQAsACAANQAsACAAMQAsACAANQApACwAXAAiAFwAIgBBAFwAIgBcACIALAAgAFwAIgBcACIAQgBcACIAXAAiACwAIABcACIAXAAiAFwAIgBcACIALAAgADEALAAgADI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MATwBVAE4AVABBACgAI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wBvAHUAbgB0AFIAbwB3AHMAuwNcAG4AIAAgACAAIABEAEUAUwBDAFIASQBQAFQASQBPAE4AOgAqAC8ALwAqACoAQwBvAHUAbgB0ACAAbgB1AG0AYgBlAHIAcwAgAGkAbgAgAGUAYQBjAGgAIAByAG8AdwAqAC8AXABuAEMAbwB1AG4AdABSAG8Adw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DAG8AdQBuAHQAUgBvAHcAcwC7AygAIABBAHIAcgBhAHkAKQC2AFwAIgAgACYAXABuACAAIAAgACAAIAAgACAAIAAgACAAIAAgACAAIAAgACAAIAAgACAAIAAgACAAIAAgACAAIAAgACAAXAAiAEQARQBTAEMAUgBJAFAAVABJAE8ATgA6ACAAIAAgAJIhQwBvAHUAbgB0ACAAbgB1AG0AYgBlAHIAcwAgAGkAbgAgAGUAYQBjAGgAIAByAG8Adw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uAHUAbQBiAGUAcgBzACAAdABvACAAYgBlACAAYwBvAHUAbgB0AGUAZA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MAbwB1AG4AdABSAG8AdwBzALsDKAAgAEMASABPAE8AUwBFACgAIABSAEEATgBEAEEAUgBSAEEAWQAoACAANQAsACAANQAsACAAMQAsACAANQApACwAXAAiAFwAIgBBAFwAIgBcACIALAAgAFwAIgBcACIAQgBcACIAXAAiACwAIABcACIAXAAiAFwAIgBcACIALAAgADEALAAgADI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MATwBVAE4AVAAoACA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DAG8AbABzALsDXABuACAAIAAgACAARABFAFMAQwBSAEkAUABUAEkATwBOADoAKgAvAC8AKgAqAEMAbwB1AG4AdAAgAG4AdQBtAGIAZQByAHMAIABpAG4AIABlAGEAYwBoACAAcgBvAHcAKgAvAFwAbgBDAG8AdQBuAHQ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wBvAHUAbgB0AEMAbwBsAHMAuwMoACAAQQByAHIAYQB5ACwAKQC2AFwAIgAgACYAXABuACAAIAAgACAAIAAgACAAIAAgACAAIAAgACAAIAAgACAAIAAgACAAIAAgACAAIAAgACAAIAAgACAAXAAiAEQARQBTAEMAUgBJAFAAVABJAE8ATgA6ACAAIAAgAJIhQwBvAHUAbgB0ACAAbgB1AG0AYgBlAHIAcwAgAGkAbgAgAGUAYQBjAGgAIABjAG8AbAB1AG0Abg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uAHUAbQBiAGUAcgBzACAAdABvACAAYgBlACAAYwBvAHUAbgB0AGUAZA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MAbwB1AG4AdABDAG8AbABzALsDKAAgAEMASABPAE8AUwBFACgAIABSAEEATgBEAEEAUgBSAEEAWQAoACAANQAsACAANQAsACAAMQAsACAANQApACwAXAAiAFwAIgBBAFwAIgBcACIALAAgAFwAIgBcACIAQgBcACIAXAAiACwAIABcACIAXAAiAFwAIgBcACIALAAgADEALAAgADI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MATwBVAE4AVAAoACA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CAAIAAgACAASQBzAEIAZQB0AHcAZQBlAG4AuwNcAG4AIAAgACAAIABEAEUAUwBDAFIASQBQAFQASQBPAE4AOgAqAC8ALwAqACoARABlAHQAZQByAG0AaQBuAGUAIABpAGYAIABhACAAdgBhAGwAdQBlACAAaQBzACAAYgBlAHQAdwBlAGUAbgAgAGEAIABsAG8AdwBlAHIAIABhAG4AZAAgAHUAcABwAGUAcgAgAGwAaQBtAGkAdAAqAC8AXABuAEkAcwBCAGUAdAB3AGUAZQBuALsDIAA9ACAATABBAE0AQgBEAEEAKABcAG4ALwAvACAAIABQAGEAcgBhAG0AZQB0AGUAcgAgAEQAZQBjAGwAYQByAGEAdABpAG8AbgBzAFwAbgAgACAAIAAgAFsAVgBhAGwAdQBlAF0ALABcAG4AIAAgACAAIABbAEwAbwB3AF0ALABcAG4AIAAgACAAIABbAEgAaQBdACwAXABuACAAIAAgACAAWwBJAG4AYwBsAHUAcwBpAHYAZQBdACwAXABuAC8ALwAgACAASABlAGwAcABcAG4AIAAgACAAIABMAEUAVAAoAEgAZQBsAHAALAAgACAAIAAgACAAIAAgACAAIAAgACAAVABSAEkATQAoAFQARQBYAFQAUwBQAEwASQBUACgAIABcAG4AIAAgACAAIAAgACAAIAAgACAAIAAgACAAIAAgACAAIAAgACAAIAAgACAAIAAgACAAIAAgACAAIABcACIARgBVAE4AQwBUAEkATwBOADoAIAAgACAAIAAgACAAkiFJAHMAQgBlAHQAdwBlAGUAbgC7AygAIABWAGEAbAB1AGUALAAgAEwAbwB3ACwAIABIAGkALAAgAFsASQBuAGMAbAB1AHMAaQB2AGUAXQApALYAXAAiACAAJgBcAG4AIAAgACAAIAAgACAAIAAgACAAIAAgACAAIAAgACAAIAAgACAAIAAgACAAIAAgACAAIAAgACAAIABcACIARABFAFMAQwBSAEkAUABUAEkATwBOADoAIAAgACAAkiFEAGUAdABlAHIAbQBpAG4AZQAgAGkAZgAgAGEAIAB2AGEAbAB1AGUAIABpAHMAIABiAGUAdAB3AGUAZQBuACAAYQAgAGwAbwB3AGUAcgAgAGEAbgBkACAAdQBwAHAAZQByACAAbABpAG0AaQB0AC4AtgBcACIAIAAmACAAXABuACAAIAAgACAAIAAgACAAIAAgACAAIAAgACAAIAAgACAAIAAgACAAIAAgACAAIAAgACAAIAAgACAAXAAiAFAAQQBSAEEATQBFAFQARQBSAFMAOgAgACAAIAAgAJIhtgBcACIAIAAmACAAXABuACAAIAAgACAAIAAgACAAIAAgACAAIAAgACAAIAAgACAAIAAgACAAIAAgACAAIAAgACAAIAAgACAAXAAiAFYAYQBsAHUAZQAgACAAIAAgACAAIAAgACAAIAAgAJIhKABSAGUAcQB1AGkAcgBlAGQAKQAgAEEAIAB2AGEAbAB1AGUAIABvAHIAIABhAHIAcgBhAHkAIABvAGYAIAB2AGEAbAB1AGUAcwAgAHQAbwAgAGMAbwBtAHAAYQByAGUALgC2AFwAIgAgACYAIABcAG4AIAAgACAAIAAgACAAIAAgACAAIAAgACAAIAAgACAAIAAgACAAIAAgACAAIAAgACAAIAAgACAAIABcACIATABvACAAIAAgACAAIAAgACAAIAAgACAAIAAgACAAkiEoAFIAZQBxAHUAaQByAGUAZAApACAAVABoAGUAIABsAG8AdwBlAHIAIABsAGkAbQBpAHQAIAB0AGgAYQB0ACAAdABoAGUAIAB2AGEAbAB1AGUAIABtAHUAcwB0ACAAYgBlACAAZwByAGUAYQB0AGUAcgAgAHQAaABhAG4AtgBcACIAIAAmAFwAbgAgACAAIAAgACAAIAAgACAAIAAgACAAIAAgACAAIAAgACAAIAAgACAAIAAgACAAIAAgACAAIAAgAFwAIgBIAGkAIAAgACAAIAAgACAAIAAgACAAIAAgACAAIACSISgAUgBlAHEAdQBpAHIAZQBkACkAIABUAGgAZQAgAGwAbwB3AGUAcgAgAGwAaQBtAGkAdAAgAHQAaABhAHQAIAB0AGgAZQAgAHYAYQBsAHUAZQAgAG0AdQBzAHQAIABiAGUAIABsAGUAcwBzACAAdABoAGEAbgC2AFwAIgAgACYAXABuACAAIAAgACAAIAAgACAAIAAgACAAIAAgACAAIAAgACAAIAAgACAAIAAgACAAIAAgACAAIAAgACAAXAAiAEkAbgBjAGwAdQBzAGkAdgBlACAAIAAgACAAIAAgAJIhKABPAHAAdABpAG8AbgBhAGwAKQAgAEkAZgAgAHMAZQB0ACAAdABvACAAVABSAFUARQAgACgAZABlAGYAYQB1AGwAdAApACAAdABoAGUAIAB2AGEAbAB1AGUAIABjAGEAbgAgAGIAZQAgAGUAcQB1AGEAbAAgAHQAbwAgAEwAbwAgAGEAbgBkAC8AbwByACAASABpALYAXAAiACAAJgBcAG4AIAAgACAAIAAgACAAIAAgACAAIAAgACAAIAAgACAAIAAgACAAIAAgACAAIAAgACAAIAAgACAAIABcACIAkiG2AFwAIgAgACYAXABuACAAIAAgACAAIAAgACAAIAAgACAAIAAgACAAIAAgACAAIAAgACAAIAAgACAAIAAgACAAIAAgACAAXAAiAEUAWABBAE0AUABMAEUAUwAgACAAIAAgACAAIAAgADoAkiG2AFwAIgAgACYAIABcAG4AIAAgACAAIAAgACAAIAAgACAAIAAgACAAIAAgACAAIAAgACAAIAAgACAAIAAgACAAIAAgACAAIABcACIAUgBlAHMAdQBsAHQAIAAgACAAIAAgACAAIAAgACAAkiFGAG8AcgBtAHUAbABhALYAXAAiACAAJgBcAG4AIAAgACAAIAAgACAAIAAgACAAIAAgACAAIAAgACAAIAAgACAAIAAgACAAIAAgACAAIAAgACAAIABcACIARgBBAEwAUwBFACAAIAAgACAAIAAgACAAIAAgACAAkiE9AEkAcwBCAGUAdAB3AGUAZQBuALsDKAAxACwAIAAyACwAIAA0ACkAtgBcACIAIAAmACAAXABuACAAIAAgACAAIAAgACAAIAAgACAAIAAgACAAIAAgACAAIAAgACAAIAAgACAAIAAgACAAIAAgACAAXAAiAFQAUgBVAEUAIAAgACAAIAAgACAAIAAgACAAIAAgAJIhPQBJAHMAQgBlAHQAdwBlAGUAbgC7AygAMgAsACAAMgAsACAANAApALYAXAAiACAAJgAgAFwAbgAgACAAIAAgACAAIAAgACAAIAAgACAAIAAgACAAIAAgACAAIAAgACAAIAAgACAAIAAgACAAIAAgAFwAIgBGAEEATABTAEUAIAAgACAAIAAgACAAIAAgACAAIACSIT0ASQBzAEIAZQB0AHcAZQBlAG4AuwMoADIALAAgADIALAAgADQALAAgAEYAQQBMAFMARQAp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WAGEAbAB1AGUAKQAsAFwAbgAgACAAIAAgACAAIAAgACAAIAAgACAAIAAgACAAIAAgACAAIAAgACAAIAAgACAAIAAgACAAIAAgAEkAUwBPAE0ASQBUAFQARQBEACgAIABMAG8AdwApACwAXABuACAAIAAgACAAIAAgACAAIAAgACAAIAAgACAAIAAgACAAIAAgACAAIAAgACAAIAAgACAAIAAgACAASQBTAE8ATQBJAFQAVABFAEQAKAAgAEgAaQApAFwAbgAgACAAIAAgACAAIAAgACAAIAAgACAAIAAgACAAIAAgACAAIAAgACAAIAAgACAAIAApACwAXABuACAAIAAgACAALwAvACAAIABQAHIAbwBjAGUAZAB1AHIAZQBcAG4AIAAgACAAIAAgACAAIAAgAFIAZQBzAHUAbAB0ACwAIAAgACAAIAAgACAAIAAgACAASQBGACgAIABJAG4AYwBsAHUAcwBpAHYAZQAsACAAXABuACAAIAAgACAAIAAgACAAIAAgACAAIAAgACAAIAAgACAAIAAgACAAIAAgACAAIAAgACAAIAAgACAAKABWAGEAbAB1AGUAIAA+AD0AIABMAG8AdwApACAAKgAgACgAVgBhAGwAdQBlACAAPAA9ACAASABpACkAIAA9ACAAMQAsACAAXABuACAAIAAgACAAIAAgACAAIAAgACAAIAAgACAAIAAgACAAIAAgACAAIAAgACAAIAAgACAAIAAgACAAKABWAGEAbAB1AGUAIAA+ACAATABvAHcAKQAgACoAIAAoAFYAYQBsAHUAZQAgADwAIABIAGkAKQAgAD0AIAAx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AgACAAIAAgAEkAcwBJAG4ATABpAHMAdAC7A1wAbgAgACAAIAAgAEQARQBTAEMAUgBJAFAAVABJAE8ATgA6ACoALwAvACoAKgBEAGUAdABlAHIAbQBpAG4AZQAgAGkAZgAgAGEAIAB2AGEAbAB1AGUAIABpAHMAIABiAGUAdAB3AGUAZQBuACAAYQAgAGwAbwB3AGUAcgAgAGEAbgBkACAAdQBwAHAAZQByACAAbABpAG0AaQB0ACoALwBcAG4ASQBzAEkAbgBMAGkAcwB0ALsDIAA9ACAATABBAE0AQgBEAEEAKABcAG4ALwAvACAAIABQAGEAcgBhAG0AZQB0AGUAcgAgAEQAZQBjAGwAYQByAGEAdABpAG8AbgBzAFwAbgAgACAAIAAgAFsAVgBhAGwAdQBlAF0ALABcAG4AIAAgACAAIABbAEwASQBTAFQAXQAsAFwAbgAvAC8AIAAgAEgAZQBsAHAAXABuACAAIAAgACAATABFAFQAKABIAGUAbABwACwAIAAgACAAIAAgACAAIAAgACAAIAAgAFQAUgBJAE0AKABUAEUAWABUAFMAUABMAEkAVAAoACAAXABuACAAIAAgACAAIAAgACAAIAAgACAAIAAgACAAIAAgACAAIAAgACAAIAAgACAAIAAgACAAIAAgACAAXAAiAEYAVQBOAEMAVABJAE8ATgA6ACAAIAAgACAAIAAgAJIhSQBzAEkAbgBMAGkAcwB0ALsDKAAgAFYAYQBsAHUAZQAsACAATABpAHMAdAApALYAXAAiACAAJgBcAG4AIAAgACAAIAAgACAAIAAgACAAIAAgACAAIAAgACAAIAAgACAAIAAgACAAIAAgACAAIAAgACAAIABcACIARABFAFMAQwBSAEkAUABUAEkATwBOADoAIAAgACAAkiFEAGUAdABlAHIAbQBpAG4AZQAgAGkAZgAgAGEAIAB2AGEAbAB1AGUAIABpAHMAIABvAG4AZQAgAG8AZgAgAGEAIABsAGkAcwB0ACAAbwBmACAAaQB0AGUAbQBzAC4AtgBcACIAIAAmACAAXABuACAAIAAgACAAIAAgACAAIAAgACAAIAAgACAAIAAgACAAIAAgACAAIAAgACAAIAAgACAAIAAgACAAXAAiAFAAQQBSAEEATQBFAFQARQBSAFMAOgAgACAAIAAgAJIhtgBcACIAIAAmACAAXABuACAAIAAgACAAIAAgACAAIAAgACAAIAAgACAAIAAgACAAIAAgACAAIAAgACAAIAAgACAAIAAgACAAXAAiAFYAYQBsAHUAZQAgACAAIAAgACAAIAAgACAAIAAgAJIhKABSAGUAcQB1AGkAcgBlAGQAKQAgAEEAIAB2AGEAbAB1AGUAIABvAHIAIABhAHIAcgBhAHkAIABvAGYAIAB2AGEAbAB1AGUAcwAgAHQAbwAgAGMAbwBtAHAAYQByAGUALgC2AFwAIgAgACYAIABcAG4AIAAgACAAIAAgACAAIAAgACAAIAAgACAAIAAgACAAIAAgACAAIAAgACAAIAAgACAAIAAgACAAIABcACIATABpAHMAdAAgACAAIAAgACAAIAAgACAAIAAgACAAkiEoAFIAZQBxAHUAaQByAGUAZAApACAAQQAgAGwAaQBzAHQAIABvAGYAIAB2AGEAbAB1AGUAcwAgAHQAbwAgAGMAaABlAGMAawC2AFwAIgAgACYAXABuACAAIAAgACAAIAAgACAAIAAgACAAIAAgACAAIAAgACAAIAAgACAAIAAgACAAIAAgACAAIAAgACAAXAAiAJIhtgBcACIAIAAmAFwAbgAgACAAIAAgACAAIAAgACAAIAAgACAAIAAgACAAIAAgACAAIAAgACAAIAAgACAAIAAgACAAIAAgAFwAIgBFAFgAQQBNAFAATABFAFMAIAAgACAAIAAgACAAIAA6AJIhtgBcACIAIAAmACAAXABuACAAIAAgACAAIAAgACAAIAAgACAAIAAgACAAIAAgACAAIAAgACAAIAAgACAAIAAgACAAIAAgACAAXAAiAFIAZQBzAHUAbAB0ACAAIAAgACAAIAAgACAAIAAgAJIhRgBvAHIAbQB1AGwAYQC2AFwAIgAgACYAXABuACAAIAAgACAAIAAgACAAIAAgACAAIAAgACAAIAAgACAAIAAgACAAIAAgACAAIAAgACAAIAAgACAAXAAiAEYAQQBMAFMARQAgACAAIAAgACAAIAAgACAAIAAgAJIhPQBJAHMASQBuAEwAaQBzAHQAuwMoADEALAAgAHsAMgAsADMALAA0AH0AKQC2AFwAIgAgACYAIABcAG4AIAAgACAAIAAgACAAIAAgACAAIAAgACAAIAAgACAAIAAgACAAIAAgACAAIAAgACAAIAAgACAAIABcACIAVABSAFUARQAgACAAIAAgACAAIAAgACAAIAAgACAAkiE9AEkAcwBJAG4ATABpAHMAdAC7AygAMQAsACAAewAxACwAMwAsADUAfQApALYAXAAiACAAJg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CkALABcAG4AIAAgACAAIAAgACAAIAAgACAAIAAgACAAIAAgACAAIAAgACAAIAAgACAAIAAgACAAIAAgACAAIABJAFMATwBNAEkAVABUAEUARAAoACAATABJAFMAVAApAFwAbgAgACAAIAAgACAAIAAgACAAIAAgACAAIAAgACAAIAAgACAAIAAgACAAIAAgACAAIAApACwAXABuACAAIAAgACAALwAvACAAIABQAHIAbwBjAGUAZAB1AHIAZQBcAG4AIAAgACAAIAAgACAAIAAgAFIAZQBzAHUAbAB0ACwAIAAgACAAIAAgACAAIAAgACAATgBPAFQAKAAgAEkAUwBOAEEAKAAgAE0AQQBUAEMASAAoACAAVgBhAGwAdQBlACwAIABMAGkAcwB0ACwAIAAwACkAKQ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SAGEAbgBnAGUAVABvAEQAQQC7A1wAbgAgACAAIAAgAEQARQBTAEMAUgBJAFAAVABJAE8ATgA6ACoALwAvACoAKgBDAG8AbgB2AGUAcgB0ACAAYQAgAHIAYQBuAGcAZQAgAHIAZQBmAGUAcgBlAG4AYwBlACAAdABvACAAYQAgAGQAeQBuAGEAbQBpAGMAIABhAHIAcgBhAHkAIAByAGUAZgBlAHIAZQBuAGMAZQAqAC8AXABuAFIAYQBuAGcAZQBUAG8ARABBALsDIAA9ACAATABBAE0AQgBEAEEAKABcAG4ALwAvACAAIABQAGEAcgBhAG0AZQB0AGUAcgAgAEQAZQBjAGwAYQByAGEAdABpAG8AbgBzAFwAbgAgACAAIAAgAFsAUgBhAG4AZwBlAF0ALABcAG4AIAAgACAAIABbAFIAbwB3AHMAXQAsAFwAbgAgACAAIAAgAFsAQwBvAGwAdQBtAG4Acw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AgACAAIAAgAJIhUgBhAG4AZwBlAFQAbwBEAEEAuwMoAFIAYQBuAGcAZQAsACAAWwBSAG8AdwBzAF0ALAAgAFsAQwBvAGwAdQBtAG4AcwBdACkAtgBcACIAIAAmAFwAbgAgACAAIAAgACAAIAAgACAAIAAgACAAIAAgACAAIAAgACAAIAAgACAAIAAgACAAIAAgACAAIAAgAFwAIgBEAEUAUwBDAFIASQBQAFQASQBPAE4AOgAgACAAIAAgACAAIAAgAJIhQwBvAG4AdgBlAHIAdAAgAGEAIAByAGEAbgBnAGUAIAByAGUAZgBlAHIAZQBuAGMAZQAgAHQAbwAgAGEAIABkAHkAbgBhAG0AaQBjACAAYQByAHIAYQB5ACAAcgBlAGYAZQByAGUAbgBjAGUALgC2AFwAIgAgACYAIABcAG4AIAAgACAAIAAgACAAIAAgACAAIAAgACAAIAAgACAAIAAgACAAIAAgACAAIAAgACAAIAAgACAAIABcACIAVwBFAEIAUwBJAFQARQA6ACAAIAAgACAAIAAgACAAIAAgACAAIACSIWgAdAB0AHAAcwA6AC8ALwBnAGkAdABoAHUAYgAuAGMAbwBtAC8AcgB5AGEAbgBkAHUAZwB1AGkAZAAvAE4AYQBiAGwAYQC2AFwAIgAgACYAXABuACAAIAAgACAAIAAgACAAIAAgACAAIAAgACAAIAAgACAAIAAgACAAIAAgACAAIAAgACAAIAAgACAAXAAiAFAAQQBSAEEATQBFAFQARQBSAFMAOgAgACAAIAAgACAAIAAgACAAkiG2AFwAIgAgACYAIABcAG4AIAAgACAAIAAgACAAIAAgACAAIAAgACAAIAAgACAAIAAgACAAIAAgACAAIAAgACAAIAAgACAAIABcACIAUgBhAG4AZwBlACAAIAAgACAAIAAgACAAIAAgACAAIAAgACAAIACSISgAUgBlAHEAdQBpAHIAZQBkACkAIABBACAAcgBlAGYAZQByAGUAbgBjAGUAIAB0AG8AIAB0AGgAZQAgAHIAYQBuAGcAZQAgAHQAbwAgAGIAZQAgAGMAbwBuAHYAZQByAHQAZQBkAC4AtgBcACIAIAAmAFwAbgAgACAAIAAgACAAIAAgACAAIAAgACAAIAAgACAAIAAgACAAIAAgACAAIAAgACAAIAAgACAAIAAgAFwAIgBSAG8AdwBzACAAIAAgACAAIAAgACAAIAAgACAAIAAgACAAIAAgAJIhKABPAHAAdABpAG8AbgBhAGwAKQAgAE4AdQBtAGIAZQByACAAbwBmACAAcgBvAHcAcwAgAGYAbwByACAAdABoAGUAIABkAHkAbgBhAG0AaQBjACAAYQByAHIAYQB5AC4AIABEAGUAZgBhAHUAbAB0AHMAIAB0AG8AIAAxAC4AtgBcACIAIAAmAFwAbgAgACAAIAAgACAAIAAgACAAIAAgACAAIAAgACAAIAAgACAAIAAgACAAIAAgACAAIAAgACAAIAAgAFwAIgBDAG8AbAB1AG0AbgBzACAAIAAgACAAIAAgACAAIAAgACAAIAAgAJIhKABPAHAAdABpAG8AbgBhAGwAKQAgAE4AdQBtAGIAZQByACAAbwBmACAAYwBvAGwAdQBtAG4AcwAgAGYAbwByACAAdABoAGUAIABkAHkAbgBhAG0AaQBjACAAYQByAHIAYQB5AC4AIABEAGUAZgBhAHUAbAB0AHMAIAB0AG8AIAAxAC4AtgBcACIAIAAmAFwAbgAgACAAIAAgACAAIAAgACAAIAAgACAAIAAgACAAIAAgACAAIAAgACAAIAAgACAAIAAgACAAIAAgAFwAIgCSIbYAXAAiACAAJgBcAG4AIAAgACAAIAAgACAAIAAgACAAIAAgACAAIAAgACAAIAAgACAAIAAgACAAIAAgACAAIAAgACAAIABcACIARQBYAEEATQBQAEwARQBTADoAIAAgACAAIAAgACAAIAAgACAAIACSIT0AUgBhAG4AZwBlAFQAbwBEAEEAuwMoAEEAMQAsACAALAAgAE0AbwBkAGUAbABQAGUAcgBpAG8AZABDAG8AdQBuAHQAKQBcACIALABcAG4AIAAgACAAIAAgACAAIAAgACAAIAAgACAAIAAgACAAIAAgACAAIAAgACAAIAAgACAAIAAgACAAIABcACIAkiFcACIALAAgAFwAIgC2AFwAIgBcAG4AIAAgACAAIAAgACAAIAAgACAAIAAgACAAIAAgACAAIAAgACAAIAAgACAAIAAgACAAIAAgACAAIAApAFwAbgAgACAAIAAgACAAIAAgACAAIAAgACAAIAAgACAAIAAgACAAIAAgACAAIAAgACAAIAApACwAIAAgAFwAbgAgACAAIAAgAC8ALwAgACAAQwBoAGUAYwBrACAAaQBuAHAAdQB0AHMAIAAtACAATwBtAGkAdAB0AGUAZAAgAHIAZQBxAHUAaQByAGUAZAAgAGEAcgBnAHUAbQBlAG4AdABzAFwAbgAgACAAIAAgACAAIAAgACAASABlAGwAcAA/ACwAIAAgACAAIAAgACAAIAAgACAAIABJAFMATwBNAEkAVABUAEUARAAoACAAUgBhAG4AZwBlACkALABcAG4AIAAgACAAIAAvAC8AIAAgAEMAaABlAGMAawAgAGkAbgBwAHUAdABzACAALQAgAFMAZQB0ACAAbwBwAHQAaQBvAG4AYQBsACAAYQByAGcAdQBtAGUAbgB0AHMAJwAgAGQAZQBmAGEAdQBsAHQAcwBcAG4AIAAgACAAIAAgACAAIAAgAFIAbwB3AHMALAAgACAAIAAgACAAIAAgACAAIAAgACAASQBGACgAIABJAFMATgBVAE0AQgBFAFIAKAAgAFIAbwB3AHMAKQAsACAAUgBvAHcAcwAsACAAMQApACwAXABuACAAIAAgACAAIAAgACAAIABDAG8AbAB1AG0AbgBzACwAIAAgACAAIAAgACAAIAAgAEkARgAoACAASQBTAE4AVQBNAEIARQBSACgAIABDAG8AbAB1AG0AbgBzACkALAAgAEMAbwBsAHUAbQBuAHMALAAgADEAKQAsAFwAbgAgACAAIAAgAC8ALwAgACAAUAByAG8AYwBlAGQAdQByAGUAXABuACAAIAAgACAAIAAgACAAIABSAGUAcwB1AGwAdAAsACAAIAAgACAAIAAgACAAIAAgAE8ARgBGAFMARQBUACgAIABSAGEAbgBnAGUALAAgADAALAAgADAALAAgAFIAbwB3AHMALAAgAEMAbwBsAHUAbQBuAHMAKQAsACAAXABuACAAIAAgACAALwAvACAAIABSAGUAdAB1AHIAbgAgAFIAZQBzAHUAbAB0ACAAbwByACAAaABlAGwAcABcAG4AIAAgACAAIAAgACAAIAAgAEMASABPAE8AUwBFACgASABlAGwAcAA/ACAAKwAgADEALAAgAFIAZQBzAHUAbAB0ACwAIABIAGUAbABwACkAXABuACAAIAAgACAAKQBcAG4AKQA7AFwAbgAiAH0ALAB7ACIAcABhAHQAaAAiADoAIgAvAHAAcgBvAGoAZQBjAHQAcwAvAG4AYQBiAGwAYQAuAGYAIgAsACIAdABlAHgAdAAiADoAIgAvACoAIAAgAEYAVQBOAEMAVABJAE8ATgAgAE4AQQBNAEUAOgAgACAAQQBiAG8AdQB0ALsDXABuACAAIAAgACAARABFAFMAQwBSAEkAUABUAEkATwBOADoAKgAvAC8AKgAqAEQAaQBzAHAAbABhAHkAcwAgAHQAaABpAHMAIABtAG8AZAB1AGwAZQAnAHMAIAByAGUAcABvAHMAaQB0AG8AcgB5ACAAVQBSAEwAIABhAG4AZAAgAGYAdQBuAGMAdABpAG8AbgAgAGwAaQBzAHQAKgAvAFwAbgBcAG4AQQBiAG8AdQB0ALsDIAA9ACAAVABSAEkATQAoAFQARQBYAFQAUwBQAEwASQBUACgAXABuACAAIAAgACAAXAAiAEEAQgBPAFUAVAA6ACAAIAAgACAAIAAgACAAIAAgACAAIAAgACAAkiFuAGEAYgBsAGEAJwBzACAARgBpAG4AYQBuAGMAaQBhAGwAIABNAG8AZABlAGwAcwAgAG0AbwBkAHUAbABlAC4AIABTAHUAZwBnAGUAcwB0AGUAZAAgAG0AbwBkAHUAbABlACAAbgBhAG0AZQA6ACAAbgBhAGIAbABhAC4AZgC2AFwAIgAgACYAXABuACAAIAAgACAAXAAiAFYARQBSAFMASQBPAE4AOgAgACAAIAAgACAAIAAgACAAIAAgACAAkiExADgAIABBAHUAZwAgADIAMAAyADYAtgBcACIAIAAmAFwAbgAgACAAIAAgAFwAIgBSAEUAUABPAFMASQBUAE8AUgBZADoAIAAgACAAIAAgACAAIAAgACAAIACSIWgAdAB0AHAAcwA6AC8ALwBnAGkAdABoAHUAYgAuAGMAbwBtAC8AcgB5AGEAbgBkAHUAZwB1AGkAZAAvAE4AYQBiAGwAYQAgALYAXAAiACAAJgBcAG4AIAAgACAAIABcACIAVwBFAEIAUwBJAFQARQA6ACAAIAAgACAAIAAgACAAIAAgACAAIACSIWgAdAB0AHAAcwA6AC8ALwBnAGkAdABoAHUAYgAuAGMAbwBtAC8AcgB5AGEAbgBkAHUAZwB1AGkAZAAvAE4AYQBiAGwAYQAgALYAXAAiACAAJgBcAG4AIAAgACAAIABcACIAkiG2AFwAIgAgACYAXABuACAAIAAgACAAXAAiAEYAVQBOAEMAVABJAE8ATgAgACAAIAAgACAAIAAgACAAIAAgACAAkiFEAEUAUwBDAFIASQBQAFQASQBPAE4AtgBcACIAIAAmACAAXABuACAAIAAgACAAXAAiAEEAYgBvAHUAdAC7AyAAIAAgACAAIAAgACAAIAAgACAAIAAgACAAkiFQAHIAbwBkAHUAYwBlAHMAIAB0AGgAaQBzACAAdABhAGIAbABlALYAXAAiACAAJgAgAFwAbgAgACAAIAAgAFwAIgBDAG8AcgBrAHMAYwByAGUAdwC7AyAAIAAgACAAIAAgACAAIAAgAJIhQwByAGUAYQB0AGUAcwAgAGEAIABzAGkAbQBwAGwAZQAgAGMAbwByAGsAcwBjAHIAZQB3ACAAdwBoAGUAcgBlACAAdABoAGUAIABjAGwAbwBzAGkAbgBnACAAYgBhAGwAYQBuAGMAZQAgAGkAcwAgAHQAaABlACAAcwB1AG0AIABvAGYAIABpAG4AZABlAHAAZQBuAGQAZQBuAHQAIABmAGwAbwB3AHMAIABwAGwAdQBzACAAbwBwAGUAbgBpAG4AZwAgAGIAYQBsAGEAbgBjAGUAtgBcACIAIAAmAFwAbgAgACAAIAAgAFwAIgBDAG8AcgBrAFMAYwByAGUAdwBSAGUAdgBlAHIAcwBhAGwAuwMgAJIhQwByAGUAYQB0AGUAIABhACAAYwBvAHIAawBzAGMAcgBlAHcAIAB3AGgAZQByAGUAIAB0AGgAZQAgAG8AcABlAG4AaQBuAGcAIABiAGEAbABhAG4AYwBlACAAaQBzACAAcgBlAHYAZQByAHMAZQBkACAAaQBuACAAdABoAGUAIABuAGUAeAB0ACAAcABlAHIAaQBvAGQAIABiAGEAcwBlAGQAIABvAG4AIABhACAAdABpAG0AaQBuAGcAIAByAG8AdwC2AFwAIgAgACYAXABuACAAIAAgACAAXAAiAEMAdQBtAHUAbABhAHQAaQB2AGUAuwMgACAAIAAgACAAIAAgACAAkiFDAHIAZQBhAHQAZQBzACAAYQAgAHIAbwB3ACAAbwByACAAYwBvAGwAdQBtAG4AIABvAGYAIABjAHUAbQB1AGwAYQB0AGkAdgBlACAAdABvAHQAYQBsAHMAIABmAHIAbwBtACAAYQAgAHQAbwB0AGEAbAAgAHIAbwB3ACAAbwByACAAYwBvAGwAdQBtAG4AtgBcACIAIAAmAFwAbgAgACAAIAAgAFwAIgBJAG4AdABPAG4ASQBuAHQAuwMgACAAIAAgACAAIAAgACAAIAAgAJIhQwBhAGwAYwB1AGwAYQB0AGUAIABJAG4AdABlAHIAZQBzAHQAIABvAG4AIABJAG4AdABlAHIAZQBzAHQALgAgAFUAcwBlACAAdABvACAAZABlAHQAZQByAG0AaQBuAGUAIABhAG0AbwB1AG4AdAAgAG4AZQBlAGQAZQBkACAAdABvACAAYwBvAHYAZQByACAAZABlAGIAdAAgAHAAbAB1AHMAIABpAG4AdABlAHIAZQBzAHQAIABvAG4AIABkAGUAYgB0ALYAXAAiACAAJgAgAFwAbgAgACAAIAAgAFwAIgBJAFIAUgC7AyAAIAAgACAAIAAgACAAIAAgACAAIAAgACAAIAAgAJIhQwBhAGwAYwB1AGwAYQB0AGUAcwAgAEkAUgBSACwAIABjAG8AcgByAGUAYwB0AGkAbgBnACAAZgBvAHIAIAB3AGgAZQBuACAAdABoAGUAIABmAGkAcgBzAHQAIABpAG4AdgBlAHMAdABtAGUAbgB0ACAAaQBzACAAbgBvAHQAIABpAG4AIAB0AGgAZQAgAGYAaQByAHMAdAAgAHAAZQByAGkAbwBkALYAXAAiACAAJgAgAFwAbgAgACAAIAAgAFwAIgBNAG8AdgBlAG0AZQBuAHQAuwMgACAAIAAgACAAIAAgACAAIAAgAJIhQwByAGUAYQB0AGUAIABhACAAcgBvAHcAIABvAGYAIABkAGkAZgBmAGUAcgBlAG4AYwBlAHMAIABmAHIAbwBtACAAYwBvAGwAdQBtAG4AIAB0AG8AIABjAG8AbAB1AG0AbgC2AFwAIgAgACYAIABcAG4AIAAgACAAIABcACIAUgBlAHYAZQByAHMAYQBsALsDIAAgACAAIAAgACAAIAAgACAAIACSIUMAcgBlAGEAdABlACAAYQAgAHIAbwB3ACAAdABoAGEAdAAgAHIAZQB2AGUAcgBzAGUAcwAgAGkAbgBwAHUAdAAgAHYAYQBsAHUAZQBzACAAaQBuACAAdABoAGUAIABuAGUAeAB0ACAAcABlAHIAaQBvAGQALgC2AFwAIgAgACYAIABcAG4AIAAgACAAIABcACIAUgBvAGwAbABpAG4AZwBBAHYAZwC7AyAAIAAgACAAIAAgACAAIACSIUYAaQBuAGQAcwAgAHQAaABlACAAbQBhAHgAaQBtAHUAbQAgAHYAYQBsAHUAZQAgAHQAaABlACAAbgAgAHAAcgBlAGMAZQBkAGkAbgBnACAAdgBhAGwAdQBlAHMAIABpAG4AIABhACAAcwBlAHQAIABtAG8AdgBpAG4AZwAgAGYAcgBvAG0AIABiAGUAZwBpAG4AbgBpAG4AZwAgAHQAbwAgAGUAbgBkACAAbwB2AGUAcgAgAGEAIAByAG8AdwAgAG8AZgAgAHYAYQBsAHUAZQBzAC4AtgBcACIAIAAmAFwAbgAgACAAIAAgAFwAIgBSAG8AbABsAGkAbgBnAE0AYQB4ALsDIAAgACAAIAAgACAAIAAgAJIhRgBpAG4AZABzACAAdABoAGUAIABtAGEAeABpAG0AdQBtACAAdgBhAGwAdQBlACAAdABoAGUAIABuACAAcAByAGUAYwBlAGQAaQBuAGcAIAB2AGEAbAB1AGUAcwAgAGkAbgAgAGEAIABzAGUAdAAgAG0AbwB2AGkAbgBnACAAZgByAG8AbQAgAGIAZQBnAGkAbgBuAGkAbgBnACAAdABvACAAZQBuAGQAIABvAHYAZQByACAAYQAgAHIAbwB3ACAAbwBmACAAdgBhAGwAdQBlAHMALgC2AFwAIgAgACYAXABuACAAIAAgACAAXAAiAFIAbwBsAGwAaQBuAGcATQBpAG4AuwMgACAAIAAgACAAIAAgACAAkiFGAGkAbgBkAHMAIAB0AGgAZQAgAG0AaQBuAGkAbQB1AG0AIAB2AGEAbAB1AGUAIAB0AGgAZQAgAG4AIABwAHIAZQBjAGUAZABpAG4AZwAgAHYAYQBsAHUAZQBzACAAaQBuACAAYQAgAHMAZQB0ACAAbQBvAHYAaQBuAGcAIABmAHIAbwBtACAAYgBlAGcAaQBuAG4AaQBuAGcAIAB0AG8AIABlAG4AZAAgAG8AdgBlAHIAIABhACAAcgBvAHcAIABvAGYAIAB2AGEAbAB1AGUAcwAuALYAXAAiACAAJgBcAG4AIAAgACAAIABcACIAUgBvAGwAbABpAG4AZwBTAHUAbQC7AyAAIAAgACAAIAAgACAAIACSIUMAcgBlAGEAdABlAHMAIAB0AG8AdABhAGwAcwAgAGYAbwByACAAcAByAGUAYwBlAGQAaQBuAGcAIAB2AGEAbAB1AGUAcwAgAG8AZgAgAGEAIABzAGUAdAAgAHMAaQB6AGUAIABtAG8AdgBpAG4AZwAgAGYAcgBvAG0AIABiAGUAZwBpAG4AbgBpAG4AZwAgAHQAbwAgAGUAbgBkACAAbwB2AGUAcgAgAGEAIAByAG8AdwAgAG8AZgAgAHYAYQBsAHUAZQBzAC4AtgBcACIAIAAmAFwAbgAgACAAIAAgAFwAIgBTAHUAbQBDAG8AbgB0AGEAaQBuAHMAuwMgACAAIAAgACAAIAAgAJIhQwByAGUAYQB0AGUAcwAgAGEAIAByAG8AdwAgAG8AZgAgAHQAbwB0AGEAbABzACAAZgBvAHIAIABlAGEAYwBoACAAcgBvAHcAIABpAG4AIABhAG4AIABhAHIAcgBhAHkAIAB3AGgAZQByAGUAIABpAHQAcwAgAGwAYQBiAGUAbABzACAAYwBvAG4AdABhAGkAbgAgAGEAIAB1AG4AaQBxAHUAZQAgAGwAZQB0AHQAZQByACwAIAB3AG8AcgBkACwAIABvAHIAIABwAGgAcgBhAHMAZQAuALYAXAAiACAAJgAgAFwAbgAgACAAIAAgAFwAIgBTAHUAbQBQAGUAcgBpAG8AZABzALsDIAAgACAAIAAgACAAIAAgAJIhRwByAG8AdQBwAHMAIABhAG4AZAAgAHQAbwB0AGEAbABzACAAYQBsAGwAIABjAG8AbAB1AG0AbgBzACAAaQBuACAAYQAgAFYAYQBsAHUAZQBzACAAYQByAHIAYQB5ACAAYgB5ACAAcABlAHIAaQBvAGQAIAByAGUAcwB1AGwAdABpAG4AZwAgAGkAbgAgAG8AbgBlACAAYwBvAGwAdQBtAG4AIABmAG8AcgAgAGUAYQBjAGgAIABwAGUAcgBpAG8AZAAuALYAXAAiACAAJgAgAFwAbgAgACAAIAAgAFwAIgCSIbYAXAAiACAAJgBcAG4AIAAgACAAIABcACIAQQBNAE8AUgBUAEkAUwBBAFQASQBPAE4AIABTAFUASQBUAEUAkiG2AFwAIgAgACYAIABcAG4AIAAgACAAIABcACIAQQBtAG8AcgB0AGkAcwBlALsDIAAgACAAIAAgACAAIAAgACAAIACSIUMAcgBlAGEAdABlAHMAIABhACAAYwBvAHIAawBzAGMAcgBlAHcAIABhAG0AbwByAHQAaQBzAGEAdABpAG8AbgAgAHMAYwBoAGUAZAB1AGwAZQAuALYAXAAiACAAJgAgAFwAbgAgACAAIAAgAFwAIgBMAGEAYgBlAGwAQQBtAG8AcgB0AGkAcwBlALsDIAAgACAAIAAgAJIhQwByAGUAYQB0AGUAIAByAG8AdwAgAGwAYQBiAGUAbABzACAAZgBvAHIAIABBAG0AbwByAHQAaQBzAGUAuwMgAHIAZQBzAHUAbAB0ALYAXAAiACAAJgAgAFwAbgAgACAAIAAgAFwAIgBTAHUAbQBBAG0AbwByAHQAaQBzAGUAuwMgACAAIAAgACAAIAAgAJIhQwByAGUAYQB0AGUAIAByAG8AdwAgAHQAbwB0AGEAbABzACAAZgBvAHIAIABwAGEAeQBtAGUAbgB0AHMALAAgAGkAbgB0AGUAcgBlAHMAdAAsACAAYQBuAGQAIABwAHIAaQBuAGMAaQBwAGEAbAAgAHAAbwByAHQAaQBvAG4AIABpAG4AIABBAG0AbwByAHQAaQBzAGUAuwMgAHIAZQBzAHUAbAB0AHMAtgBcACIAIAAmACAAXABuACAAIAAgACAAXAAiAJIhtgBcACIAIAAmAFwAbgAgACAAIAAgAFwAIgBEAEUAUABSAEUAQwBJAEEAVABJAE8ATgAgAFMAVQBJAFQARQCSIbYAXAAiACAAJgAgAFwAbgAgACAAIAAgAFwAIgBEAGUAcAByAGUAYwBpAGEAdABlALsDIAAgACAAIAAgACAAIAAgAJIhQwByAGUAYQB0AGUAIABhACAAYgBsAG8AYwBrACAAbwBmACAAQwBBAFAARQBYACwAIABPAHAAZQBuAGkAbgBnACAAQgBhAGwAYQBuAGMAZQAsACAARABlAHAAcgBlAGMAaQBhAHQAaQBvAG4AIABWAGEAbAB1AGUAcwAsACAAYQBuAGQAIABCAG8AbwBrACAAVgBhAGwAdQBlACAAZgBvAHIAIABlAGEAYwBoACAAYQBzAHMAZQB0ALYAXAAiACAAJgAgAFwAbgAgACAAIAAgAFwAIgBMAGEAYgBlAGwARABlAHAAcgBlAGMAaQBhAHQAZQC7AyAAIAAgAJIhQwByAGUAYQB0AGUAIAByAG8AdwAgAGwAYQBiAGUAbABzACAAZgBvAHIAIABEAGUAcAByAGUAYwBpAGEAdABlALsDIAByAGUAcwB1AGwAdAC2AFwAIgAgACYAIABcAG4AIAAgACAAIABcACIAUwB1AG0ARABlAHAAcgBlAGMAaQBhAHQAZQC7AyAAIAAgACAAIACSIUMAcgBlAGEAdABlACAAcgBvAHcAIAB0AG8AdABhAGwAcwAgAGYAbwByACAAQwBBAFAARQBYACwAIABEAGUAcAByAGUAYwBpAGEAdABpAG8AbgAsACAAQgBvAG8AawAgAFYAYQBsAHUAZQAsACAAUwBhAGwAdgBhAGcAZQAgAFYAYQBsAHUAZQAsACAAYQBuAGQAIABEAGkAcwBwAG8AcwBhAGwAIABjAG8AcwB0AHMAIABpAG4AIABEAGUAcAByAGUAYwBpAGEAdABlALsDIAByAGUAcwB1AGwAdABzALYAXAAiACAAJgAgAFwAbgAgACAAIAAgAFwAIgBBAGwAbABvAGMAYQB0AGUAuwMgACAAIAAgACAAIAAgACAAIAAgAJIhRABpAHYAaQBkAGUAIABvAG4AZQAgAG8AcgAgAG0AbwByAGUAIABhAG0AbwB1AG4AdABzACAAZQBxAHUAYQBsAGwAeQAgAGEAYwByAG8AcwBzACAAcwBtAGEAbABsAGUAcgAgAHAAZQByAGkAbwBkAHMAtgBcACIAIAAmACAAXABuACAAIAAgACAAXAAiAFMATABOALsDIAAgACAAIAAgACAAIAAgACAAIAAgACAAIAAgACAAkiFTAHQAcgBhAGkAZwBoAHQAIABMAGkAbgBlACAAZABlAHAAcgBlAGMAaQBhAHQAaQBvAG4AIABtAGUAdABoAG8AZAAgAGYAbwByACAAbwBuAGUAIABhAHMAcwBlAHQAIABvAHIAIABhAHMAcwBlAHQAIABjAGwAYQBzAHMALgC2AFwAIgAgACYAIABcAG4AIAAgACAAIABcACIAUwBZAEQAuwMgACAAIAAgACAAIAAgACAAIAAgACAAIAAgACAAIACSIVMAdQBtAC0AbwBmAC0AeQBlAGEAcgBzACcAIABkAGkAZwBpAHQAcwAgAGQAZQBwAHIAZQBjAGkAYQB0AGkAbwBuACAAbQBlAHQAaABvAGQAIABmAG8AcgAgAG8AbgBlACAAYQBzAHMAZQB0ACAAbwByACAAYQBzAHMAZQB0ACAAYwBsAGEAcwBzAC4AtgBcACIAIAAmACAAXABuACAAIAAgACAAXAAiAEQAQgC7AyAAIAAgACAAIAAgACAAIAAgACAAIAAgACAAIAAgACAAkiFGAGkAeABlAGQAIABkAGUAYwBsAGkAbgBpAG4AZwAgAGIAYQBsAGEAbgBjAGUAIABkAGUAcAByAGUAYwBpAGEAdABpAG8AbgAgAG0AZQB0AGgAbwBkACAAZgBvAHIAIABvAG4AZQAgAGEAcwBzAGUAdAAgAG8AcgAgAGEAcwBzAGUAdAAgAGMAbABhAHMAcwAuALYAXAAiACAAJgAgAFwAbgAgACAAIAAgAFwAIgBEAEQAQgC7AyAAIAAgACAAIAAgACAAIAAgACAAIAAgACAAIAAgAJIhRABvAHUAYgBsAGUALQBkAGUAYwBsAGkAbgBpAG4AZwAgAGIAYQBsAGEAbgBjAGUAIABkAGUAcAByAGUAYwBpAGEAdABpAG8AbgAgAG0AZQB0AGgAbwBkACAAZgBvAHIAIABvAG4AZQAgAGEAcwBzAGUAdAAgAG8AcgAgAGEAcwBzAGUAdAAgAGMAbABhAHMAcwAuALYAXAAiACAAJgAgAFwAbgAgACAAIAAgAFwAIgBWAEQAQgC7AyAAIAAgACAAIAAgACAAIAAgACAAIAAgACAAIAAgAJIhVgBhAHIAaQBhAGIAbABlACAAZABlAGMAbABpAG4AaQBuAGcAIABiAGEAbABhAG4AYwBlACAAZABlAHAAcgBlAGMAaQBhAHQAaQBvAG4AIABtAGUAdABoAG8AZAAgAGYAbwByACAAbwBuAGUAIABhAHMAcwBlAHQAIABvAHIAIABhAHMAcwBlAHQAIABjAGwAYQBzAHMALgC2AFwAIgAgACYAIABcAG4AIAAgACAAIAAgACAAIAAgACAAIAAgACAAIAAgACAAIAAgACAAIAAgACAAIAAgACAAIAAgACAAIAAgACAAIAAgACAAIAAgACAAIAAgACAAIAAgACAAIABcACIARABpAG0AaQBuAGkAcwBoAGkAbgBnAFYAYQBsAHUAZQC7AyAAIACSIUQAaQBtAGkAbgBpAHMAaABpAG4AZwAgAHYAYQBsAHUAZQAgAGQAZQBwAHIAZQBjAGkAYQB0AGkAbwBuACAAKABBAFQATwAgADIAMAAwACUAIABtAGUAdABoAG8AZAApACAAZgBvAHIAIABvAG4AZQAgAGEAcwBzAGUAdAAgAG8AcgAgAGEAcwBzAGUAdAAgAGMAbABhAHMAcwAuALYAXAAiACAAJgAgAFwAbgAgACAAIAAgACAAIAAgACAAIAAgACAAIAAgACAAIAAgACAAIAAgACAAIAAgACAAIAAgACAAIAAgACAAIAAgACAAIAAgACAAIAAgACAAIAAgACAAIAAgAFwAIgBQAHIAaQBtAGUAQwBvAHMAdAC7AyAAIAAgACAAIAAgACAAIAAgAJIhUAByAGkAbQBlACAAYwBvAHMAdAAgACgAcwB0AHIAYQBpAGcAaAB0ACAAbABpAG4AZQApACAAZABlAHAAcgBlAGMAaQBhAHQAaQBvAG4ALAAgAEEAVABPACAAbQBlAHQAaABvAGQALAAgAGYAbwByACAAbwBuAGUAIABhAHMAcwBlAHQAIABvAHIAIABhAHMAcwBlAHQAIABjAGwAYQBzAHMALgC2AFwAIgAgACYAIABcAG4AIAAgACAAIAAgACAAIAAgACAAIAAgACAAIAAgACAAIAAgACAAIAAgACAAIAAgACAAIAAgACAAIAAgACAAIAAgACAAIAAgACAAIAAgACAAIAAgACAAIABcACIARwBTAFQAQQBkAGQAuwMgACAAIAAgACAAIAAgACAAIAAgACAAIACSIUEAZABkAHMAIABHAFMAVAAgAHQAbwAgAG8AbgBlACAAbwByACAAbQBvAHIAZQAgAEcAUwBUAC0AZQB4AGMAbAB1AHMAaQB2AGUAIABhAG0AbwB1AG4AdABzAC4AtgBcACIAIAAmACAAXABuACAAIAAgACAAIAAgACAAIAAgACAAIAAgACAAIAAgACAAIAAgACAAIAAgACAAIAAgACAAIAAgACAAIAAgACAAIAAgACAAIAAgACAAIAAgACAAIAAgACAAXAAiAEcAUwBUAEUAeAB0AHIAYQBjAHQAuwMgACAAIAAgACAAIAAgACAAkiFSAGUAdAB1AHIAbgBzACAAdABoAGUAIABHAFMAVAAgAGMAbwBuAHQAYQBpAG4AZQBkACAAaQBuACAAbwBuAGUAIABvAHIAIABtAG8AcgBlACAARwBTAFQALQBpAG4AYwBsAHUAcwBpAHYAZQAgAGEAbQBvAHUAbgB0AHMALgC2AFwAIgAgACYAIABcAG4AIAAgACAAIAAgACAAIAAgACAAIAAgACAAIAAgACAAIAAgACAAIAAgACAAIAAgACAAIAAgACAAIAAgACAAIAAgACAAIAAgACAAIAAgACAAIAAgACAAIABcAG4AIAAgACAAIABcACIAkiG2AFwAIgAgACYAXABuACAAIAAgACAAXAAiAFMAVQBCAFIATwBVAFQASQBOAEUAUwAgACAAIAAgACAAIAAgACAAkiFGAHUAbgBjAHQAaQBvAG4AcwAgAHUAcwBlAGQAIABiAHkAIABvAHQAaABlAHIAIABmAHUAbgBjAHQAaQBvAG4AcwAgAG8AcgAgAGcAZQBuAGUAcgBhAGwAIABwAHUAcgBwAG8AcwBlACAAZgB1AG4AYwB0AGkAbwBuAHMALgC2AFwAIgAgACYAIABcAG4AIAAgACAAIABcACIARgBpAGwAdABlAHIAQwBvAG4AdABhAGkAbgBzALsDIAAgACAAIACSIUYAaQBsAHQAZQByACAAYQBuACAAYQByAHIAYQB5ACAAYgB5ACAAYQBuAG8AdABoAGUAcgAgAGEAcgByAGEAeQAgAHQAaABhAHQAIABjAG8AbgB0AGEAaQBuAHMAIABzAHAAZQBjAGkAZgBpAGMAIAB0AGUAeAB0ALYAXAAiACAAJgAgAFwAbgAgACAAIAAgAFwAIgBSAGEAbgBnAGUAVABvAEQAQQC7AyAAIAAgACAAIAAgACAAIAAgAJIhQwByAGUAYQB0AGUAIABhACAAZAB5AG4AYQBtAGkAYwAgAGEAcgByAGEAeQAgAGYAcgBvAG0AIABhACAAcwB0AGEAdABpAGMAIAByAGEAbgBnAGUAtgBcACIAIAAmACAAXABuACAAIAAgACAAXAAiAFQAaQBtAGUAbABpAG4AZQBPAGYAZgBzAGUAdAC7AyAAIAAgACAAkiFEAGUAdABlAHIAbQBpAG4AZQBzACAAaABvAHcAIABtAGEAbgB5ACAAYwBvAGwAdQBtAG4AcwAgAGEAIABkAGEAdABlACAAaQBzACAAbwBmAGYAcwBlAHQAIABmAHIAbwBtACAAYQAgAHQAaQBtAGUAbABpAG4AZQAnAHMAIABmAGkAcgBzAHQAIABkAGEAdABlALYAXAAiACAAJgAgAFwAbgAgACAAIAAgAFwAIgBUAGkAbQBlAGwAaQBuAGUAUABvAHMAaQB0AGkAbwBuALsDIAAgAJIhUABsAGEAYwBlAHMAIABhAG4AIABhAHIAcgBhAHkAIABvAHIAIAB2AGEAbAB1AGUAIABhAHAAcAByAG8AcAByAGkAYQB0AGUAbAB5ACAAdwBpAHQAaABpAG4AIABhACAAbQBvAGQAZQBsACcAcwAgAHQAaQBtAGUAbABpAG4AZQAuALYAXAAiACAAJgAgACAAXABuACAAIAAgACAAXAAiAFAAZQByAGkAbwBkAFMAdABhAHIAdAC7AyAAIAAgACAAIAAgACAAkiFEAGUAdABlAHIAbQBpAG4AZQAgAHcAaABlAG4AIABhACAAcABlAHIAaQBvAGQAIABjAG8AbgB0AGEAaQBuAGkAbgBnACAAYQAgAGQAYQB0AGUAIABvAGYAIABpAG4AdABlAHIAZQBzAHQAIABzAHQAYQByAHQAcwAuALYAXAAiACAAJgAgAFwAbgAgACAAIAAgAFwAIgBQAGUAcgBpAG8AZABEAGkAZgBmALsDIAAgACAAIAAgACAAIAAgAJIhRABlAHQAZQByAG0AaQBuAGUAIAB0AGgAZQAgAG4AdQBtAGIAZQByACAAbwBmACAAcABlAHIAaQBvAGQAcwAgAGIAZQB0AHcAZQBlAG4AIAB0AHcAbwAgAGQAYQB0AGUAcwAuAFwAIgAsAFwAbgAgACAAIAAgAFwAIgCSIVwAIgAsAFwAIgC2AFwAIgBcAG4AIAAgACAAIAApAFwAbgApADsAXABuAFwAbgBcAG4AXABuAFwAbgAvACoAIAAgAEYAVQBOAEMAVABJAE8ATgAgAE4AQQBNAEUAOgAgACAAQwBvAHIAawBzAGMAcgBlAHcAuwNcAG4AIAAgACAAIABEAEUAUwBDAFIASQBQAFQASQBPAE4AOgAqAC8ALwAqACoAQwByAGUAYQB0AGUAIABhACAAYwBvAHIAawBzAGMAcgBlAHcAIABzAGUAYwB0AGkAbwBuACAAdABoAGEAdAAgAHMAdQBtAHMAIAB0AGgAZQAgAG8AcABlAG4AaQBuAGcAIABiAGEAbABhAG4AYwBlACAAYQBuAGQAIAB1AHAAIAB0AG8AIAA0ACAAaQBuAGQAZQBwAGUAbgBkAGUAbgB0ACAAZgBsAG8AdwBzAC4AKgAvAFwAbgBDAG8AcgBrAHMAYwByAGUAdwC7AyAAPQAgAEwAQQBNAEIARABBACgAXABuAC8ALwAgACAAUABhAHIAYQBtAGUAdABlAHIAIABEAGUAYwBsAGEAcgBhAHQAaQBvAG4AcwBcAG4AIAAgACAAIABbAE8AcABlAG4AaQBuAGcAXQAsAFwAbgAgACAAIAAgAFsARgBsAG8AdwAxAF0ALABcAG4AIAAgACAAIABbAEYAbABvAHcAMgBdACwAXABuACAAIAAgACAAWwBGAGwAbwB3ADMAXQAsAFwAbgAgACAAIAAgAFsARgBsAG8AdwA0AF0ALABcAG4AXABuACAAIAAgACAATABFAFQAKABcAG4AIAAgACAAIAAvAC8AIAAgAEgAZQBsAHAAXABuACAAIAAgACAAIAAgACAAIABIAGUAbABwACwAIAAgACAAIAAgACAAIABUAFIASQBNACgAVABFAFgAVABTAFAATABJAFQAKAAgAFwAbgAgACAAIAAgACAAIAAgACAAIAAgACAAIAAgACAAIAAgACAAIAAgACAAIAAgACAAIABcACIARgBVAE4AQwBUAEkATwBOADoAIAAgACAAIAAgACAAkiFDAG8AcgBrAHMAYwByAGUAdwC7AygAIABPAHAAZQBuAGkAbgBnACwAIABGAEwAbwB3ADEALAAgAFsARgBsAG8AdwAyAF0ALAAgAFsARgBsAG8AdwAzAF0ALAAgAFsARgBsAG8AdwA0AF0AKQC2AFwAIgAgACYAXABuACAAIAAgACAAIAAgACAAIAAgACAAIAAgACAAIAAgACAAIAAgACAAIAAgACAAIAAgAFwAIgBEAEUAUwBDAFIASQBQAFQASQBPAE4AOgAgACAAIACSIUMAcgBlAGEAdABlACAAYQAgAGMAbwByAGsAcwBjAHIAZQB3ACAAcwBlAGMAdABpAG8AbgAgAHQAaABhAHQAIABzAHUAbQBzACAAdABoAGUAIABvAHAAZQBuAGkAbgBnACAAYgBhAGwAYQBuAGMAZQAgAGEAbgBkACAAdQBwACAAdABvACAANAAgAGkAbgBkAGUAcABlAG4AZABlAG4AdAAgAGYAbABvAHcAcwC2AFwAIgAgACYAIABcAG4AIAAgACAAIAAgACAAIAAgACAAIAAgACAAIAAgACAAIAAgACAAIAAgACAAIAAgACAAXAAiAFcARQBCAFAAQQBHAEUAOgAgACAAIAAgACAAIAAgAJIhPABDAG8AbQBpAG4AZwAgAFMAbwBvAG4APgC2AFwAIgAgACYAIA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TwBwAGUAbgBpAG4AZwAgACAAIAAgACAAIAAgACAAkiEoAFIAZQBxAHUAaQByAGUAZAApACAARgBpAHIAcwB0ACAAcABlAHIAaQBvAGQAcwAgAG8AcABlAG4AaQBuAGcAIABiAGEAbABhAG4AYwBlAC4AtgBcACIAIAAmACAAXABuACAAIAAgACAAIAAgACAAIAAgACAAIAAgACAAIAAgACAAIAAgACAAIAAgACAAIAAgAFwAIgBGAGwAbwB3ADEAIAAgACAAIAAgACAAIAAgACAAIACSISgAUgBlAHEAdQBpAHIAZQBkACkAIABGAGkAcgBzAHQAIAByAG8AdwAgACgAbwByACAAYQByAHIAYQB5ACAAbwBmACAAcgBvAHcAcwApACAAbwBmACAAbgB1AG0AYgBlAHIAcwAgAHQAbwAgAGkAbgBjAGwAdQBkAGUAIABpAG4AIABwAGUAcgBpAG8AZAAgAHQAbwB0AGEAbABzAC4AtgBcACIAIAAmACAAXABuACAAIAAgACAAIAAgACAAIAAgACAAIAAgACAAIAAgACAAIAAgACAAIAAgACAAIAAgAFwAIgBGAGwAbwB3ADIAIAAgACAAIAAgACAAIAAgACAAIACSISgATwBwAHQAaQBvAG4AYQBsACkAIABTAGUAYwBvAG4AZAAgAHIAbwB3ACAAKABvAHIAIABhAHIAcgBhAHkAIABvAGYAIAByAG8AdwBzACkAIABvAGYAIABuAHUAbQBiAGUAcgBzACAAdABvACAAaQBuAGMAbAB1AGQAZQAgAGkAbgAgAHAAZQByAGkAbwBkACAAdABvAHQAYQBsAHMALgC2AFwAIgAgACYAIABcAG4AIAAgACAAIAAgACAAIAAgACAAIAAgACAAIAAgACAAIAAgACAAIAAgACAAIAAgACAAXAAiAEYAbABvAHcAMwAgACAAIAAgACAAIAAgACAAIAAgAJIhKABPAHAAdABpAG8AbgBhAGwAKQAgAFQAaABpAHIAZAAgAHIAbwB3ACAAKABvAHIAIABhAHIAcgBhAHkAIABvAGYAIAByAG8AdwBzACkAIABvAGYAIABuAHUAbQBiAGUAcgBzACAAdABvACAAaQBuAGMAbAB1AGQAZQAgAGkAbgAgAHAAZQByAGkAbwBkACAAdABvAHQAYQBsAHMALgC2AFwAIgAgACYAIABcAG4AIAAgACAAIAAgACAAIAAgACAAIAAgACAAIAAgACAAIAAgACAAIAAgACAAIAAgACAAXAAiAEYAbABvAHcANAAgACAAIAAgACAAIAAgACAAIAAgAJIhKABPAHAAdABpAG8AbgBhAGwAKQAgAEYAbwB1AHIAdABoACAAcgBvAHcAIAAoAG8AcgAgAGEAcgByAGEAeQAgAG8AZgAgAHIAbwB3AHMAKQAgAG8AZgAgAG4AdQBtAGIAZQByAHMAIAB0AG8AIABpAG4AYwBsAHUAZABlACAAaQBuACAAcABlAHIAaQBvAGQAIAB0AG8AdABhAGwAcwAuALYAXAAiACAAJgAgAFwAbgAgACAAIAAgACAAIAAgACAAIAAgACAAIAAgACAAIAAgACAAIAAgACAAIAAgACAAIABcACIATgBPAFQARQAhACAAIAAgACAAIAAgACAAIAAgACAAkiFBAGwAbAAgAGYAbABvAHcAcwAgAGEAcgBlACAAYQBkAGQAZQBkAC4AIABUAG8AIABzAHUAYgB0AHIAYQBjAHQAIABhACAAZgBsAG8AdwAgAG0AYQBrAGUAIABpAHQAIABuAGUAZwBhAHQAaQB2AGUALgC2AFwAIgAgACYAIABcAG4AIAAgACAAIAAgACAAIAAgACAAIAAgACAAIAAgACAAIAAgACAAIAAgACAAIAAgACAAXAAiAJIhtgBcACIAIAAmAFwAbgAgACAAIAAgACAAIAAgACAAIAAgACAAIAAgACAAIAAgACAAIAAgACAAIAAgACAAIABcACIARQBYAEEATQBQAEwARQBTADoAIAAgACAAIAAgACAAkiFOAE8AVABFACEAIABuAGEAYgBsAGEALgBmACAAaQBzACAAYQBzAHMAdQBtAGUAZAAgAHQAbwAgAGIAZQAgAHQAaABlACAAbQBvAGQAdQBsAGUAJwBzACAAbgBhAG0AZQC2AFwAIgAgACYAIABcAG4AIAAgACAAIAAgACAAIAAgACAAIAAgACAAIAAgACAAIAAgACAAIAAgACAAIAAgACAAXAAiAEYAbwByAG0AdQBsAGEAOgAgACAAIAAgACAAIAAgAJIhPQBuAGEAYgBsAGEALgBmAC4AQwBvAHIAawBzAGMAcgBlAHcAuwMoADAALAAgAFMAZQBxAHUAZQBuAGMAZQAoADEALAA1ACkAKQC2AFwAIgAgACYAXABuACAAIAAgACAAIAAgACAAIAAgACAAIAAgACAAIAAgACAAIAAgACAAIAAgACAAIAAgAFwAIgBSAGUAcwB1AGwAdAA6ACAAIAAgACAAIAAgACAAIACSITAAMAAsACAAMAAxACwAIAAwADMALAAgADAANgAsACAAMQAwALYAXAAiACAAJgBcAG4AIAAgACAAIAAgACAAIAAgACAAIAAgACAAIAAgACAAIAAgACAAIAAgACAAIAAgACAAIAAgACAAIAAgACAAIAAgACAAIAAgACAAIAAgACAAXAAiAJIhMAAxACwAIAAwADIALAAgADAAMwAsACAAMAA0ACwAIAAwADUAtgBcACIAIAAmAFwAbgAgACAAIAAgACAAIAAgACAAIAAgACAAIAAgACAAIAAgACAAIAAgACAAIAAgACAAIAAgACAAIAAgACAAIAAgACAAIAAgACAAIAAgACAAIABcACIAkiEwADEALAAgADAAMwAsACAAMAA2ACwAIAAxADAALAAgADEANQBcACIALAAg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8AcABlAG4AaQBuAGcAKQAsAFwAbgAgACAAIAAgACAAIAAgACAAIAAgACAAIAAgACAAIAAgACAAIAAgACAAIAAgACAAIAAgACAAIAAgAEkAUwBPAE0ASQBUAFQARQBEACgAIABGAGwAbwB3ADEAKQBcAG4AIAAgACAAIAAgACAAIAAgACAAIAAgACAAIAAgACAAIAAgACAAIAAgACAAIAAgACAAKQAsAFwAbgAgACAAIAAgAC8ALwAgACAAUAByAG8AYwBlAHMAcwBpAG4AZwBcAG4AIAAgACAAIAAgACAAIAAgAEMAbwBsAHMALAAgACAAIAAgACAAIAAgACAAIAAgACAAQwBvAGwAdQBtAG4AcwAoAEYAbABvAHcAMQApACwAXABuACAAIAAgACAAIAAgACAAIABSAG8AdwBzACwAIAAgACAAIAAgACAAIAAgACAAIAAgAEkARgAoAEkAUwBPAE0ASQBUAFQARQBEACgARgBsAG8AdwAyACkALAAgADEALAAgAFwAbgAgACAAIAAgACAAIAAgACAAIAAgACAAIAAgACAAIAAgACAAIAAgACAAIAAgACAAIAAgACAAIAAgAEkARgAoAEkAUwBPAE0ASQBUAFQARQBEACgARgBsAG8AdwAzACkALAAgADIALAAgAFwAbgAgACAAIAAgACAAIAAgACAAIAAgACAAIAAgACAAIAAgACAAIAAgACAAIAAgACAAIAAgACAAIAAgACAAIAAgACAASQBGACgASQBTAE8ATQBJAFQAVABFAEQAKABGAGwAbwB3ADQAKQAsACAAMwAsACAANAApAFwAbgAgACAAIAAgACAAIAAgACAAIAAgACAAIAAgACAAIAAgACAAIAAgACAAIAAgACAAIAAgACAAIAAgACkAXABuACAAIAAgACAAIAAgACAAIAAgACAAIAAgACAAIAAgACAAIAAgACAAIAAgACAAIAAgACkALAAgACAAIAAgACAAIAAgACAAIAAgACAAIAAgACAAIAAgACAAIAAgACAAIAAgACAAIABcAG4AIAAgACAAIAAgACAAIAAgAFAAZQByAGkAbwBkAEEAcgByAGEAeQAsACAAIAAgACAAUwBXAEkAVABDAEgAKABSAG8AdwBzACwAIABcAG4AIAAgACAAIAAgACAAIAAgACAAIAAgACAAIAAgACAAIAAgACAAIAAgACAAIAAgACAAIAAgACAAIAAxACwAIAAgAEYAbABvAHcAMQAsACAAXABuACAAIAAgACAAIAAgACAAIAAgACAAIAAgACAAIAAgACAAIAAgACAAIAAgACAAIAAgACAAIAAgACAAMgAsACAAIABWAFMAVABBAEMASwAoAEYAbABvAHcAMQAsACAARgBsAG8AdwAyACkALAAgAFwAbgAgACAAIAAgACAAIAAgACAAIAAgACAAIAAgACAAIAAgACAAIAAgACAAIAAgACAAIAAgACAAIAAgADMALAAgACAAVgBTAFQAQQBDAEsAKABGAGwAbwB3ADEALAAgAEYAbABvAHcAMgAsACAARgBsAG8AdwAzACkALABcAG4AIAAgACAAIAAgACAAIAAgACAAIAAgACAAIAAgACAAIAAgACAAIAAgACAAIAAgACAAIAAgACAAIAA0ACwAIAAgAFYAUwBUAEEAQwBLACgARgBsAG8AdwAxACwAIABGAGwAbwB3ADIALAAgAEYAbABvAHcAMwAsACAARgBsAG8AdwA0ACkAXABuACAAIAAgACAAIAAgACAAIAAgACAAIAAgACAAIAAgACAAIAAgACAAIAAgACAAIAAgACkALAAgAFwAbgAgACAAIAAgACAAIAAgACAAUABlAHIAaQBvAGQAVABvAHQAYQBsACwAIAAgACAAIABCAFkAQwBPAEwAKABQAGUAcgBpAG8AZABBAHIAcgBhAHkALAAgAEwAQQBNAEIARABBACgAQwBvAGwALAAgAFMAVQBNACgAQwBvAGwAKQApACkALAAgAFwAbgAgACAAIAAgACAAIAAgACAAQwBsAG8AcwBpAG4AZwBUAG8AdABhAGwALAAgACAAIABTAEMAQQBOACgATwBwAGUAbgBpAG4AZwAsACAAUABlAHIAaQBvAGQAVABvAHQAYQBsACwAIABMAEEATQBCAEQAQQAoAE8AcABuACwAIABQAHIAZABUAG8AdAAsACAATwBwAG4AIAArACAAUAByAGQAVABvAHQAKQApACwAIABcAG4AIAAgACAAIAAgACAAIAAgAE8AcABlAG4AaQBuAGcAVABvAHQAYQBsACwAIAAgACAATQBBAFAAKAAgAFMARQBRAFUARQBOAEMARQAoACwAIABDAG8AbABzACkALAAgAEwAQQBNAEIARABBACgAIABDAG8AbAAsACAASQBGACgAIABDAG8AbAAgAD0AIAAxACwAIABPAHAAZQBuAGkAbgBnACwAIABJAE4ARABFAFgAKAAgAEMAbABvAHMAaQBuAGcAVABvAHQAYQBsACwAIABDAG8AbAAgAC0AIAAxACkAKQApACkALABcAG4AIAAgACAAIAAgACAAIAAgAFIAZQBzAHUAbAB0ACwAIAAgACAAIAAgACAAIAAgACAAVgBTAFQAQQBDAEsAKABPAHAAZQBuAGkAbgBnAFQAbwB0AGEAbAAsACAAUABlAHIAaQBvAGQAQQByAHIAYQB5ACwAIABDAGwAbwBzAGkAbgBnAFQAbwB0AGEAbAApACwAI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DAG8AcgBrAFMAYwByAGUAdwBSAGUAdgBlAHIAcwBhAGwAuwNcAG4AIAAgACAAIABEAEUAUwBDAFIASQBQAFQASQBPAE4AOgAqAC8ALwAqACoAQwByAGUAYQB0AGUAIABhACAAYwBvAHIAawBzAGMAcgBlAHcAIAB3AGgAZQByAGUAIAB0AGgAZQAgAG8AcABlAG4AaQBuAGcAIABiAGEAbABhAG4AYwBlACAAaQBzACAAcgBlAHYAZQByAHMAZQBkACAAaQBuACAAdABoAGUAIABuAGUAeAB0ACAAcABlAHIAaQBvAGQAIABiAGEAcwBlAGQAIABvAG4AIABhACAAdABpAG0AaQBuAGcAIABwAGEAcgBhAG0AZQB0AGUAcgAuACoALwBcAG4AQwBvAHIAawBTAGMAcgBlAHcAUgBlAHYAZQByAHMAYQBsALsDPQBMAEEATQBCAEQAQQAoAFwAbgAvAC8AIAAgAFAAYQByAGEAbQBlAHQAZQByACAARABlAGMAbABhAHIAYQB0AGkAbwBuAHMAXABuACAAIAAgACAAWwBPAHAAZQBuAGkAbgBnAF0ALABcAG4AIAAgACAAIABbAFIAZQB2AGUAcgBzAGEAbABGAGwAYQBnAHMAXQAsAFwAbgAgACAAIAAgAFsARgBsAG8AdwAxAF0ALABcAG4AIAAgACAAIABbAEYAbABvAHcAMgBdACwAXABuACAAIAAgACAAWwBGAGwAbwB3ADMAXQAsAFwAbgAgACAAIAAgAFsARgBsAG8AdwA0AF0ALAAgAFwAbgAgACAAIAAgAC8ALwAgACAASABlAGwAcABcAG4AIAAgACAAIABMAEUAVAAoAEgAZQBsAHAALAAgACAAIAAgACAAIAAgACAAIAAgACAAVABSAEkATQAoAFQARQBYAFQAUwBQAEwASQBUACgAXABuACAAIAAgACAAIAAgACAAIAAgACAAIAAgACAAIAAgACAAIAAgACAAIAAgACAAIAAgAFwAIgBGAFUATgBDAFQASQBPAE4AOgAgACAAIAAgACAAIACSIUMAbwByAGsAcwBjAHIAZQB3ALsDKAAgAE8AcABlAG4AaQBuAGcALAAgAEYATABvAHcAMQAsACAAWwBGAGwAbwB3ADIAXQAsACAAWwBGAGwAbwB3ADMAXQAsACAAWwBGAGwAbwB3ADQAXQApALYAXAAiACAAJgAgAFwAbgAgACAAIAAgACAAIAAgACAAIAAgACAAIAAgACAAIAAgACAAIAAgACAAIAAgACAAIABcACIARABFAFMAQwBSAEkAUABUAEkATwBOADoAIAAgACAAkiFDAHIAZQBhAHQAZQAgAGEAIABjAG8AcgBrAHMAYwByAGUAdwAgAHcAaABlAHIAZQAgAHQAaABlACAAbwBwAGUAbgBpAG4AZwAgAGIAYQBsAGEAbgBjAGUAIABpAHMAIAByAGUAdgBlAHIAcwBlAGQAIABpAG4AIAB0AGgAZQAgAG4AZQB4AHQAIABwAGUAcgBpAG8AZAAgAGIAYQBzAGUAZAAgAG8AbgAgAGEAIAB0AGkAbQBpAG4AZwAgAHAAYQByAGEAbQBlAHQAZQByALYAXAAiACAAJgAgAFwAbgAgACAAIAAgACAAIAAgACAAIAAgACAAIAAgACAAIAAgACAAIAAgACAAIAAgACAAIABcACIAVwBFAEIAUABBAEcARQA6ACAAIAAgACAAIAAgACAAkiE8AEMAbwBtAGkAbgBnACAAUwBvAG8AbgA+ALYAXAAiACAAJgBcAG4AIAAgACAAIAAgACAAIAAgACAAIAAgACAAIAAgACAAIAAgACAAIAAgACAAIAAgACAAXAAiAFYARQBSAFMASQBPAE4AOgAgACAAIAAgACAAIAAgAJIhMQA4ACAAQQB1AGcAIAAyADAAMgA2ALYAXAAiACAAJgAgAFwAbgAgACAAIAAgACAAIAAgACAAIAAgACAAIAAgACAAIAAgACAAIAAgACAAIAAgACAAIABcACIAUABBAFIAQQBNAEUAVABFAFIAUwA6AJIhtgBcACIAIAAmACAAXABuACAAIAAgACAAIAAgACAAIAAgACAAIAAgACAAIAAgACAAIAAgACAAIAAgACAAIAAgAFwAIgBPAHAAZQBuAGkAbgBnACAAIAAgACAAIAAgACAAIACSISgAUgBlAHEAdQBpAHIAZQBkACkAIABGAGkAcgBzAHQAIABwAGUAcgBpAG8AZABzACAAbwBwAGUAbgBpAG4AZwAgAGIAYQBsAGEAbgBjAGUALgC2AFwAIgAgACYAIABcAG4AIAAgACAAIAAgACAAIAAgACAAIAAgACAAIAAgACAAIAAgACAAIAAgACAAIAAgACAAXAAiAFIAZQB2AGUAcgBzAGEAbABGAGwAYQBnAHMAIAAgAJIhKABSAGUAcQB1AGkAcgBlAGQAKQAgAEEAIAByAG8AdwAgAG8AZgAgAG8AbgBlAHMAIABhAG4AZAAgAGIAbABhAG4AawBzACAAKABvAHIAIAB6AGUAcgBvAHMAKQAgAGkAbgBkAGkAYwBhAHQAaQBuAGcAIAB3AGgAZQBuACAAdABvACAAcgBlAHYAZQByAHMAZQAgAHAAZQByAGkAbwBkACAAdABvAHQAYQBsAHMALgC2AFwAIgAgACYAIABcAG4AIAAgACAAIAAgACAAIAAgACAAIAAgACAAIAAgACAAIAAgACAAIAAgACAAIAAgACAAXAAiAEYAbABvAHcAMQAgACAAIAAgACAAIAAgACAAIAAgAJIhKABSAGUAcQB1AGkAcgBlAGQAKQAgAEYAaQByAHMAdAAgAHIAbwB3ACAAKABvAHIAIABhAHIAcgBhAHkAIABvAGYAIAByAG8AdwBzACkAIABvAGYAIABuAHUAbQBiAGUAcgBzACAAdABvACAAaQBuAGMAbAB1AGQAZQAgAGkAbgAgAHAAZQByAGkAbwBkACAAdABvAHQAYQBsAHMALgC2AFwAIgAgACYAIABcAG4AIAAgACAAIAAgACAAIAAgACAAIAAgACAAIAAgACAAIAAgACAAIAAgACAAIAAgACAAXAAiAEYAbABvAHcAMgAgACAAIAAgACAAIAAgACAAIAAgAJIhKABPAHAAdABpAG8AbgBhAGwAKQAgAFMAZQBjAG8AbgBkACAAcgBvAHcAIAAoAG8AcgAgAGEAcgByAGEAeQAgAG8AZgAgAHIAbwB3AHMAKQAgAG8AZgAgAG4AdQBtAGIAZQByAHMAIAB0AG8AIABpAG4AYwBsAHUAZABlACAAaQBuACAAcABlAHIAaQBvAGQAIAB0AG8AdABhAGwAcwAuALYAXAAiACAAJgAgAFwAbgAgACAAIAAgACAAIAAgACAAIAAgACAAIAAgACAAIAAgACAAIAAgACAAIAAgACAAIABcACIARgBsAG8AdwAzACAAIAAgACAAIAAgACAAIAAgACAAkiEoAE8AcAB0AGkAbwBuAGEAbAApACAAVABoAGkAcgBkACAAcgBvAHcAIAAoAG8AcgAgAGEAcgByAGEAeQAgAG8AZgAgAHIAbwB3AHMAKQAgAG8AZgAgAG4AdQBtAGIAZQByAHMAIAB0AG8AIABpAG4AYwBsAHUAZABlACAAaQBuACAAcABlAHIAaQBvAGQAIAB0AG8AdABhAGwAcwAuALYAXAAiACAAJgAgAFwAbgAgACAAIAAgACAAIAAgACAAIAAgACAAIAAgACAAIAAgACAAIAAgACAAIAAgACAAIABcACIARgBsAG8AdwA0ACAAIAAgACAAIAAgACAAIAAgACAAkiEoAE8AcAB0AGkAbwBuAGEAbAApACAARgBvAHUAcgB0AGgAIAByAG8AdwAgACgAbwByACAAYQByAHIAYQB5ACAAbwBmACAAcgBvAHcAcwApACAAbwBmACAAbgB1AG0AYgBlAHIAcwAgAHQAbwAgAGkAbgBjAGwAdQBkAGUAIABpAG4AIABwAGUAcgBpAG8AZAAgAHQAbwB0AGEAbABzAC4AtgBcACIAIAAmACAAXABuACAAIAAgACAAIAAgACAAIAAgACAAIAAgACAAIAAgACAAIAAgACAAIAAgACAAIAAgAFwAIgBOAE8AVABFACEAIAAgACAAIAAgACAAIAAgACAAIACSIUEAbABsACAAZgBsAG8AdwBzACAAYQByAGUAIABhAGQAZABlAGQALgAgAFQAbwAgAHMAdQBiAHQAcgBhAGMAdAAgAGEAIABmAGwAbwB3ACAAbQBhAGsAZQAgAGkAdAAgAG4AZQBnAGEAdABpAHYAZQAuAFwAIgAsACAAXABuACAAIAAgACAAIAAgACAAIAAgACAAIAAgACAAIAAgACAAIAAgACAAIAAgACAAIAAgAFwAIgCSIVwAIgAsACAAXAAiALYAXAAiACkAKQAsACAAXABuACAAIAAgACAALwAvACAAIABDAGgAZQBjAGsAIABpAG4AcAB1AHQAcwAgAC0AIABPAG0AaQB0AHQAZQBkACAAcgBlAHEAdQBpAHIAZQBkACAAYQByAGcAdQBtAGUAbgB0AHMAXABuACAAIAAgACAAIAAgACAAIABIAGUAbABwAD8ALAAgACAAIAAgACAAIAAgACAAIAAgAE8AUgAoACAASQBTAE8ATQBJAFQAVABFAEQAKAAgAE8AcABlAG4AaQBuAGcAKQAsACAAXABuACAAIAAgACAAIAAgACAAIAAgACAAIAAgACAAIAAgACAAIAAgACAAIAAgACAAIAAgACAAIAAgACAASQBTAE8ATQBJAFQAVABFAEQAKAAgAFIAZQB2AGUAcgBzAGEAbABGAGwAYQBnAHMAKQAsACAAXABuACAAIAAgACAAIAAgACAAIAAgACAAIAAgACAAIAAgACAAIAAgACAAIAAgACAAIAAgACAAIAAgACAASQBTAE8ATQBJAFQAVABFAEQAKAAgAEYAbABvAHcAMQApACkALAAgAFwAbgAgACAAIAAgAC8ALwAgACAAUwBlAHQAIABkAGUAZgBhAHUAbAB0AHMAIABhAG4AZAAgAGMAbwBuAHMAdABhAG4AdABzAFwAbgAgACAAIAAgACAAIAAgACAAQwBvAGwAcwAsACAAIAAgACAAIAAgACAAIAAgACAAIABDAE8ATABVAE0ATgBTACgARgBsAG8AdwAxACkALAAgAFwAbgAgACAAIAAgACAAIAAgACAAUgBvAHcAcwAsACAAIAAgACAAIAAgACAAIAAgACAAIABJAEYAKABJAFMATwBNAEkAVABUAEUARAAoAEYAbABvAHcAMgApACwAIAAxACwAIABcAG4AIAAgACAAIAAgACAAIAAgACAAIAAgACAAIAAgACAAIAAgACAAIAAgACAAIAAgACAAIAAgACAAIABJAEYAKABJAFMATwBNAEkAVABUAEUARAAoAEYAbABvAHcAMwApACwAIAAyACwAIABcAG4AIAAgACAAIAAgACAAIAAgACAAIAAgACAAIAAgACAAIAAgACAAIAAgACAAIAAgACAAIAAgACAAIAAgACAAIAAgAEkARgAoAEkAUwBPAE0ASQBUAFQARQBEACgARgBsAG8AdwA0ACkALAAgADMALAAgADQAKQBcAG4AIAAgACAAIAAgACAAIAAgACAAIAAgACAAIAAgACAAIAAgACAAIAAgACAAIAAgACAAIAAgACAAIAApAFwAbgAgACAAIAAgACAAIAAgACAAIAAgACAAIAAgACAAIAAgACAAIAAgACAAIAAgACAAIAApACwAIABcAG4AIAAgACAAIAAvAC8AIAAgAFAAcgBvAGMAZQBkAHUAcgBlAFwAbgAgACAAIAAgACAAIAAgACAAUABlAHIAaQBvAGQAQQByAHIAYQB5ACwAIAAgACAAIABTAFcASQBUAEMASAAoAFIAbwB3AHMALAAgAFwAbgAgACAAIAAgACAAIAAgACAAIAAgACAAIAAgACAAIAAgACAAIAAgACAAIAAgACAAIAAgACAAIAAgADEALAAgAEYAbABvAHcAMQAsACAAXABuACAAIAAgACAAIAAgACAAIAAgACAAIAAgACAAIAAgACAAIAAgACAAIAAgACAAIAAgACAAIAAgACAAMgAsACAAVgBTAFQAQQBDAEsAKABGAGwAbwB3ADEALAAgAEYAbABvAHcAMgApACwAIABcAG4AIAAgACAAIAAgACAAIAAgACAAIAAgACAAIAAgACAAIAAgACAAIAAgACAAIAAgACAAIAAgACAAIAAzACwAIABWAFMAVABBAEMASwAoAEYAbABvAHcAMQAsACAARgBsAG8AdwAyACwAIABGAGwAbwB3ADMAKQAsACAAXABuACAAIAAgACAAIAAgACAAIAAgACAAIAAgACAAIAAgACAAIAAgACAAIAAgACAAIAAgACAAIAAgACAANAAsACAAVgBTAFQAQQBDAEsAKABGAGwAbwB3ADEALAAgAEYAbABvAHcAMgAsACAARgBsAG8AdwAzACwAIABGAGwAbwB3ADQAKQBcAG4AIAAgACAAIAAgACAAIAAgACAAIAAgACAAIAAgACAAIAAgACAAIAAgACAAIAAgACAAKQAsACAAXABuACAAIAAgACAAIAAgACAAIABQAGUAcgBpAG8AZABUAG8AdABhAGwALAAgACAAIAAgAEIAWQBDAE8ATAAoAFAAZQByAGkAbwBkAEEAcgByAGEAeQAsACAATABBAE0AQgBEAEEAKABDAG8AbAAsACAAUwBVAE0AKABDAG8AbAApACkAKQAsACAAXABuACAAIAAgACAAIAAgACAAIABSAGUAcwB1AGwAdAAsACAAIAAgACAAIAAgACAAIAAgAFIARQBEAFUAQwBFACgAIAAwACwAIABTAEUAUQBVAEUATgBDAEUAKAAgAEMATwBMAFUATQBOAFMAKAAgAEYAbABvAHcAMQApACkALABcAG4AIAAgACAAIAAgACAAIAAgACAAIAAgACAAIAAgACAAIAAgACAAIAAgACAAIAAgACAAIAAgACAAIABMAEEATQBCAEQAQQAoACAAQQBjAGMALAAgAEMAbwBsACwAXABuACAAIAAgACAAIAAgACAAIAAgACAAIAAgACAAIAAgACAAIAAgACAAIAAgACAAIAAgACAAIAAgACAAIAAgACAAIABMAEUAVAAoAFwAbgAgACAAIAAgACAAIAAgACAAIAAgACAAIAAgACAAIAAgACAAIAAgACAAIAAgACAAIAAgACAAIAAgACAAIAAgACAAIAAgACAAIABPAHAAZQBuAGkAbgBnACwAIAAgACAAIAAgACAAIAAgAEkARgAoAEMAbwBsAD0AMQAsACAATwBwAGUAbgBpAG4AZwAsACAAVABBAEsARQAoACAAQQBjAGMALAAgAC0AMQAsACAALQAxACkAKQAsACAAXABuACAAIAAgACAAIAAgACAAIAAgACAAIAAgACAAIAAgACAAIAAgACAAIAAgACAAIAAgACAAIAAgACAAIAAgACAAIAAgACAAIAAgAFIAZQB2AGUAcgBzAGEAbAAsACAAIAAgACAAIAAgACAALQBJAE4ARABFAFgAKAAgAFIAZQB2AGUAcgBzAGEAbABGAGwAYQBnAHMALAAgADEALAAgAEMAbwBsACkAIAAqACAATwBwAGUAbgBpAG4AZwAsACAAXABuACAAIAAgACAAIAAgACAAIAAgACAAIAAgACAAIAAgACAAIAAgACAAIAAgACAAIAAgACAAIAAgACAAIAAgACAAIAAgACAAIAAgAEEAcgByAGEAeQBDAG8AbAB1AG0AbgAsACAAIAAgACAAQwBIAE8ATwBTAEUAQwBPAEwAUwAoACAAUABlAHIAaQBvAGQAQQByAHIAYQB5ACwAIABDAG8AbAApACwAXABuACAAIAAgACAAIAAgACAAIAAgACAAIAAgACAAIAAgACAAIAAgACAAIAAgACAAIAAgACAAIAAgACAAIAAgACAAIAAgACAAIAAgAFMAdABhAGMAawAsACAAIAAgACAAIAAgACAAIAAgACAAVgBTAFQAQQBDAEsAKAAgAFwAbgAgACAAIAAgACAAIAAgACAAIAAgACAAIAAgACAAIAAgACAAIAAgACAAIAAgACAAIAAgACAAIAAgACAAIAAgACAAIAAgACAAIAAgACAAIAAgACAAIAAgACAAIAAgACAAIAAgACAAIAAgACAAIAAgACAATwBwAGUAbgBpAG4AZwAsACAAXABuACAAIAAgACAAIAAgACAAIAAgACAAIAAgACAAIAAgACAAIAAgACAAIAAgACAAIAAgACAAIAAgACAAIAAgACAAIAAgACAAIAAgACAAIAAgACAAIAAgACAAIAAgACAAIAAgACAAIAAgACAAIAAgACAAIABSAEUAdgBlAHIAcwBhAGwALAAgAFwAbgAgACAAIAAgACAAIAAgACAAIAAgACAAIAAgACAAIAAgACAAIAAgACAAIAAgACAAIAAgACAAIAAgACAAIAAgACAAIAAgACAAIAAgACAAIAAgACAAIAAgACAAIAAgACAAIAAgACAAIAAgACAAIAAgACAAQQByAHIAYQB5AEMAbwBsAHUAbQBuACwAIABcAG4AIAAgACAAIAAgACAAIAAgACAAIAAgACAAIAAgACAAIAAgACAAIAAgACAAIAAgACAAIAAgACAAIAAgACAAIAAgACAAIAAgACAAIAAgACAAIAAgACAAIAAgACAAIAAgACAAIAAgACAAIAAgACAAIAAgAFMAVQBNACgATwBwAGUAbgBpAG4AZwAsACAAUgBlAHYAZQByAHMAYQBsACwAIABBAHIAcgBhAHkAQwBvAGwAdQBtAG4AKQApACwAXABuACAAIAAgACAAIAAgACAAIAAgACAAIAAgACAAIAAgACAAIAAgACAAIAAgACAAIAAgACAAIAAgACAAIAAgACAAIAAgACAAIAAgAFIAZQBzAHUAbAB0ACwAIAAgACAAIAAgACAAIAAgACAASQBGACgAQwBvAGwAIAA9ACAAMQAsACAAUwB0AGEAYwBrACwAIABIAFMAVABBAEMASwAoACAAQQBjAGMALAAgAFMAdABhAGMAawApACkALABcAG4AIAAgACAAIAAgACAAIAAgACAAIAAgACAAIAAgACAAIAAgACAAIAAgACAAIAAgACAAIAAgACAAIAAgACAAIAAgACAAIAAgACAAUgBlAHMAdQBsAHQ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JAG4AdABPAG4ASQBuAHQAuwNcAHQAXABuACAAIAAgACAARABFAFMAQwBSAEkAUABUAEkATwBOADoAKgAvACAALwAqACoAQwBhAGwAYwB1AGwAYQB0AGUAIABJAG4AdABlAHIAZQBzAHQAIABvAG4AIABJAG4AdABlAHIAZQBzAHQALgAgAFUAcwBlACAAdABvACAAZABlAHQAZQByAG0AaQBuAGUAIABhAG0AbwB1AG4AdAAgAG4AZQBlAGQAZQBkACAAdABvACAAYwBvAHYAZQByACAAZABlAGIAdAAgAHAAbAB1AHMAIABpAG4AdABlAHIAZQBzAHQAIABvAG4AIABkAGUAYgB0ACoALwBcAG4ALwAqACAAIABOAE8AVABFADoAIAAgACAAIAAgACAAIAAgACAAIAAgAE0AYQB0AGgAIABzAG8AdQByAGMAZQAgAGYAcgBvAG0AIABEAGkAYQByAG0AdQBpAGQAIABFAGEAcgBsAHkAJwBzACAAcABvAHMAdAA6ACAAaAB0AHQAcABzADoALwAvAHcAdwB3AC4AeQBvAHUAdAB1AGIAZQAuAGMAbwBtAC8AdwBhAHQAYwBoAD8AdgA9AGsANQByAEcAXwBNAHYASQBXAFcAcwAmAHQAPQA3ADgANwBzAFwAbgAqAC8AXABuAEkAbgB0AE8AbgBJAG4AdAC7AyAAPQAgAEwAQQBNAEIARABBACgAXABuACAAIAAgACAAWwBQAHIAaQBuAGMAaQBwAGEAbABdACwAXABuACAAIAAgACAAWwBSAGEAdABlAF0ALAAgAFwAbgAvAC8AIAAgAEgAZQBsAHAAXAB0AFwAbgAgACAAIAAgAEwARQBUACgASABlAGwAcAAsACAAIAAgACAAIAAgACAAIAAgACAAIABUAFIASQBNACgAVABFAFgAVABTAFAATABJAFQAKABcAG4AIAAgACAAIAAgACAAIAAgACAAIAAgACAAIAAgACAAIAAgACAAIAAgACAAIAAgACAAIAAgACAAIABcACIARgBVAE4AQwBUAEkATwBOADoAIAAgACAAIAAgACAAkiFJAG4AdABPAG4ASQBuAHQAuwMoACAAUAByAGkAbgBjAGkAcABhAGwALAAgAFIAYQB0AGUAKQC2AFwAIgAgACYAIABcAG4AIAAgACAAIAAgACAAIAAgACAAIAAgACAAIAAgACAAIAAgACAAIAAgACAAIAAgACAAIAAgACAAIABcACIARABFAFMAQwBSAEkAUABUAEkATwBOADoAIAAgACAAkiFDAGEAbABjAHUAbABhAHQAZQAgAEkAbgB0AGUAcgBlAHMAdAAgAG8AbgAgAEkAbgB0AGUAcgBlAHMAdAAgACgASQBuAHQAZQByAGUAcwB0ACAAbwBuAGwAeQApAC4AIABVAHMAZQAgAHQAbwAgAGQAZQB0AGUAcgBtAGkAbgBlACAAYQBtAG8AdQBuAHQAIAC2AFwAIgAgACYAXABuACAAIAAgACAAIAAgACAAIAAgACAAIAAgACAAIAAgACAAIAAgACAAIAAgACAAIAAgACAAIAAgACAAIAAgACAAIAAgACAAIAAgACAAIAAgACAAIAAgACAAXAAiAJIhbgBlAGUAZABlAGQAIAB0AG8AIABjAG8AdgBlAHIAIABiAG8AcgByAG8AdwBlAGQAIABpAG4AdABlAHIAZQBzAHQAtgBcACIAIAAmACAAXABuACAAIAAgACAAIAAgACAAIAAgACAAIAAgACAAIAAgACAAIAAgACAAIAAgACAAIAAgACAAIAAgACAAXAAiAFcARQBCAFMASQBU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QAHIAaQBuAGMAaQBwAGEAbAAgACAAIAAgACAAkiEoAFIAZQBxAHUAaQByAGUAZAApACAAUAByAGkAbgBjAGkAcABhAGwAIABhAG0AbwB1AG4AdAC2AFwAIgAgACYAIABcAG4AIAAgACAAIAAgACAAIAAgACAAIAAgACAAIAAgACAAIAAgACAAIAAgACAAIAAgACAAIAAgACAAIABcACIAUgBhAHQAZQAgACAAIAAgACAAIAAgACAAIAAgAJIhKABSAGUAcQB1AGkAcgBlAGQAKQAgAEkAbgB0AGUAcgBlAHMAdAAgAHAAZQByAGMAZQBuAHQAYQBnAGUAIAByAGEAdABlAC4AIABGAG8AcgAgAHkAZQBhAHIAcwAsACAAQQBQAFIALgAgAEYAbwByACAAbQBvAG4AdABoAHMALAAgAEEAUABSAC8AMQAyALYAXAAiACAAJgAgAFwAbgAgACAAIAAgACAAIAAgACAAIAAgACAAIAAgACAAIAAgACAAIAAgACAAIAAgACAAIAAgACAAIAAgAFwAIgBFAFgAQQBNAFAATABFAFMAOgAgACAAIAAgACAAIACSIbYAXAAiACAAJgAgAFwAbgAgACAAIAAg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FwAIgA1ADIALgA2ADMAIAAgACAAIAAgACAAIAAgACAAIACSIT0AbgBhAGIAbABhAC4AZgAuAEkAbgB0AE8AbgBJAG4AdAC7AygAIAAxADAAMAAwACwAIAA1ACUAKQBcACIAL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AAcgBpAG4AYwBpAHAAYQBsACkALABcAG4AIAAgACAAIAAgACAAIAAgACAAIAAgACAAIAAgACAAIAAgACAAIAAgACAAIAAgACAAIAAgACAAIABJAFMATwBNAEkAVABUAEUARAAoACAAUgBhAHQAZQApAFwAbgAgACAAIAAgACAAIAAgACAAIAAgACAAIAAgACAAIAAgACAAIAAgACAAIAAgACAAIAApACwAXABuACAAIAAgACAALwAvACAAIABQAHIAbwBjAGUAZAB1AHIAZQBcAG4AIAAgACAAIAAgACAAIAAgAFIAZQBzAHUAbAB0ACwAIAAgACAAIAAgACAAIAAgACAAUAByAGkAbgBjAGkAcABhAGwAIAAvACgAMQAtAFIAYQB0AGUAKQAgAC0AIABQAHIAaQBuAGMAaQBwAGEAbAAs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EkAUgBSALsDXAB0AFwAbgAgACAAIAAgAEQARQBTAEMAUgBJAFAAVABJAE8ATgA6ACoALwAgAC8AKgAqAEMAYQBsAGMAdQBsAGEAdABlAHMAIABJAFIAUgAsACAAYwBvAHIAcgBlAGMAdABpAG4AZwAgAGYAbwByACAAdwBoAGUAbgAgAHQAaABlACAAZgBpAHIAcwB0ACAAaQBuAHYAZQBzAHQAbQBlAG4AdAAgAGkAcwAgAG4AbwB0ACAAaQBuACAAdABoAGUAIABmAGkAcgBzAHQAIABwAGUAcgBpAG8AZAAgACoALwBcAG4ASQBSAFIAuwMgAD0AIABMAEEATQBCAEQAQQAoAFwAbgAgACAAIAAgAFsAVgBhAGwAdQBlAHMAXQAsAFwAbgAgACAAIAAgAFsARABhAHQAZQBzAF0ALAAgAFwAbgAvAC8AIAAgAEgAZQBsAHAAXAB0AFwAbgAgACAAIAAgAEwARQBUACgASABlAGwAcAAsACAAIAAgACAAIAAgACAAIAAgACAAIABUAFIASQBNACgAVABFAFgAVABTAFAATABJAFQAKABcAG4AIAAgACAAIAAgACAAIAAgACAAIAAgACAAIAAgACAAIAAgACAAIAAgACAAIAAgACAAIAAgACAAIABcACIARgBVAE4AQwBUAEkATwBOADoAIAAgACAAIAAgACAAkiFJAFIAUgC7AygAIABWAGEAbAB1AGUAcwAsACAARABhAHQAZQBzACkAtgBcACIAIAAmACAAXABuACAAIAAgACAAIAAgACAAIAAgACAAIAAgACAAIAAgACAAIAAgACAAIAAgACAAIAAgACAAIAAgACAAXAAiAEQARQBTAEMAUgBJAFAAVABJAE8ATgA6ACAAIAAgAJIhQwBhAGwAYwB1AGwAYQB0AGUAcwAgAEkAUgBSACwAIABjAG8AcgByAGUAYwB0AGkAbgBnACAAZgBvAHIAIAB3AGgAZQBuACAAdABoAGUAIABmAGkAcgBzAHQAIABpAG4AdgBlAHMAdABtAGUAbgB0ACAAaQBzACAAbgBvAHQAIABpAG4AIAB0AGgAZQAgAGYAaQByAHMAdAAgAHAAZQByAGkAbwBkALYAXAAiACAAJgAgAFwAbgAgACAAIAAgACAAIAAgACAAIAAgACAAIAAgACAAIAAgACAAIAAgACAAIAAgACAAIAAgACAAIAAgAFwAIgBXAEUAQgBTAEkAVA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VgBhAGwAdQBlAHMAIAAgACAAIAAgACAAIAAgACAAkiEoAFIAZQBxAHUAaQByAGUAZAApACAAQQAgAHIAbwB3ACAAbwBmACAAaQBuAHYAZQBzAHQAbQBlAG4AdABzACAAKABuAGUAZwBhAHQAaQB2AGUAKQAgAGEAbgBkACAAZABpAHMAdAByAGkAYgB1AHQAaQBvAG4AcwAgACgAcABvAHMAaQB0AGkAdgBlACkAtgBcACIAIAAmACAAXABuACAAIAAgACAAIAAgACAAIAAgACAAIAAgACAAIAAgACAAIAAgACAAIAAgACAAIAAgACAAIAAgACAAIAAgACAAIAAgACAAIAAgACAAIAAgACAAIAAgACAAXAAiAJIhVABoAGUAIABmAGkAcgBzAHQAIABlAG4AdAByAHkALAAgAHcAaABlAHQAaABlAHIAIAAwACAAbwByACAAYQBuACAAYQBtAG8AdQBuAHQALAAgAG0AdQBzAHQAIABiAGUAIABmAG8AcgAgAHQAaABlACAAZgBpAHIAcwB0ACAAcABlAHIAaQBvAGQAIABpAG4AIAB0AGgAZQAgAHQAaQBtAGUAbABpAG4AZQC2AFwAIgAgACYAIABcAG4AIAAgACAAIAAgACAAIAAgACAAIAAgACAAIAAgACAAIAAgACAAIAAgACAAIAAgACAAIAAgACAAIAAgACAAIAAgACAAIAAgACAAIAAgACAAIAAgACAAIABcACIAkiFhAG4AZAAgAHMAdQBiAHMAZQBxAHUAZQBuAHQAIABlAG4AdAByAGkAZQBzACAAbQB1AHMAdAAgAGMAbwByAHIAZQBzAHAAbwBuAGQAIAB0AG8AIABwAGUAcgBpAG8AZABzACAAaQBuACAAdABoAGUAIAB0AGkAbQBlAGwAaQBuAGUAOwAgAGgAbwB3AGUAdgBlAHIALAC2AFwAIgAgACYAIABcAG4AIAAgACAAIAAgACAAIAAgACAAIAAgACAAIAAgACAAIAAgACAAIAAgACAAIAAgACAAIAAgACAAIAAgACAAIAAgACAAIAAgACAAIAAgACAAIAAgACAAIABcACIAkiF0AGgAZQAgAHQAaQBtAGUAbABpAG4AZQAgAG0AYQB5ACAAZQB4AHQAZQBuAGQAIABiAGUAeQBvAG4AZAAgAHQAaABlACAAZQBuAGQAIABvAGYAIAB2AGEAbAB1AGUAcwAuALYAXAAiACAAJgAgAFwAbgAgACAAIAAgACAAIAAgACAAIAAgACAAIAAgACAAIAAgACAAIAAgACAAIAAgACAAIAAgACAAIAAgAFwAIgBEAGEAdABlAHMAIAAgACAAIAAgACAAIAAgACAAIACSISgAUgBlAHEAdQBpAHIAZQBkACkAIABBACAAdABpAG0AZQBsAGkAbgBlACAAZgBvAHIAIAB3AGgAZQBuACAAZQBhAGMAaAAgAGkAbgB2AGUAcwB0AG0AZQBuAHQAIABpAHMAIABtAGEAZABlALYAXAAiACAAJgAgAFwAbgAgACAAIAAgACAAIAAgACAAIAAgACAAIAAgACAAIAAgACAAIAAgACAAIAAgACAAIAAgACAAIAAgAFwAIgCSIbYAXAAiACAAJg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BcACIARABhAHQAZQBzACAAIAAgACAAIAAgACAAIAAgACAAkiE9AEUARABBAFQARQAoAFwAIgBcACIAMQAvADEALwAyADAAMgA1AFwAIgBcACIALAAgAFMARQBRAFUARQBOAEMARQAoACwAMgA0ACwAIAAwACkAKQC2AFwAIgAgACYAXABuACAAIAAgACAAIAAgACAAIAAgACAAIAAgACAAIAAgACAAIAAgACAAIAAgACAAIAAgACAAIAAgACAAXAAiAFYAYQBsAHUAZQBzACAAIAAgACAAIAAgACAAIAAgAJIhPQB7ADAALAAwACwALQAxADUAMAAsADAALAAtADEAMAAwACwAMQAwACwAMgAwACwAMwAwACwANAAwACwANQAwACwANgAwACwANwAwAH0AtgBcACIAIAAmACAAXABuACAAIAAgACAAIAAgACAAIAAgACAAIAAgACAAIAAgACAAIAAgACAAIAAgACAAIAAgACAAIAAgACAAXAAiAJIhtgBcACIAIAAmAFwAbgAgACAAIAAgACAAIAAgACAAIAAgACAAIAAgACAAIAAgACAAIAAgACAAIAAgACAAIAAgACAAIAAgAFwAIgBSAGUAcwB1AGwAdAAgACAAIAAgACAAIAAgACAAIACSIUYAbwByAG0AdQBsAGEAtgBcACIAIAAmAFwAbgAgACAAIAAgACAAIAAgACAAIAAgACAAIAAgACAAIAAgACAAIAAgACAAIAAgACAAIAAgACAAIAAgAFwAIgAyADQAJQAgACAAIAAgACAAIAAgACAAIAAgACAAIACSIT0AbgBhAGIAbABhAC4AZgAuAEkAUgBSALsDKAAgAFYAYQBsAHUAZQBzACwAIABEAGEAdABlAHMAKQBcACIAL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CkALABcAG4AIAAgACAAIAAgACAAIAAgACAAIAAgACAAIAAgACAAIAAgACAAIAAgACAAIAAgACAAIAAgACAAIABJAFMATwBNAEkAVABUAEUARAAoACAARABhAHQAZQBzACkAXABuACAAIAAgACAAIAAgACAAIAAgACAAIAAgACAAIAAgACAAIAAgACAAIAAgACAAIAAgACkALABcAG4AIAAgACAAIAAvAC8AIAAgAFMAZQB0ACAARABlAGYAYQB1AGwAdABzAFwAbgAgACAAIAAgACAAIAAgACAAVgBhAGwAdQBlAHMALAAgACAAIAAgACAAIAAgACAAIABFAFgAUABBAE4ARAAoAFYAQQBMAFUARQBTACwAIAAxACwAIABDAE8AVQBOAFQAQQAoAEQAYQB0AGUAcwApACwAIAAwACkALABcAG4AIAAgACAAIAAvAC8AIAAgAFAAcgBvAGMAZQBkAHUAcgBlAFwAbgAgACAAIAAgACAAIAAgACAARgBpAGwAdABlAHIAQgB5ACwAIAAgACAAIAAgACAAIABWAGEAbAB1AGUAcwAgADwAPgAgADAALABcAG4AIAAgACAAIAAgACAAIAAgAEYAaQBsAHQAZQByAGUAZABWAGEAbAB1AGUAcwAsACAARgBJAEwAVABFAFIAKAAgAFYAYQBsAHUAZQBzACwAIABGAGkAbAB0AGUAcgBCAHkAKQAsACAAXABuACAAIAAgACAAIAAgACAAIABGAGkAbAB0AGUAcgBlAGQARABhAHQAZQBzACwAIAAgAEYASQBMAFQARQBSACgAIABEAGEAdABlAHMALAAgAEYAaQBsAHQAZQByAEIAeQApACwAIABcAG4AIAAgACAAIAAgACAAIAAgAFIAZQBzAHUAbAB0ACwAIAAgACAAIAAgACAAIAAgACAAWABJAFIAUgAoACAARgBpAGwAdABlAHIAZQBkAFYAYQBsAHUAZQBzACwAIABGAGkAbAB0AGUAcgBlAGQARABhAHQAZQBzACkALAAgAFwAbgAgACAAIAAgAC8ALwAgACAAUgBlAHQAdQByAG4AIABSAGUAcwB1AGwAdABcAG4AIAAgACAAIAAgACAAIAAgAEMASABPAE8AUwBFACgASABlAGwAcAA/ACAAKwAgADEALAAgAFIAZQBzAHUAbAB0ACwAIABIAGUAbABwACkAXABuACAAIAAgACAAKQAgAFwAbgApADsAXABuAFwAbgBcAG4AXABuAC8AKgAgACAARgBVAE4AQwBUAEkATwBOACAATgBBAE0ARQA6ACAAIABNAG8AdgBlAG0AZQBuAHQAuwNcAG4AIAAgACAAIABEAEUAUwBDAFIASQBQAFQASQBPAE4AOgAqAC8ALwAqACoAQwByAGUAYQB0AGUAIABhACAAcgBvAHcAIABvAGYAIABkAGkAZgBmAGUAcgBlAG4AYwBlAHMAIABmAHIAbwBtACAAYwBvAGwAdQBtAG4AIAB0AG8AIABjAG8AbAB1AG0AbgAqAC8AXABuAE0AbwB2AGUAbQBlAG4AdAC7AyAAPQAgAEwAQQBNAEIARABBACgAXABuAC8ALwAgACAAUABhAHIAYQBtAGUAdABlAHIAIABEAGUAYwBsAGEAcgBhAHQAaQBvAG4AcwBcAG4AIAAgACAAIABbAEIAZQBnAGkAbgBuAGkAbgBnAFYAYQBsAHUAZQBzAF0ALABcAG4AIAAgACAAIABbAFYAYQBsAHUAZQBzAF0ALAAgACAAIAAgAFwAbgAvAC8AIAAgAEgAZQBsAHAAXABuACAAIAAgACAATABFAFQAKABIAGUAbABwACwAIAAgACAAIAAgACAAIABUAFIASQBNACgAVABFAFgAVABTAFAATABJAFQAKAAgAFwAbgAgACAAIAAgACAAIAAgACAAIAAgACAAIAAgACAAIAAgACAAIAAgACAAIAAgACAAIAAgACAAIAAgAFwAIgBGAFUATgBDAFQASQBPAE4AOgAgACAAIAAgACAAIACSIU0AbwB2AGUAbQBlAG4AdAC7AygAIABbAEIAZQBnAGkAbgBuAGkAbgBnAFYAYQBsAHUAZQBdACwAIABWAGEAbAB1AGUAcwApALYAXAAiACAAJgBcAG4AIAAgACAAIAAgACAAIAAgACAAIAAgACAAIAAgACAAIAAgACAAIAAgACAAIAAgACAAIAAgACAAIABcACIARABFAFMAQwBSAEkAUABUAEkATwBOADoAIAAgACAAkiFDAHIAZQBhAHQAZQAgAGEAIAByAG8AdwAgAG8AZgAgAGQAaQBmAGYAZQByAGUAbgBjAGUAcwAgAGYAcgBvAG0AIABjAG8AbAB1AG0AbgAgAHQAbwAgAG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gBlAGcAaQBuAG4AaQBuAGcAVgBhAGwAdQBlAHMAkiEoAE8AcAB0AGkAbwBuAGEAbAApACAARABlAGYAYQB1AGwAdABzACAAdABvACAAMAC2AFwAIgAgACYAIABcAG4AIAAgACAAIAAgACAAIAAgACAAIAAgACAAIAAgACAAIAAgACAAIAAgACAAIAAgACAAIAAgACAAIABcACIAVgBhAGwAdQBlAHMAIAAgACAAIAAgACAAIAAgACAAkiEoAFIAZQBxAHUAaQByAGUAZAApACAAQQAgAHIAbwB3ACAAbwBmACAAdgBhAGwAdQBlAHMAIAB0AG8AIABjAG8AbQBwAGEAcgBlACAAYwBvAGwAdQBtAG4AIAB0AG8AIABjAG8AbAB1AG0AbgC2AFwAIgAgACYAIA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BcACIAMQAwADAALAAxADAALAAyADAALAAtADMAMAAgACAAkiE9AG4AYQBiAGwAYQAuAGYALgBNAG8AdgBlAG0AZQBuAHQAuwMoACwAewAxADAAMAAsADEAMQAwACwAMQAzADAALAAxADAAMAB9ACwAIAA0ACkA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ACwAIAAgACAAIAAgACAAIAAgACAAIABJAFMATwBNAEkAVABUAEUARAAoACAAVgBhAGwAdQBlAHMAKQAsAFwAbgAgACAAIAAgAC8ALwAgACAAUwBlAHQAIABEAGUAZgBhAHUAbAB0AHMAXABuACAAIAAgACAAIAAgACAAIABCAGUAZwBpAG4AbgBpAG4AZwBWAGEAbAB1AGUAcwAsACAASQBGACgATwBSACgASQBTAE8ATQBJAFQAVABFAEQAKABCAGUAZwBpAG4AbgBpAG4AZwBWAGEAbAB1AGUAcwApACwAIABCAGUAZwBpAG4AbgBpAG4AZwBWAGEAbAB1AGUAcwA9AFwAIgBcACIAKQAsACAAMAAsACAAQgBlAGcAaQBuAG4AaQBuAGcAVgBhAGwAdQBlAHMAKQAsAFwAbgAgACAAIAAgAC8ALwAgACAAUAByAG8AYwBlAGQAdQByAGUAXABuACAAIAAgACAAIAAgACAAIABSAG8AdwBzACwAIAAgACAAIAAgACAAIAAgACAAIAAgAFIATwBXAFMAKAAgAFYAYQBsAHUAZQBzACkALABcAG4AIAAgACAAIAAgACAAIAAgAEMAbwBsAHMALAAgACAAIAAgACAAIAAgACAAIAAgACAAQwBvAGwAdQBtAG4AcwAoACAAVgBhAGwAdQBlAHMAKQAsAFwAbgAgACAAIAAgACAAIAAgACAAUwBlAHEALAAgACAAIAAgACAAIAAgACAAIAAgACAAIABTAEUAUQBVAEUATgBDAEUAKAAsACAAQwBvAGwAcwApACwAXABuACAAIAAgACAAIAAgACAAIABSAGUAcwB1AGwAdAAsACAAIAAgACAAIAAgACAAIAAgAFIARQBEAFUAQwBFACgAMAAsACAAUwBFAFEAVQBFAE4AQwBFACgAIABSAG8AdwBzACkALAAgAFwAbgAgACAAIAAgACAAIAAgACAAIAAgACAAIAAgACAAIAAgACAAIAAgACAAIAAgACAAIAAgACAAIAAgAEwAQQBNAEIARABBACgAIABBAGMAYwAsACAAUgAsACAAXABuACAAIAAgACAAIAAgACAAIAAgACAAIAAgACAAIAAgACAAIAAgACAAIAAgACAAIAAgACAAIAAgACAAIAAgACAAIABMAEUAVAAoAFwAbgAgACAAIAAgACAAIAAgACAAIAAgACAAIAAgACAAIAAgACAAIAAgACAAIAAgACAAIAAgACAAIAAgACAAIAAgACAAIAAgACAAIABCAGUAZwBpAG4ALAAgACAAIAAgACAAIABJAGYAKAAgAFIATwBXAFMAKABCAGUAZwBpAG4AbgBpAG4AZwBWAGEAbAB1AGUAcwApACAAPQAgADEALAAgAEIAZQBnAGkAbgBuAGkAbgBnAFYAYQBsAHUAZQBzACwAIABJAE4ARABFAFgAKAAgAEIAZQBnAGkAbgBuAGkAbgBnAFYAYQBsAHUAZQBzACwAIABSACkAKQAsAFwAbgAgACAAIAAgACAAIAAgACAAIAAgACAAIAAgACAAIAAgACAAIAAgACAAIAAgACAAIAAgACAAIAAgACAAIAAgACAAIAAgACAAIABSAG8AdwAsACAAIAAgACAAIAAgACAAIABDAEgATwBPAFMARQBSAE8AVwBTACgAIABWAGEAbAB1AGUAcwAsACAAUgApACwAIABcAG4AIAAgACAAIAAgACAAIAAgACAAIAAgACAAIAAgACAAIAAgACAAIAAgACAAIAAgACAAIAAgACAAIAAgACAAIAAgACAAIAAgACAATgBlAHcAUgBvAHcALAAgACAAIAAgACAAUwBDAEEATgAoACAAQgBlAGcAaQBuACwAIABTAGUAcQAsACAAXABuACAAIAAgACAAIAAgACAAIAAgACAAIAAgACAAIAAgACAAIAAgACAAIAAgACAAIAAgACAAIAAgACAAIAAgACAAIAAgACAAIAAgACAAIAAgACAAIAAgACAAIAAgACAAIAAgACAAIAAgACAATABBAE0AQgBEAEEAKAAgAEEALAAgAEMALABcAG4AIAAgACAAIAAgACAAIAAgACAAIAAgACAAIAAgACAAIAAgACAAIAAgACAAIAAgACAAIAAgACAAIAAgACAAIAAgACAAIAAgACAAIAAgACAAIAAgACAAIAAgACAAIAAgACAAIAAgACAAIAAgACAAIAAgAEkATgBEAEUAWAAoACAAUgBvAHcALAAgAEMAIAApACAALQAgAEkARgAoACAAQwAgAD0AIAAxACwAIABBACwAIABJAE4ARABFAFgAKAAgAFIAbwB3ACwAIABDACAALQAgADEAKQApAFwAbgAgACAAIAAgACAAIAAgACAAIAAgACAAIAAgACAAIAAgACAAIAAgACAAIAAgACAAIAAgACAAIAAgACAAIAAgACAAIAAgACAAIAAgACAAIAAgACAAIAAgACAAIAAgACAAIAAgACAAIAAgACkAXABuACAAIAAgACAAIAAgACAAIAAgACAAIAAgACAAIAAgACAAIAAgACAAIAAgACAAIAAgACAAIAAgACAAIAAgACAAIAAgACAAIAAgACAAIAAgACAAIAAgACAAIAAgACAAIAAgACkALABcAG4AIAAgACAAIAAgACAAIAAgACAAIAAgACAAIAAgACAAIAAgACAAIAAgACAAIAAgACAAIAAgACAAIAAgACAAIAAgACAAIAAgACAAUgBlAHMAdQBsAHQALAAgACAAIAAgACAASQBGACgAIABSACAAPQAgADEALAAgAE4AZQB3AFIAbwB3ACwAIABWAFMAVABBAEMASwAoAEEAYwBjACwAIABOAGUAdwBSAG8AdwApACkALABcAG4AIAAgACAAIAAgACAAIAAgACAAIAAgACAAIAAgACAAIAAgACAAIAAgACAAIAAgACAAIAAgACAAIAAgACAAIAAgACAAIAAgACAAUgBlAHMAdQBsAHQ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SAGUAdgBlAHIAcwBhAGwAuwNcAG4AIAAgACAAIABEAEUAUwBDAFIASQBQAFQASQBPAE4AOgAqAC8ALwAqACoAQwByAGUAYQB0AGUAIABhACAAcgBvAHcAIAB0AGgAYQB0ACAAcgBlAHYAZQByAHMAZQBzACAAaQBuAHAAdQB0ACAAdgBhAGwAdQBlAHMAIABpAG4AIAB0AGgAZQAgAG4AZQB4AHQAIABwAGUAcgBpAG8AZAAuACoALwBcAG4AUgBlAHYAZQByAHMAYQBsALsDIAA9ACAATABBAE0AQgBEAEEAKABcAG4ALwAvACAAIABQAGEAcgBhAG0AZQB0AGUAcgAgAEQAZQBjAGwAYQByAGEAdABpAG8AbgBzAFwAbgAgACAAIAAgAFsATwBwAGUAbgBpAG4AZwBWAGEAbAB1AGUAXQAsAFwAbgAgACAAIAAgAFsAUgBvAHcAVABvAFIAZQB2AGUAcgBzAGUAXQAsACAAIAAgACAAXABuAC8ALwAgACAASABlAGwAcABcAG4AIAAgACAAIABMAEUAVAAoAEgAZQBsAHAALAAgACAAIAAgACAAIAAgAFQAUgBJAE0AKABUAEUAWABUAFMAUABMAEkAVAAoACAAXABuACAAIAAgACAAIAAgACAAIAAgACAAIAAgACAAIAAgACAAIAAgACAAIAAgACAAIAAgACAAIAAgACAAXAAiAEYAVQBOAEMAVABJAE8ATgA6ACAAIAAgACAAIAAgAJIhUgBlAHYAZQByAHMAYQBsALsDKAAgAFsATwBwAGUAbgBpAG4AZwBWAGEAbAB1AGUAXQAsACAAUgBvAHcAVABvAFIAZQB2AGUAcgBzAGUAKQC2AFwAIgAgACYAXABuACAAIAAgACAAIAAgACAAIAAgACAAIAAgACAAIAAgACAAIAAgACAAIAAgACAAIAAgACAAIAAgACAAXAAiAEQARQBTAEMAUgBJAFAAVABJAE8ATgA6ACAAIAAgAJIhQwByAGUAYQB0AGUAIABhACAAcgBvAHcAIAB0AGgAYQB0ACAAcgBlAHYAZQByAHMAZQBzACAAaQBuAHAAdQB0ACAAdgBhAGwAdQBlAHMAIABpAG4AIAB0AGgAZQAgAG4AZQB4AHQAIABwAGUAcgBpAG8AZAA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TwBwAGUAbgBpAG4AZwBWAGEAbAB1AGUAIAAgACAAkiEoAE8AcAB0AGkAbwBuAGEAbAApACAARABlAGYAYQB1AGwAdABzACAAdABvACAAMAC2AFwAIgAgACYAIABcAG4AIAAgACAAIAAgACAAIAAgACAAIAAgACAAIAAgACAAIAAgACAAIAAgACAAIAAgACAAIAAgACAAIABcACIAUgBvAHcAVABvAFIAZQB2AGUAcgBzAGUAIAAgACAAkiEoAFIAZQBxAHUAaQByAGUAZAApACAAQQAgAHIAbwB3ACAAbwBmACAAdgBhAGwAdQBlAHMAIAB0AG8AIAByAGUAdgBlAHIAcwBlACAAdABoAGUAIABmAG8AbABsAG8AdwBpAG4AZwAgAHAAZQByAGkAbwBkAHMAtgBcACIAIAAmACA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C0AMQAwADAALAAtADEAMQAwACwALQAxADMAMAAgAJIhPQBuAGEAYgBsAGEALgBmAC4AUgBlAHYAZQByAHMAYQBsALsDKAAgACwAIAB7ADEAMAAwACwAMQAxADAALAAxADMAMAB9ACkA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ACwAIAAgACAAIAAgACAAIAAgACAAIABJAFMATwBNAEkAVABUAEUARAAoACAAUgBvAHcAVABvAFIAZQB2AGUAcgBzAGUAKQAsAFwAbgAgACAAIAAgAC8ALwAgACAAUwBlAHQAIABEAGUAZgBhAHUAbAB0AHMAXABuACAAIAAgACAAIAAgACAAIABCAGUAZwBpAG4AbgBpAG4AZwBWAGEAbAB1AGUALAAgAEkARgAoACAASQBTAE8ATQBJAFQAVABFAEQAKAAgAE8AcABlAG4AaQBuAGcAVgBhAGwAdQBlACkALAAgADAALAAgACAATwBwAGUAbgBpAG4AZwBWAGEAbAB1AGUAKQAsAFwAbgAgACAAIAAgAC8ALwAgACAAUAByAG8AYwBlAGQAdQByAGUAXABuACAAIAAgACAAIAAgACAAIABDAG8AdQBuAHQAZQByACwAIAAgACAAIAAgACAAIAAgAFMARQBRAFUARQBOAEMARQAoACAALAAgAEMATwBMAFUATQBOAFMAKABSAG8AdwBUAG8AUgBlAHYAZQByAHMAZQApACkALABcAG4AIAAgACAAIAAgACAAIAAgAFIAZQBzAHUAbAB0ACwAIAAgACAAIAAgACAAIAAgACAATQBBAFAAKAAgAEMAbwB1AG4AdABlAHIALAAgAFwAbgAgACAAIAAgACAAIAAgACAAIAAgACAAIAAgACAAIAAgACAAIAAgACAAIAAgACAAIAAgACAAIAAgAEwAQQBNAEIARABBACgAQwBvAGwALAAgACAASQBGACgAQwBvAGwAIAA9ACAAMQAsACAALQBPAHAAZQBuAGkAbgBnAFYAYQBsAHUAZQAsACAALQBDAEgATwBPAFMARQBDAE8ATABTACgAIABSAG8AdwBUAG8AUgBlAHYAZQByAHMAZQAsACAAQwBvAGwALQAxACkAKQApAFwAbgAgACAAIAAgACAAIAAgACAAIAAgACAAIAAgACAAIAAgACAAIAAgACAAIAAgACAAIAApACwAXABuACAAIAAgACAALwAvACAAIABSAGUAdAB1AHIAbgAgAFIAZQBzAHUAbAB0AFwAbgAgACAAIAAgACAAIAAgACAAQwBIAE8ATwBTAEUAKABIAGUAbABwAD8AIAArACAAMQAsACAAUgBlAHMAdQBsAHQALAAgAEgAZQBsAHAAKQBcAG4AIAAgACAAIAApACAAIABcAG4AKQA7AFwAbgBcAG4AXABuAC8AKgAgACAARgBVAE4AQwBUAEkATwBOACAATgBBAE0ARQA6ACAAIABDAHUAbQB1AGwAYQB0AGkAdgBlALsDXABuACAAIAAgACAARABFAFMAQwBSAEkAUABUAEkATwBOADoAKgAvAC8AKgAqAEMAcgBlAGEAdABlAHMAIABhACAAcgBvAHcAIABvAHIAIABjAG8AbAB1AG0AbgAgAG8AZgAgAGMAdQBtAHUAbABhAHQAaQB2AGUAIAB0AG8AdABhAGwAcwAgAGYAcgBvAG0AIABhACAAdABvAHQAYQBsACAAcgBvAHcAIABvAHIAIABjAG8AbAB1AG0AbgAqAC8AXABuAEMAdQBtAHUAbABhAHQAaQB2AGUAuwMgAD0AIABMAEEATQBCAEQAQQAoAFwAbgAvAC8AIAAgAFAAYQByAGEAbQBlAHQAZQByACAARABlAGMAbABhAHIAYQB0AGkAbwBuAHMAXABuACAAIAAgACAAWwBUAG8AdABhAGwAcwBdACwAXABuACAAIAAgACAAWwBPAHAAZQBuAGkAbgBnAEIAYQBsAGEAbgBjAGUAXQAsAFwAbgAvAC8AIAAgAEgAZQBsAHAAXABuACAAIAAgACAATABFAFQAKABIAGUAbABwACwAIAAgACAAIAAgACAAIABUAFIASQBNACgAVABFAFgAVABTAFAATABJAFQAKAAgAFwAbgAgACAAIAAgACAAIAAgACAAIAAgACAAIAAgACAAIAAgACAAIAAgACAAIAAgACAAIAAgACAAIAAgAFwAIgBGAFUATgBDAFQASQBPAE4AOgAgACAAIAAgACAAIACSIUMAdQBtAHUAbABhAHQAaQB2AGUAuwMoACAAVABvAHQAYQBsAHMALAAgAFsATwBwAGUAbgBpAG4AZwBCAGEAbABhAG4AYwBlAF0AKQC2AFwAIgAgACYAXABuACAAIAAgACAAIAAgACAAIAAgACAAIAAgACAAIAAgACAAIAAgACAAIAAgACAAIAAgACAAIAAgACAAXAAiAEQARQBTAEMAUgBJAFAAVABJAE8ATgA6ACAAIAAgAJIhQwByAGUAYQB0AGUAcwAgAGEAIAByAG8AdwAgAG8AcgAgAGMAbwBsAHUAbQBuACAAbwBmACAAYwB1AG0AdQBsAGEAdABpAHYAZQAgAHQAbwB0AGEAbABzACAAZgByAG8AbQAgAGEAIAB0AG8AdABhAGwAIAByAG8AdwAgAG8AcgAgAGMAbwBsAHUAbQB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VABvAHQAYQBsAHMAIAAgACAAIAAgACAAIAAgACAAkiEoAFIAZQBxAHUAaQByAGUAZAApACAAQQAgAHIAbwB3ACAAbwByACAAYwBvAGwAdQBtAG4AIABvAGYAIAB0AG8AdABhAGwAcwAgAGYAcgBvAG0AIAB3AGgAaQBjAGgAIAB0AG8AIAByAHUAbgAgAGMAdQBtAHUAbABhAHQAaQB2AGUAIAB0AG8AdABhAGwAcwC2AFwAIgAgACYAIABcAG4AIAAgACAAIAAgACAAIAAgACAAIAAgACAAIAAgACAAIAAgACAAIAAgACAAIAAgACAAIAAgACAAIABcACIATwBwAGUAbgBpAG4AZwBCAGEAbABhAG4AYwBlACAAkiEoAE8AcAB0AGkAbwBuAGEAbAApACAAQQAgAHMAdABhAHIAdABpAG4AZwAgAGIAYQBsAGEAbgBjAGUALgAgAFQAaABpAHMAIABkAGUAZgBhAHUAbAB0AHMAIAB0AG8AIAAwALYAXAAiACAAJgAgAFwAbgAgACAAIAAgACAAIAAgACAAIAAgACAAIAAgACAAIAAgACAAIAAgACAAIAAgACAAIAAgACAAIAAgAFwAIgBFAFgAQQBNAFAATABFAFMAOgAgACAAIAAgACAAIACSIbYAXAAiACAAJgAgAFwAbgAgACAAIAAg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FwAIgAxACwAMwAsADYAIAAgACAAIAAgACAAIAAgACAAIACSIT0AbgBhAGIAbABhAC4AZgAuAEMAdQBtAHUAbABhAHQAaQB2AGUAuwMoAFMAZQBxAHUAZQBuAGMAZQAoACwAMwApACkA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ACwAIAAgACAAIAAgACAAIAAgACAAIABJAFMATwBNAEkAVABUAEUARAAoACAAVABvAHQAYQBsAHMAKQAsAFwAbgAgACAAIAAgAC8ALwAgACAAUAByAG8AYwBlAGQAdQByAGUAXABuACAAIAAgACAAIAAgACAAIABSAGUAcwB1AGwAdAAsACAAIAAgACAAIAAgACAAIAAgAFMAQwBBAE4AKAAgAE8AcABlAG4AaQBuAGcAQgBhAGwAYQBuAGMAZQAsACAAVABvAHQAYQBsAHMALAAgAEwAQQBNAEIARABBACgAUAByAGUAdgBpAG8AdQBzAEEAbQBvAHUAbgB0ACwAIABDAHUAcgByAGUAbgB0AEEAbQBvAHUAbgB0ACwAIABQAHIAZQB2AGkAbwB1AHMAQQBtAG8AdQBuAHQAIAArACAAQwB1AHIAcgBlAG4AdABBAG0AbwB1AG4AdAApACk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SAG8AbABsAGkAbgBnAEEAdgBnALsDXABuACAAIAAgACAARABFAFMAQwBSAEkAUABUAEkATwBOADoAKgAvAC8AKgAqAEMAcgBlAGEAdABlAHMAIABBAHYAZQByAGEAZwBlAHMAIABmAG8AcgAgAHAAcgBlAGMAZQBkAGkAbgBnACAAdgBhAGwAdQBlAHMAIABvAGYAIABhACAAcwBlAHQAIABzAGkAegBlACAAbQBvAHYAaQBuAGcAIABmAHIAbwBtACAAYgBlAGcAaQBuAG4AaQBuAGcAIAB0AG8AIABlAG4AZAAgAG8AdgBlAHIAIABhACAAcgBvAHcAIABvAGYAIAB2AGEAbAB1AGUAcwAuACoALwBcAG4AUgBvAGwAbABpAG4AZwBBAHYAZwC7AyAAPQAgAEwAQQBNAEIARABBACgAXABuAC8ALwAgACAAUABhAHIAYQBtAGUAdABlAHIAIABEAGUAYwBsAGEAcgBhAHQAaQBvAG4AcwBcAG4AIAAgACAAIABbAFYAYQBsAHUAZQBzAF0ALAAgAFwAbgAgACAAIAAgAFsAUwBpAHoAZQBdACwAXABuAC8ALwAgACAASABlAGwAcABcAG4AIAAgACAAIABMAEUAVAAoAEgAZQBsAHAALAAgACAAIAAgACAAIAAgAFQAUgBJAE0AKABUAEUAWABUAFMAUABMAEkAVAAoACAAXABuACAAIAAgACAAIAAgACAAIAAgACAAIAAgACAAIAAgACAAIAAgACAAIAAgACAAIAAgACAAIAAgACAAXAAiAEYAVQBOAEMAVABJAE8ATgA6ACAAIAAgACAAIAAgAJIhUgBvAGwAbABpAG4AZwBBAHYAZwC7AygAIABWAGEAbAB1AGUAcwAsACAAUwBpAHoAZQApALYAXAAiACAAJgBcAG4AIAAgACAAIAAgACAAIAAgACAAIAAgACAAIAAgACAAIAAgACAAIAAgACAAIAAgACAAIAAgACAAIABcACIARABFAFMAQwBSAEkAUABUAEkATwBOADoAIAAgACAAkiFDAHIAZQBhAHQAZQBzACAAYQB2AGUAcgBhAGcAZQBzACAAZgBvAHIAIABwAHIAZQBjAGUAZABpAG4AZwAgAHYAYQBsAHUAZQBzACAAbwBmACAAYQAgAHMAZQB0ACAAcwBpAHoAZQAgAG0AbwB2AGkAbgBnALYAXAAiACAAJgBcAG4AIAAgACAAIAAgACAAIAAgACAAIAAgACAAIAAgACAAIAAgACAAIAAgACAAIAAgACAAIAAgACAAIAAgACAAIAAgACAAIAAgACAAIAAgACAAIAAgACAAIABcACIAkiFmAHIAbwBtACAAYgBlAGcAaQBuAG4AaQBuAGcAIAB0AG8AIABlAG4AZAAgAG8AdgBlAHIAIABhACAAcgBvAHcAIABvAGYAIAB2AGEAbAB1AGUAcw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FYAYQBsAHUAZQBzACAAIAAgACAAIAAgACAAIAAgAJIhKABSAGUAcQB1AGkAcgBlAGQAKQAgAEEAIAByAG8AdwAgAG8AZgAgAHYAYQBsAHUAZQBzACAAdABvACAAYgBlACAAYQB2AGUAcgBhAGcAZQBkAC4AtgBcACIAIAAmACAAXABuACAAIAAgACAAIAAgACAAIAAgACAAIAAgACAAIAAgACAAIAAgACAAIAAgACAAIAAgACAAIAAgACAAXAAiAFMAaQB6AGUAIAAgACAAIAAgACAAIAAgACAAIAAgAJIhKABSAGUAcQB1AGkAcgBlAGQAKQAgAFQAaABlACAAbgB1AG0AYgBlAHIAIABvAGYAIAB2AGEAbAB1AGUAcwAgAHQAbwAgAGEAdgBlAHIAYQBnAGUAIAB0AGgAYQB0ACAAtgBcACIAIAAmACAAXABuACAAIAAgACAAIAAgACAAIAAgACAAIAAgACAAIAAgACAAIAAgACAAIAAgACAAIAAgACAAIAAgACAAIAAgACAAIAAgACAAIAAgACAAIAAgACAAIAAgACAAXAAiAJIhaQBuAGMAbAB1AGQAZQAgAGEAbgBkACAAcAByAGUAYwBlAGUAZAAgAHQAaABlACAAYwB1AHIAcgBlAG4AdAAgAHYAYQBsAHUAZQC2AFwAIgAgACY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DEALAAzACwANgAsADkALAAxADIAIAAgACAAIAAgAJIhPQBuAGEAYgBsAGEALgBmAC4AUgBvAGwAbABpAG4AZwBBAHYAZwC7AygAUwBFAFEAVQBFAE4AQwBFACgALAAgADUAKQAsACAAMwApAFwAIgAs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CkALABcAG4AIAAgACAAIAAgACAAIAAgACAAIAAgACAAIAAgACAAIAAgACAAIAAgACAAIAAgACAAIAAgACAAIABJAFMATwBNAEkAVABUAEUARAAoACAAUwBpAHoAZQApACkALABcAG4AIAAgACAAIAAvAC8AIAAgAFAAcgBvAGMAZQBkAHUAcgBlAFwAbgAgACAAIAAgACAAIAAgACAAQwBvAHUAbgB0AGUAcgAsACAAIAAgACAAIAAgACAAIABTAEUAUQBVAEUATgBDAEUAKAAsAEMATwBVAE4AVABBACgAIABWAGEAbAB1AGUAcwApACkALABcAG4AIAAgACAAIAAgACAAIAAgAFIAZQBzAHUAbAB0ACwAIAAgACAAIAAgACAAIAAgACAAUwBDAEEATgAoACAAXABuACAAIAAgACAAIAAgACAAIAAgACAAIAAgACAAIAAgACAAIAAgACAAIAAgACAAIAAgACAAIAAgACAAMAAsACAAXABuACAAIAAgACAAIAAgACAAIAAgACAAIAAgACAAIAAgACAAIAAgACAAIAAgACAAIAAgACAAIAAgACAAQwBvAHUAbgB0AGUAcgAsACAAXABuACAAIAAgACAAIAAgACAAIAAgACAAIAAgACAAIAAgACAAIAAgACAAIAAgACAAIAAgACAAIAAgACAATABBAE0AQgBEAEEAKABcAG4AIAAgACAAIAAgACAAIAAgACAAIAAgACAAIAAgACAAIAAgACAAIAAgACAAIAAgACAAIAAgACAAIAAgACAAIAAgAEEAYwBjACwAXABuACAAIAAgACAAIAAgACAAIAAgACAAIAAgACAAIAAgACAAIAAgACAAIAAgACAAIAAgACAAIAAgACAAIAAgACAAIABWAGEAbAAsACAAXABuACAAIAAgACAAIAAgACAAIAAgACAAIAAgACAAIAAgACAAIAAgACAAIAAgACAAIAAgACAAIAAgACAAIAAgACAAIABMAEUAVAAoAFwAbgAgACAAIAAgACAAIAAgACAAIAAgACAAIAAgACAAIAAgACAAIAAgACAAIAAgACAAIAAgACAAIAAgACAAIAAgACAAIAAgACAAIABTAHQAYQByAHQALAAgACAASQBGACgAKABWAGEAbAAgAC0AIABTAGkAegBlACkAIAA8ACAAMQAsACAAMAAsACAAVgBhAGwAIAAtACAAUwBpAHoAZQApACwAXABuACAAIAAgACAAIAAgACAAIAAgACAAIAAgACAAIAAgACAAIAAgACAAIAAgACAAIAAgACAAIAAgACAAIAAgACAAIAAgACAAIAAgAFIAaQBnAGgAdAAsACAAIABUAEEASwBFACgAVgBhAGwAdQBlAHMALAAgACwAIABWAGEAbAApACwAXABuACAAIAAgACAAIAAgACAAIAAgACAAIAAgACAAIAAgACAAIAAgACAAIAAgACAAIAAgACAAIAAgACAAIAAgACAAIAAgACAAIAAgAEIAbABvAGMAawAsACAAIABJAEYAKAAgAFMAdABhAHIAdAAgAD4AIAAwACwAIABEAFIATwBQACgAIABSAGkAZwBoAHQALAAgACwAIABTAHQAYQByAHQAIAApACwAIABSAGkAZwBoAHQAKQAsAFwAbgAgACAAIAAgACAAIAAgACAAIAAgACAAIAAgACAAIAAgACAAIAAgACAAIAAgACAAIAAgACAAIAAgACAAIAAgACAAIAAgACAAIABBAFYARQBSAEEARwBFACgAQgBsAG8AYwBr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FIAbwBsAGwAaQBuAGcATQBhAHgAuwNcAG4AIAAgACAAIABEAEUAUwBDAFIASQBQAFQASQBPAE4AOgAqAC8ALwAqACoAQwByAGUAYQB0AGUAcwAgAHQAaABlACAAbQBhAHgAaQBtAHUAbQAgAGYAbwByACAAcAByAGUAYwBlAGQAaQBuAGcAIAB2AGEAbAB1AGUAcwAgAG8AZgAgAGEAIABzAGUAdAAgAHMAaQB6AGUAIABtAG8AdgBpAG4AZwAgAGYAcgBvAG0AIABiAGUAZwBpAG4AbgBpAG4AZwAgAHQAbwAgAGUAbgBkACAAbwB2AGUAcgAgAGEAIAByAG8AdwAgAG8AZgAgAHYAYQBsAHUAZQBzAC4AKgAvAFwAbgBSAG8AbABsAGkAbgBnAE0AYQB4ALsDIAA9ACAATABBAE0AQgBEAEEAKABcAG4ALwAvACAAIABQAGEAcgBhAG0AZQB0AGUAcgAgAEQAZQBjAGwAYQByAGEAdABpAG8AbgBzAFwAbgAgACAAIAAgAFsAVgBhAGwAdQBlAHMAXQAsACAAXABuACAAIAAgACAAWwBTAGkAegBlAF0ALABcAG4ALwAvACAAIABIAGUAbABwAFwAbgAgACAAIAAgAEwARQBUACgASABlAGwAcAAsACAAIAAgACAAIAAgACAAVABSAEkATQAoAFQARQBYAFQAUwBQAEwASQBUACgAIABcAG4AIAAgACAAIAAgACAAIAAgACAAIAAgACAAIAAgACAAIAAgACAAIAAgACAAIAAgACAAIAAgACAAIABcACIARgBVAE4AQwBUAEkATwBOADoAIAAgACAAIAAgACAAkiFSAG8AbABsAGkAbgBnAE0AYQB4ALsDKAAgAFYAYQBsAHUAZQBzACwAIABTAGkAegBlACkAtgBcACIAIAAmAFwAbgAgACAAIAAgACAAIAAgACAAIAAgACAAIAAgACAAIAAgACAAIAAgACAAIAAgACAAIAAgACAAIAAgAFwAIgBEAEUAUwBDAFIASQBQAFQASQBPAE4AOgAgACAAIACSIUMAcgBlAGEAdABlAHMAIAB0AGgAZQAgAG0AYQB4AGkAbQB1AG0AIABmAG8AcgAgAHAAcgBlAGMAZQBkAGkAbgBnACAAdgBhAGwAdQBlAHMAIABvAGYAIABhACAAcwBlAHQAIABzAGkAegBlACAAbQBvAHYAaQBuAGcAIABmAHIAbwBtACAAYgBlAGcAaQBuAG4AaQBuAGcAIAB0AG8AIABlAG4AZAAgAG8AdgBlAHIAIABhACAAcgBvAHcAIABvAGYAIAB2AGEAbAB1AGUAcwAuALYAXAAiACAAJgBcAG4AIAAgACAAIAAgACAAIAAgACAAIAAgACAAIAAgACAAIAAgACAAIAAgACAAIAAgACAAIAAgACAAIAAgACAAIAAgACAAIAAgACAAIAAgACAAIAAgACAAIABcACIAkiFmAHIAbwBtACAAYgBlAGcAaQBuAG4AaQBuAGcAIAB0AG8AIABlAG4AZAAgAG8AdgBlAHIAIABhACAAcgBvAHcAIABvAGYAIAB2AGEAbAB1AGUAcw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FYAYQBsAHUAZQBzACAAIAAgACAAIAAgACAAIAAgAJIhKABSAGUAcQB1AGkAcgBlAGQAKQAgAEEAIAByAG8AdwAgAG8AZgAgAHYAYQBsAHUAZQBzACAAdABvACAAYgBlACAAbQBhAHgAZQBkAC4AtgBcACIAIAAmACAAXABuACAAIAAgACAAIAAgACAAIAAgACAAIAAgACAAIAAgACAAIAAgACAAIAAgACAAIAAgACAAIAAgACAAXAAiAFMAaQB6AGUAIAAgACAAIAAgACAAIAAgACAAIAAgAJIhKABSAGUAcQB1AGkAcgBlAGQAKQAgAFQAaABlACAAbgB1AG0AYgBlAHIAIABvAGYAIAB2AGEAbAB1AGUAcwAgAHQAbwAgAGYAaQBuAGQAIABtAGEAeABpAG0AdQBtACAAdABoAGEAdAAgALYAXAAiACAAJgAgAFwAbgAgACAAIAAgACAAIAAgACAAIAAgACAAIAAgACAAIAAgACAAIAAgACAAIAAgACAAIAAgACAAIAAgACAAIAAgACAAIAAgACAAIAAgACAAIAAgACAAIAAgAFwAIgCSIWkAbgBjAGwAdQBkAGUAIABhAG4AZAAgAHAAcgBlAGMAZQBlAGQAIAB0AGgAZQAgAGMAdQByAHIAZQBuAHQAIAB2AGEAbAB1AGUAtgBcACIAIAAm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FwAIgA1ACwANQAsADUALAA2ACwANgAsADcAIAAgACAAIACSIT0AbgBhAGIAbABhAC4AZgAuAFIAbwBsAGwAaQBuAGcATQBhAHgAuwMoAHsANQAsADMALAA0ACwANgAsADMALAA3AH0ALAAgADMAKQBcACIALABcAG4AIAAgACAAIAAgACAAIAAgACAAIAAgACAAIAAgACAAIAAgACAAIAAgACAAIAAgACAAXAAiAJIhXAAiACwAIABcACIAtgBcACI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WAGEAbAB1AGUAcwApACwAXABuACAAIAAgACAAIAAgACAAIAAgACAAIAAgACAAIAAgACAAIAAgACAAIAAgACAAIAAgACAAIAAgACAASQBTAE8ATQBJAFQAVABFAEQAKAAgAFMAaQB6AGUAKQApACwAXABuACAAIAAgACAALwAvACAAIABQAHIAbwBjAGUAZAB1AHIAZQBcAG4AIAAgACAAIAAgACAAIAAgAEMAbwB1AG4AdABlAHIALAAgACAAIAAgACAAIAAgACAAUwBFAFEAVQBFAE4AQwBFACgALABDAE8AVQBOAFQAQQAoACAAVgBhAGwAdQBlAHMAKQApACwAXABuACAAIAAgACAAIAAgACAAIABSAGUAcwB1AGwAdAAsACAAIAAgACAAIAAgACAAIAAgAFMAQwBBAE4AKAAgAFwAbgAgACAAIAAgACAAIAAgACAAIAAgACAAIAAgACAAIAAgACAAIAAgACAAIAAgACAAIAAgACAAIAAgADAALAAgAFwAbgAgACAAIAAgACAAIAAgACAAIAAgACAAIAAgACAAIAAgACAAIAAgACAAIAAgACAAIAAgACAAIAAgAEMAbwB1AG4AdABlAHIALAAgAFwAbgAgACAAIAAgACAAIAAgACAAIAAgACAAIAAgACAAIAAgACAAIAAgACAAIAAgACAAIAAgACAAIAAgAEwAQQBNAEIARABBACgAXABuACAAIAAgACAAIAAgACAAIAAgACAAIAAgACAAIAAgACAAIAAgACAAIAAgACAAIAAgACAAIAAgACAAIAAgACAAIABBAGMAYwAsAFwAbgAgACAAIAAgACAAIAAgACAAIAAgACAAIAAgACAAIAAgACAAIAAgACAAIAAgACAAIAAgACAAIAAgACAAIAAgACAAVgBhAGwALAAgAFwAbgAgACAAIAAgACAAIAAgACAAIAAgACAAIAAgACAAIAAgACAAIAAgACAAIAAgACAAIAAgACAAIAAgACAAIAAgACAATABFAFQAKABcAG4AIAAgACAAIAAgACAAIAAgACAAIAAgACAAIAAgACAAIAAgACAAIAAgACAAIAAgACAAIAAgACAAIAAgACAAIAAgACAAIAAgACAAUwB0AGEAcgB0ACwAIAAgAEkARgAoACgAVgBhAGwAIAAtACAAUwBpAHoAZQApACAAPAAgADEALAAgADAALAAgAFYAYQBsACAALQAgAFMAaQB6AGUAKQAsAFwAbgAgACAAIAAgACAAIAAgACAAIAAgACAAIAAgACAAIAAgACAAIAAgACAAIAAgACAAIAAgACAAIAAgACAAIAAgACAAIAAgACAAIABSAGkAZwBoAHQALAAgACAAVABBAEsARQAoAFYAYQBsAHUAZQBzACwAIAAsACAAVgBhAGwAKQAsAFwAbgAgACAAIAAgACAAIAAgACAAIAAgACAAIAAgACAAIAAgACAAIAAgACAAIAAgACAAIAAgACAAIAAgACAAIAAgACAAIAAgACAAIABCAGwAbwBjAGsALAAgACAASQBGACgAIABTAHQAYQByAHQAIAA+ACAAMAAsACAARABSAE8AUAAoACAAUgBpAGcAaAB0ACwAIAAsACAAUwB0AGEAcgB0ACAAKQAsACAAUgBpAGcAaAB0ACkALABcAG4AIAAgACAAIAAgACAAIAAgACAAIAAgACAAIAAgACAAIAAgACAAIAAgACAAIAAgACAAIAAgACAAIAAgACAAIAAgACAAIAAgACAATQBBAFgAKABCAGwAbwBjAGsAKQ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UgBvAGwAbABpAG4AZwBNAGkAbgC7A1wAbgAgACAAIAAgAEQARQBTAEMAUgBJAFAAVABJAE8ATgA6ACoALwAvACoAKgBDAHIAZQBhAHQAZQBzACAAdABoAGUAIABNAGkAbgBpAG0AdQBtACAAZgBvAHIAIABwAHIAZQBjAGUAZABpAG4AZwAgAHYAYQBsAHUAZQBzACAAbwBmACAAYQAgAHMAZQB0ACAAcwBpAHoAZQAgAG0AbwB2AGkAbgBnACAAZgByAG8AbQAgAGIAZQBnAGkAbgBuAGkAbgBnACAAdABvACAAZQBuAGQAIABvAHYAZQByACAAYQAgAHIAbwB3ACAAbwBmACAAdgBhAGwAdQBlAHMALgAqAC8AXABuAFIAbwBsAGwAaQBuAGcATQBpAG4AuwMgAD0AIABMAEEATQBCAEQAQQAoAFwAbgAvAC8AIAAgAFAAYQByAGEAbQBlAHQAZQByACAARABlAGMAbABhAHIAYQB0AGkAbwBuAHMAXABuACAAIAAgACAAWwBWAGEAbAB1AGUAcwBdACwAIABcAG4AIAAgACAAIABbAFMAaQB6AGUAXQAsAFwAbgAvAC8AIAAgAEgAZQBsAHAAXABuACAAIAAgACAATABFAFQAKABIAGUAbABwACwAIAAgACAAIAAgACAAIABUAFIASQBNACgAVABFAFgAVABTAFAATABJAFQAKAAgAFwAbgAgACAAIAAgACAAIAAgACAAIAAgACAAIAAgACAAIAAgACAAIAAgACAAIAAgACAAIAAgACAAIAAgAFwAIgBGAFUATgBDAFQASQBPAE4AOgAgACAAIAAgACAAIABSAG8AbABsAGkAbgBnAE0AaQBuALsDKAAgAFYAYQBsAHUAZQBzACwAIABTAGkAegBlACkAtgBcACIAIAAmAFwAbgAgACAAIAAgACAAIAAgACAAIAAgACAAIAAgACAAIAAgACAAIAAgACAAIAAgACAAIAAgACAAIAAgAFwAIgBEAEUAUwBDAFIASQBQAFQASQBPAE4AOgAgACAAIACSIUMAcgBlAGEAdABlAHMAIAB0AGgAZQAgAG0AaQBuAGkAbQB1AG0AIABmAG8AcgAgAHAAcgBlAGMAZQBkAGkAbgBnACAAdgBhAGwAdQBlAHMAIABvAGYAIABhACAAcwBlAHQAIABzAGkAegBlACAAbQBvAHYAaQBuAGcAIABmAHIAbwBtACAAYgBlAGcAaQBuAG4AaQBuAGcAIAB0AG8AIABlAG4AZAAgAG8AdgBlAHIAIABhACAAcgBvAHcAIABvAGYAIAB2AGEAbAB1AGUAcwAuALYAXAAiACAAJgBcAG4AIAAgACAAIAAgACAAIAAgACAAIAAgACAAIAAgACAAIAAgACAAIAAgACAAIAAgACAAIAAgACAAIAAgACAAIAAgACAAIAAgACAAIAAgACAAIAAgACAAIABcACIAkiFmAHIAbwBtACAAYgBlAGcAaQBuAG4AaQBuAGcAIAB0AG8AIABlAG4AZAAgAG8AdgBlAHIAIABhACAAcgBvAHcAIABvAGYAIAB2AGEAbAB1AGUAcw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FYAYQBsAHUAZQBzACAAIAAgACAAIAAgACAAIAAgAJIhKABSAGUAcQB1AGkAcgBlAGQAKQAgAEEAIAByAG8AdwAgAG8AZgAgAHYAYQBsAHUAZQBzACAAdABvACAAYgBlACAAbQBpAG4AbgBlAGQALgC2AFwAIgAgACYAIABcAG4AIAAgACAAIAAgACAAIAAgACAAIAAgACAAIAAgACAAIAAgACAAIAAgACAAIAAgACAAIAAgACAAIABcACIAUwBpAHoAZQAgACAAIAAgACAAIAAgACAAIAAgACAAkiEoAFIAZQBxAHUAaQByAGUAZAApACAAVABoAGUAIABuAHUAbQBiAGUAcgAgAG8AZgAgAHYAYQBsAHUAZQBzACAAdABvACAAZgBpAG4AZAAgAG0AYQB4AGkAbQB1AG0AIAB0AGgAYQB0ACAAtgBcACIAIAAmACAAXABuACAAIAAgACAAIAAgACAAIAAgACAAIAAgACAAIAAgACAAIAAgACAAIAAgACAAIAAgACAAIAAgACAAIAAgACAAIAAgACAAIAAgACAAIAAgACAAIAAgACAAXAAiAJIhaQBuAGMAbAB1AGQAZQAgAGEAbgBkACAAcAByAGUAYwBlAGUAZAAgAHQAaABlACAAYwB1AHIAcgBlAG4AdAAgAHYAYQBsAHUAZQC2AFwAIgAgACY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DUALAAzACwAMwAsADMALAAyACwAMgAgACAAIAAgAJIhPQBuAGEAYgBsAGEALgBmAC4AUgBvAGwAbABpAG4AZwBNAGEAeAC7AygAewA1ACwAMwAsADQALAA2ACwAMgAsADcAfQAsACAAMwApAFwAIgAs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CkALABcAG4AIAAgACAAIAAgACAAIAAgACAAIAAgACAAIAAgACAAIAAgACAAIAAgACAAIAAgACAAIAAgACAAIABJAFMATwBNAEkAVABUAEUARAAoACAAUwBpAHoAZQApACkALABcAG4AIAAgACAAIAAvAC8AIAAgAFAAcgBvAGMAZQBkAHUAcgBlAFwAbgAgACAAIAAgACAAIAAgACAAQwBvAHUAbgB0AGUAcgAsACAAIAAgACAAIAAgACAAIABTAEUAUQBVAEUATgBDAEUAKAAsAEMATwBVAE4AVABBACgAIABWAGEAbAB1AGUAcwApACkALABcAG4AIAAgACAAIAAgACAAIAAgAFIAZQBzAHUAbAB0ACwAIAAgACAAIAAgACAAIAAgACAAUwBDAEEATgAoACAAXABuACAAIAAgACAAIAAgACAAIAAgACAAIAAgACAAIAAgACAAIAAgACAAIAAgACAAIAAgACAAIAAgACAAMAAsACAAXABuACAAIAAgACAAIAAgACAAIAAgACAAIAAgACAAIAAgACAAIAAgACAAIAAgACAAIAAgACAAIAAgACAAQwBvAHUAbgB0AGUAcgAsACAAXABuACAAIAAgACAAIAAgACAAIAAgACAAIAAgACAAIAAgACAAIAAgACAAIAAgACAAIAAgACAAIAAgACAATABBAE0AQgBEAEEAKABcAG4AIAAgACAAIAAgACAAIAAgACAAIAAgACAAIAAgACAAIAAgACAAIAAgACAAIAAgACAAIAAgACAAIAAgACAAIAAgAEEAYwBjACwAXABuACAAIAAgACAAIAAgACAAIAAgACAAIAAgACAAIAAgACAAIAAgACAAIAAgACAAIAAgACAAIAAgACAAIAAgACAAIABWAGEAbAAsACAAXABuACAAIAAgACAAIAAgACAAIAAgACAAIAAgACAAIAAgACAAIAAgACAAIAAgACAAIAAgACAAIAAgACAAIAAgACAAIABMAEUAVAAoAFwAbgAgACAAIAAgACAAIAAgACAAIAAgACAAIAAgACAAIAAgACAAIAAgACAAIAAgACAAIAAgACAAIAAgACAAIAAgACAAIAAgACAAIABTAHQAYQByAHQALAAgACAASQBGACgAKABWAGEAbAAgAC0AIABTAGkAegBlACkAIAA8ACAAMQAsACAAMAAsACAAVgBhAGwAIAAtACAAUwBpAHoAZQApACwAXABuACAAIAAgACAAIAAgACAAIAAgACAAIAAgACAAIAAgACAAIAAgACAAIAAgACAAIAAgACAAIAAgACAAIAAgACAAIAAgACAAIAAgAFIAaQBnAGgAdAAsACAAIABUAEEASwBFACgAVgBhAGwAdQBlAHMALAAgACwAIABWAGEAbAApACwAXABuACAAIAAgACAAIAAgACAAIAAgACAAIAAgACAAIAAgACAAIAAgACAAIAAgACAAIAAgACAAIAAgACAAIAAgACAAIAAgACAAIAAgAEIAbABvAGMAawAsACAAIABJAEYAKAAgAFMAdABhAHIAdAAgAD4AIAAwACwAIABEAFIATwBQACgAIABSAGkAZwBoAHQALAAgACwAIABTAHQAYQByAHQAIAApACwAIABSAGkAZwBoAHQAKQAsAFwAbgAgACAAIAAgACAAIAAgACAAIAAgACAAIAAgACAAIAAgACAAIAAgACAAIAAgACAAIAAgACAAIAAgACAAIAAgACAAIAAgACAAIABNAEkATgAoAEIAbABvAGMAawAp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SAG8AbABsAGkAbgBnAFMAdQBtALsDXABuACAAIAAgACAARABFAFMAQwBSAEkAUABUAEkATwBOADoAKgAvAC8AKgAqAEMAcgBlAGEAdABlAHMAIAB0AG8AdABhAGwAcwAgAGYAbwByACAAcAByAGUAYwBlAGQAaQBuAGcAIAB2AGEAbAB1AGUAcwAgAG8AZgAgAGEAIABzAGUAdAAgAHMAaQB6AGUAIABtAG8AdgBpAG4AZwAgAGYAcgBvAG0AIABiAGUAZwBpAG4AbgBpAG4AZwAgAHQAbwAgAGUAbgBkACAAbwB2AGUAcgAgAGEAIAByAG8AdwAgAG8AZgAgAHYAYQBsAHUAZQBzAC4AKgAvAFwAbgBSAG8AbABsAGkAbgBnAFMAdQBtALsDIAA9ACAATABBAE0AQgBEAEEAKABcAG4ALwAvACAAIABQAGEAcgBhAG0AZQB0AGUAcgAgAEQAZQBjAGwAYQByAGEAdABpAG8AbgBzAFwAbgAgACAAIAAgAFsAVgBhAGwAdQBlAHMAXQAsACAAXABuACAAIAAgACAAWwBTAGkAegBlAF0ALABcAG4ALwAvACAAIABIAGUAbABwAFwAbgAgACAAIAAgAEwARQBUACgASABlAGwAcAAsACAAIAAgACAAIAAgACAAVABSAEkATQAoAFQARQBYAFQAUwBQAEwASQBUACgAIABcAG4AIAAgACAAIAAgACAAIAAgACAAIAAgACAAIAAgACAAIAAgACAAIAAgACAAIAAgACAAIAAgACAAIABcACIARgBVAE4AQwBUAEkATwBOADoAIAAgACAAIAAgACAAkiFSAG8AbABsAGkAbgBnAFMAdQBtALsDKAAgAFYAYQBsAHUAZQBzACwAIABTAGkAegBlACkAtgBcACIAIAAmAFwAbgAgACAAIAAgACAAIAAgACAAIAAgACAAIAAgACAAIAAgACAAIAAgACAAIAAgACAAIAAgACAAIAAgAFwAIgBEAEUAUwBDAFIASQBQAFQASQBPAE4AOgAgACAAIACSIUMAcgBlAGEAdABlAHMAIAB0AG8AdABhAGwAcwAgAGYAbwByACAAcAByAGUAYwBlAGQAaQBuAGcAIAB2AGEAbAB1AGUAcwAgAG8AZgAgAGEAIABzAGUAdAAgAHMAaQB6AGUAIABtAG8AdgBpAG4AZwC2AFwAIgAgACYAXABuACAAIAAgACAAIAAgACAAIAAgACAAIAAgACAAIAAgACAAIAAgACAAIAAgACAAIAAgACAAIAAgACAAIAAgACAAIAAgACAAIAAgACAAIAAgACAAIAAgACAAXAAiAJIhZgByAG8AbQAgAGIAZQBnAGkAbgBuAGkAbgBnACAAdABvACAAZQBuAGQAIABvAHYAZQByACAAYQAgAHIAbwB3ACAAbwBmACAAdgBhAGwAdQBlAHM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WAGEAbAB1AGUAcwAgACAAIAAgACAAIAAgACAAIACSISgAUgBlAHEAdQBpAHIAZQBkACkAIABBACAAcgBvAHcAIABvAGYAIAB2AGEAbAB1AGUAcwAgAHQAbwAgAGIAZQAgAHQAbwB0AGEAbABsAGUAZAAuALYAXAAiACAAJgAgAFwAbgAgACAAIAAgACAAIAAgACAAIAAgACAAIAAgACAAIAAgACAAIAAgACAAIAAgACAAIAAgACAAIAAgAFwAIgBTAGkAegBlACAAIAAgACAAIAAgACAAIAAgACAAIACSISgAUgBlAHEAdQBpAHIAZQBkACkAIABUAGgAZQAgAG4AdQBtAGIAZQByACAAbwBmACAAdgBhAGwAdQBlAHMAIAB0AG8AIAB0AG8AdABhAGwAIAB0AGgAYQB0ACAAtgBcACIAIAAmACAAXABuACAAIAAgACAAIAAgACAAIAAgACAAIAAgACAAIAAgACAAIAAgACAAIAAgACAAIAAgACAAIAAgACAAIAAgACAAIAAgACAAIAAgACAAIAAgACAAIAAgACAAXAAiAJIhaQBuAGMAbAB1AGQAZQAgAGEAbgBkACAAcAByAGUAYwBlAGUAZAAgAHQAaABlACAAYwB1AHIAcgBlAG4AdAAgAHYAYQBsAHUAZQC2AFwAIgAgACY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DEALAAzACwANgAsADkALAAxADIAIAAgACAAIAAgAJIhPQBuAGEAYgBsAGEALgBmAC4AUgBvAGwAbABpAG4AZwBNAGkAbgC7AygAUwBFAFEAVQBFAE4AQwBFACgALAAgADUAKQAsACAAMwApAFwAIgAs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CkALABcAG4AIAAgACAAIAAgACAAIAAgACAAIAAgACAAIAAgACAAIAAgACAAIAAgACAAIAAgACAAIAAgACAAIABJAFMATwBNAEkAVABUAEUARAAoACAAUwBpAHoAZQApACkALABcAG4AIAAgACAAIAAvAC8AIAAgAFAAcgBvAGMAZQBkAHUAcgBlAFwAbgAgACAAIAAgACAAIAAgACAAQwBvAHUAbgB0AGUAcgAsACAAIAAgACAAIAAgACAAIABTAEUAUQBVAEUATgBDAEUAKAAsAEMATwBMAFUATQBOAFMAKAAgAFYAYQBsAHUAZQBzACkAKQAsAFwAbgAgACAAIAAgACAAIAAgACAAUgBlAHMAdQBsAHQALAAgACAAIAAgACAAIAAgACAAIABTAEMAQQBOACgAIABcAG4AIAAgACAAIAAgACAAIAAgACAAIAAgACAAIAAgACAAIAAgACAAIAAgACAAIAAgACAAIAAgACAAIAAwACwAIABcAG4AIAAgACAAIAAgACAAIAAgACAAIAAgACAAIAAgACAAIAAgACAAIAAgACAAIAAgACAAIAAgACAAIABDAG8AdQBuAHQAZQByACwAIABcAG4AIAAgACAAIAAgACAAIAAgACAAIAAgACAAIAAgACAAIAAgACAAIAAgACAAIAAgACAAIAAgACAAIABMAEEATQBCAEQAQQAoAFwAbgAgACAAIAAgACAAIAAgACAAIAAgACAAIAAgACAAIAAgACAAIAAgACAAIAAgACAAIAAgACAAIAAgACAAIAAgACAAQQBjAGMALABcAG4AIAAgACAAIAAgACAAIAAgACAAIAAgACAAIAAgACAAIAAgACAAIAAgACAAIAAgACAAIAAgACAAIAAgACAAIAAgAFYAYQBsACwAIABcAG4AIAAgACAAIAAgACAAIAAgACAAIAAgACAAIAAgACAAIAAgACAAIAAgACAAIAAgACAAIAAgACAAIAAgACAAIAAgAEwARQBUACgAXABuACAAIAAgACAAIAAgACAAIAAgACAAIAAgACAAIAAgACAAIAAgACAAIAAgACAAIAAgACAAIAAgACAAIAAgACAAIAAgACAAIAAgAFMAdABhAHIAdAAsACAAIABJAEYAKAAoAFYAYQBsACAALQAgAFMAaQB6AGUAKQAgADwAIAAxACwAIAAwACwAIABWAGEAbAAgAC0AIABTAGkAegBlACkALABcAG4AIAAgACAAIAAgACAAIAAgACAAIAAgACAAIAAgACAAIAAgACAAIAAgACAAIAAgACAAIAAgACAAIAAgACAAIAAgACAAIAAgACAAUgBpAGcAaAB0ACwAIAAgAFQAQQBLAEUAKABWAGEAbAB1AGUAcwAsACAALAAgAFYAYQBsACkALABcAG4AIAAgACAAIAAgACAAIAAgACAAIAAgACAAIAAgACAAIAAgACAAIAAgACAAIAAgACAAIAAgACAAIAAgACAAIAAgACAAIAAgACAAQgBsAG8AYwBrACwAIAAgAEkARgAoACAAUwB0AGEAcgB0ACAAPgAgADAALAAgAEQAUgBPAFAAKAAgAFIAaQBnAGgAdAAsACAALAAgAFMAdABhAHIAdAAgACkALAAgAFIAaQBnAGgAdAApACwAXABuACAAIAAgACAAIAAgACAAIAAgACAAIAAgACAAIAAgACAAIAAgACAAIAAgACAAIAAgACAAIAAgACAAIAAgACAAIAAgACAAIAAgAFMAVQBNACgAQgBsAG8AYwBr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JIhUwB1AG0AQwBvAG4AdABhAGkAbgBzALsDXABuACAAIAAgACAARABFAFMAQwBSAEkAUABUAEkATwBOADoAKgAvAC8AKgAqAJIhQwByAGUAYQB0AGUAcwAgAGEAIAByAG8AdwAgAG8AZgAgAHQAbwB0AGEAbABzACAAZgBvAHIAIABlAGEAYwBoACAAcgBvAHcAIABpAG4AIABhAG4AIABhAHIAcgBhAHkAIAB3AGgAZQByAGUAIABcAG4AaQB0AHMAIABsAGEAYgBlAGwAcwAgAGMAbwBuAHQAYQBpAG4AIABhACAAbABlAHQAdABlAHIALAAgAHcAbwByAGQALAAgAG8AcgAgAHAAaAByAGEAcwBlACoALwBcAG4AUwB1AG0AQwBvAG4AdABhAGkAbgBzALsDIAA9ACAATABBAE0AQgBEAEEAKABcAG4ALwAvACAAIABQAGEAcgBhAG0AZQB0AGUAcgAgAEQAZQBjAGwAYQByAGEAdABpAG8AbgBzAFwAbgAgACAAIAAgAFsAVgBhAGwAdQBlAHMAVABvAEYAaQBsAHQAZQByAF0ALABcAG4AIAAgACAAIABbAFYAYQBsAHUAZQBMAGEAYgBlAGwAcwBdACwAXABuACAAIAAgACAAWwBGAGkAbAB0AGUAcgBCAHkAVABlAHgAdABdACwAXABuACAAIAAgACAAWwBJAGcAbgBvAHIAZQBDAGEAcwBlAD8AXQAs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MAdQBtAEMAbwBuAHQAYQBpAG4AcwC7AygAVgBhAGwAdQBlAHMAVABvAEYAaQBsAHQAZQByACwAIABWAGEAbAB1AGUATABhAGIAZQBsAHMALAAgAEYAaQBsAHQAZQByAEIAeQBUAGUAeAB0ACwAIABbAEkAZwBuAG8AcgBlAEMAYQBzAGUAPwBdACkAtgBcACIAIAAmAFwAbgAgACAAIAAgACAAIAAgACAAIAAgACAAIAAgACAAIAAgACAAIAAgACAAIAAgACAAIAAgACAAIAAgAFwAIgBEAEUAUwBDAFIASQBQAFQASQBPAE4AOgAgACAAIACSIUMAcgBlAGEAdABlAHMAIABhACAAcgBvAHcAIABvAGYAIABjAG8AbAB1AG0AbgAgAHQAbwB0AGEAbABzACAAZgBvAHIAIABlAGEAYwBoACAAcgBvAHcAIABpAG4AIABhAG4AIABhAHIAcgBhAHkAIAB3AGgAZQByAGUAtgBcACIAIAAmACAAXABuACAAIAAgACAAIAAgACAAIAAgACAAIAAgACAAIAAgACAAIAAgACAAIAAgACAAIAAgACAAIAAgACAAIAAgACAAIAAgACAAIAAgACAAIAAgACAAIAAgACAAXAAiAJIhaQB0AHMAIABsAGEAYgBlAGwAcwAgAGMAbwBuAHQAYQBpAG4AIABhACAAdQBuAGkAcQB1AGUAIABsAGUAdAB0AGUAcgAsACAAdwBvAHIAZAAsACAAbwByACAAcABoAHIAYQBzAGUALgC2AFwAIgAgACYAIA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VgBhAGwAdQBlAHMAVABvAEYAaQBsAHQAZQByACAAkiEoAFIAZQBxAHUAaQByAGUAZAApACAAQQBuACAAYQByAHIAYQB5ACAAbwBmACAAdgBhAGwAdQBlAHMAIAB0AG8AIABiAGUAIABmAGkAbAB0AGUAcgBlAGQAtgBcACIAIAAmACAAIAAgACAAIAAgACAAIAAgACAAIAAgACAAIAAgACAAIAAgACAAXABuACAAIAAgACAAIAAgACAAIAAgACAAIAAgACAAIAAgACAAIAAgACAAIAAgACAAIAAgACAAIAAgACAAXAAiAFYAYQBsAHUAZQBMAGEAYgBlAGwAcwAgACAAIAAgAJIhKABSAGUAcQB1AGkAcgBlAGQAKQAgAEEAbgAgAGEAcgByAGEAeQAgAGMAbwBuAHQAYQBpAG4AaQBuAGcAIAB0AGgAZQAgAHYAYQBsAHUAZQBzACcAIABsAGEAYgBlAGwAcwC2AFwAIgAgACYAIAAgACAAIAAgACAAIAAgACAAIAAgACAAIAAgACAAIAAgACAAIABcAG4AIAAgACAAIAAgACAAIAAgACAAIAAgACAAIAAgACAAIAAgACAAIAAgACAAIAAgACAAIAAgACAAIABcACIARgBpAGwAdABlAHIAQgB5AFQAZQB4AHQAIAAgACAAkiEoAFIAZQBxAHUAaQByAGUAZAApACAAQQAgAHUAbgBpAHEAdQBlACAAbABlAHQAdABlAHIALAAgAHcAbwByAGQAIABvAHIAIABwAGgAcgBhAHMAZQAgAHQAbwAgAGYAaQBuAGQAIABjAG8AbgB0AGEAaQBuAGUAZAAgAGkAbgAgAFYAYQBsAHUAZQBMAGEAYgBlAGwAcwC2AFwAIgAgACYAIAAgACAAIAAgACAAIAAgACAAIAAgACAAIAAgACAAIAAgACAAIABcAG4AIAAgACAAIAAgACAAIAAgACAAIAAgACAAIAAgACAAIAAgACAAIAAgACAAIAAgACAAIAAgACAAIABcACIASQBnAG4AbwByAGUAQwBhAHMAZQA/ACAAIAAgACAAkiEoAE8AcAB0AGkAbwBuAGEAbAApACAAQQAgAGYAbABhAGcAIAB0AG8AIABkAGUAdABlAHIAbQBpAG4AZQAgAGkAZgAgAFQAZQB4AHQAJwBzACAAYwBhAHMAZQAgAGkAcwAgAGkAbQBwAG8AcgB0AGEAbgB0AC4AIABEAGUAZgBhAHUAbAB0ACAAaQBzACAAVABSAFUARQC2AFwAIgAgACYAIAAgACAAIAAgACAAIAAgACAAIAAgACAAIAAgACAAIAAgACA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CAAIAAgACAAIAAgACAAIAAgACAAIAAgACAAIAAgAJIhPQBuAGEAYgBsAGEALgBmAC4AUwB1AG0AQwBvAG4AdABhAGkAbgBzALsDKAAgAEEAcgByAGEAeQAsACAATABhAGIAZQBsAHMALAAgAFwAIgBcACIAQwBBAFAARQBYAFwAIgBcACIAIA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HMAVABvAEYAaQBsAHQAZQByACkALAAgAFwAbgAgACAAIAAgACAAIAAgACAAIAAgACAAIAAgACAAIAAgACAAIAAgACAAIAAgACAAIAAgACAAIAAgAEkAUwBPAE0ASQBUAFQARQBEACgAIABWAGEAbAB1AGUATABhAGIAZQBsAHMAKQAsACAAXABuACAAIAAgACAAIAAgACAAIAAgACAAIAAgACAAIAAgACAAIAAgACAAIAAgACAAIAAgACAAIAAgACAASQBTAE8ATQBJAFQAVABFAEQAKAAgAEYAaQBsAHQAZQByAEIAeQBUAGUAeAB0ACkAKQAsAFwAbgAgACAAIAAgAC8ALwAgACAAQwBoAGUAYwBrACAAaQBuAHAAdQB0AHMAIAAtACAAUwBlAHQAIABkAGUAZgBhAHUAbAB0AHMAXABuACAAIAAgACAAIAAgACAAIABJAGcAbgBvAHIAZQBDAGEAcwBlAD8ALAAgACAAIAAgAEkARgAoACAASQBTAEwATwBHAEkAQwBBAEwAKAAgAEkAZwBuAG8AcgBlAEMAYQBzAGUAPwApACwAIABJAGcAbgBvAHIAZQBDAGEAcwBlAD8ALAAgAFQAUgBVAEUAKQAsAFwAbgAgACAAIAAgACAAIAAgACAATABhAGIAZQBsAHMALAAgACAAIAAgACAAIAAgACAAIABDAEgATwBPAFMARQBDAE8ATABTACgAVgBhAGwAdQBlAEwAYQBiAGUAbABzACwAIAAxACkALABcAG4AIAAgACAAIAAvAC8AIAAgAFAAcgBvAGMAZQBkAHUAcgBlAFwAbgAgACAAIAAgACAAIAAgACAATQBhAHQAYwBoAGUAcwAsACAAIAAgACAAIAAgACAAIABJAEYAKAAgAEkAZwBuAG8AcgBlAEMAYQBzAGUAPwAsACAAXABuACAAIAAgACAAIAAgACAAIAAgACAAIAAgACAAIAAgACAAIAAgACAAIAAgACAAIAAgACAAIAAgACAAUwBFAEEAUgBDAEgAKAAgAEYAaQBsAHQAZQByAEIAeQBUAGUAeAB0ACwAIABMAGEAYgBlAGwAcwApACwAXABuACAAIAAgACAAIAAgACAAIAAgACAAIAAgACAAIAAgACAAIAAgACAAIAAgACAAIAAgACAAIAAgACAARgBJAE4ARAAoACAARgBpAGwAdABlAHIAQgB5AFQAZQB4AHQALAAgAEwAYQBiAGUAbABzACkAXABuACAAIAAgACAAIAAgACAAIAAgACAAIAAgACAAIAAgACAAIAAgACAAIAAgACAAIAAgACkALABcAG4AIAAgACAAIAAgACAAIAAgAEYAaQBsAHQAZQByAGUAZABSAG8AdwBzACwAIAAgACAARgBJAEwAVABFAFIAKAAgAFYAYQBsAHUAZQBzAFQAbwBGAGkAbAB0AGUAcgAsACAASQBTAE4AVQBNAEIARQBSACgAIABNAGEAdABjAGgAZQBzACkAKQAsAFwAbgAgACAAIAAgACAAIAAgACAAUgBlAHMAdQBsAHQALAAgACAAIAAgACAAIAAgACAAIABCAFkAQwBPAEwAKABGAGkAbAB0AGUAcgBlAGQAUgBvAHcAcwAsACAATABBAE0AQgBEAEEAKAAgAEMAbwBsACwAIABTAFUATQAoAEMAbwBsACkAKQApACwAXABuACAAIAAgACAALwAvACAAIABSAGUAdAB1AHIAbgAgAFIAZQBzAHUAbAB0ACAAbwByACAAaABlAGwAcABcAG4AIAAgACAAIAAgACAAIAAgAEMASABPAE8AUwBFACgASABlAGwAcAA/ACAAKwAgADEALAAgAFIAZQBzAHUAbAB0ACwAIABIAGUAbABwACkAXABuACAAIAAgACAAKQAgACAAXABuACkAOwBcAG4AXABuAFwAbgAvACoAIAAgAEYAVQBOAEMAVABJAE8ATgAgAE4AQQBNAEUAOgAgACAAUwB1AG0AUABlAHIAaQBvAGQAcwC7A1wAbgAgACAAIAAgAEQARQBTAEMAUgBJAFAAVABJAE8ATgA6ACoALwAvACoAKgBHAHIAbwB1AHAAcwAgAGEAbgBkACAAdABvAHQAYQBsAHMAIABhAGwAbAAgAGMAbwBsAHUAbQBuAHMAIABpAG4AIABhACAAVgBhAGwAdQBlAHMAIABhAHIAcgBhAHkAIABiAHkAIABwAGUAcgBpAG8AZAAgAHIAZQBzAHUAbAB0AGkAbgBnACAAaQBuACAAbwBuAGUAIABjAG8AbAB1AG0AbgAgAGYAbwByACAAZQBhAGMAaAAgAHAAZQByAGkAbwBkACoALwBcAG4AUwB1AG0AUABlAHIAaQBvAGQAcwC7AyAAPQAgAEwAQQBNAEIARABBACgAXABuAC8ALwAgACAAUABhAHIAYQBtAGUAdABlAHIAIABEAGUAYwBsAGEAcgBhAHQAaQBvAG4AcwBcAG4AIAAgACAAIABbAFYAYQBsAHUAZQBzAF0ALABcAG4AIAAgACAAIABbAEQAYQB0AGUAcwBdACwAXABuACAAIAAgACAAWwBQAGUAcgBpAG8AZABTAHQAYQByAHQAcwBdACwAXABuACAAIAAgACAAXABuAC8ALwAgACAAUAByAG8AYwBlAGQAdQByAGUAXABuACAAIAAgACAATABFAFQAKABIAGUAbABwACwAIAAgACAAIAAgACAAIABUAFIASQBNACgAVABFAFgAVABTAFAATABJAFQAKAAgAFwAbgAgACAAIAAgACAAIAAgACAAIAAgACAAIAAgACAAIAAgACAAIAAgACAAIAAgACAAIAAgACAAIAAgAFwAIgBGAFUATgBDAFQASQBPAE4AOgAgACAAIAAgACAAIACSIVMAdQBtAFAAZQByAGkAbwBkAHMAuwMoACAAVgBhAGwAdQBlAHMALAAgAEQAYQB0AGUAcwAsACAAUABlAHIAaQBvAGQAUwB0AGEAcgB0AHMAKQC2AFwAIgAgACYAXABuACAAIAAgACAAIAAgACAAIAAgACAAIAAgACAAIAAgACAAIAAgACAAIAAgACAAIAAgACAAIAAgACAAXAAiAEQARQBTAEMAUgBJAFAAVABJAE8ATgA6ACAAIAAgAJIhUwB1AG0AbQBhAHIAaQBzAGUAcwAgAHYAYQBsAHUAZQBzACAAdwBoAGUAcgBlACAAZQBhAGMAaAAgAHYAYQBsAHUAZQAgAGMAbwBsAHUAbQBuACAAaQBzACAAZgBvAHIAIABvAG4AZQAgAGQAYQB5ACAAtgBcACIAIAAmACAAXABuACAAIAAgACAAIAAgACAAIAAgACAAIAAgACAAIAAgACAAIAAgACAAIAAgACAAIAAgACAAIAAgACAAIAAgACAAIAAgACAAIAAgACAAIAAgACAAIAAgACAAXAAiAJIhaQBuAHQAbwAgAG8AbgBlACAAYwBvAGwAdQBtAG4AIABmAG8AcgAgAGUAYQBjAGgAIABwAGUAcgBpAG8AZAAuACAAtgBcACIAIAAmACAAXABuACAAIAAgACAAIAAgACAAIAAgACAAIAAgACAAIAAgACAAIAAgACAAIAAgACAAIAAgACAAIAAgACAAXAAiAFYARQBSAFMASQBPAE4AOgAgACAAIAAgACAAIAAgAJIhMQA4ACAAQQB1AGcAIAAyADAAMgA2ALYAXAAiACAAJg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QAEEAUgBBAE0ARQBUAEUAUgBTADoAkiG2AFwAIgAgACYAIABcAG4AIAAgACAAIAAgACAAIAAgACAAIAAgACAAIAAgACAAIAAgACAAIAAgACAAIAAgACAAIAAgACAAIABcACIAVgBhAGwAdQBlAHMAIAAgACAAIAAgACAAIAAgACAAkiEoAFIAZQBxAHUAaQByAGUAZAApACAAQQAgAHQAdwBvACAAZABpAG0AZQBuAHMAaQBvAG4AYQBsACAAYQByAHIAYQB5AC8AcgBhAG4AZwBlACAAYwBvAG4AdABhAGkAbgBpAG4AZwAgAHYAYQBsAHUAZQBzACAAdABvACAAYgBlACAAcwB1AG0AbQBlAGQAIAB3AGgAZQByAGUAXAAiACAAJgAgAFwAbgAgACAAIAAgACAAIAAgACAAIAAgACAAIAAgACAAIAAgACAAIAAgACAAIAAgACAAIAAgACAAIAAgACAAIAAgACAAIAAgACAAIAAgACAAIAAgACAAIAAgACAAXAAiAGUAYQBjAGgAIABjAG8AbAB1AG0AbgAgAGkAcwAgAGYAbwByACAAYQAgAHMAcABlAGMAaQBmAGkAYwAgAGQAYQB5ALYAXAAiACAAJgAgAFwAbgAgACAAIAAgACAAIAAgACAAIAAgACAAIAAgACAAIAAgACAAIAAgACAAIAAgACAAIAAgACAAIAAgAFwAIgBEAGEAdABlAHMAIAAgACAAIAAgACAAIAAgACAAIACSISgAUgBlAHEAdQBpAHIAZQBkACkAIABBACAAcgBvAHcAIABvAGYAIABkAGEAdABlAHMAIABwAHIAbwB2AGkAZABpAG4AZwAgAHQAaABlACAAZABhAHQAZQAgAGYAbwByACAAZQBhAGMAaAAgAFYAYQBsAHUAZQBzACAAYwBvAGwAdQBtAG4AtgBcACIAIAAmAFwAbgAgACAAIAAgACAAIAAgACAAIAAgACAAIAAgACAAIAAgACAAIAAgACAAIAAgACAAIAAgACAAIAAgAFwAIgBQAGUAcgBpAG8AZABTAHQAYQByAHQAcwAgACAAIACSISgAUgBlAHEAdQBpAHIAZQBkACkAIABBACAAcgBvAHcAIABvAGYAIABwAGUAcgBpAG8AZAAgAHMAdABhAHIAdAAgAGQAYQB0AGUAcwC2AFwAIgAgACY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FwAIgAwADMALAAgADAANwAgACAAIAAgACAAIAAgACAAIACSIT0AbgBhAGIAbABhAC4AZgAuAFMAdQBtAFAAZQByAGkAbwBkAHMAuwMoAHsAMQAsADIALAAzACwANAA7ADQALAAzACwAMgAsADEAOwAxADAALAAyADAALAAzADAALAA0ADAAfQAsACAAewAxACwAMgAsADMALAA0AH0ALAAgAHsAMQAsADMAfQApALYAXAAiACAAJgAgAFwAbgAgACAAIAAgACAAIAAgACAAIAAgACAAIAAgACAAIAAgACAAIAAgACAAIAAgACAAIAAgACAAIAAgAFwAIgAwADcALAAgADAAMwAgACAAIAAgACAAIAAgACAAIACSIbYAXAAiACAAJgAgAFwAbgAgACAAIAAgACAAIAAgACAAIAAgACAAIAAgACAAIAAgACAAIAAgACAAIAAgACAAIAAgACAAIAAgAFwAIgAzADAALAAgADcAMAAgACAAIAAgACAAIAAgACAAIACSIVwAIgAsAFwAbgAgACAAIAAgACAAIAAgACAAIAAgACAAIAAgACAAIAAgACAAIAAgACAAIAAgACAAIAAgACAAIAAgAFwAIgCSIVwAIgAsACAAXAAiALYAXAAiACAAKQBcAG4AIAAgACAAIAAgACAAIAAgACAAIAAgACAAIAAgACAAIAAgACAAIAAgACkALAAgACAAIAAgACAAIAAgACAAIAAgACAAIABcAG4AIAAgACAAIAAvAC8AIAAgAEMAaABlAGMAawAgAGkAbgBwAHUAdABzACAALQAgAE8AbQBpAHQAdABlAGQAIAByAGUAcQB1AGkAcgBlAGQAIABhAHIAZwB1AG0AZQBuAHQAcwBcAG4AIAAgACAAIAAgACAAIAAgAEgAZQBsAHAAPwAsACAAIAAgACAAIAAgACAAIAAgACAATwBSACgAIABJAFMATwBNAEkAVABUAEUARAAoACAAVgBhAGwAdQBlAHMAKQAsAFwAbgAgACAAIAAgACAAIAAgACAAIAAgACAAIAAgACAAIAAgACAAIAAgACAAIAAgACAAIAAgACAAIAAgAEkAUwBPAE0ASQBUAFQARQBEACgAIABEAGEAdABlAHMAKQAsAFwAbgAgACAAIAAgACAAIAAgACAAIAAgACAAIAAgACAAIAAgACAAIAAgACAAIAAgACAAIAAgACAAIAAgAEkAUwBPAE0ASQBUAFQARQBEACgAIABQAGUAcgBpAG8AZABTAHQAYQByAHQAcwApACkALABcAG4AIAAgACAAIAAvAC8AIAAgAFAAcgBvAGMAZQBkAHUAcgBlAFwAbgAgACAAIAAgACAAIAAgACAAUAByAGQATgB1AG0ALAAgACAAIAAgACAAIAAgACAAIABNAEEAVABDAEgAKABEAGEAdABlAHMALAAgAFAAZQByAGkAbwBkAFMAdABhAHIAdABzACwAIAAxACkALABcAG4AIAAgACAAIAAgACAAIAAgAFIAZQBzAHUAbAB0ACwAIAAgACAAIAAgACAAIAAgACAATQBBAEsARQBBAFIAUgBBAFkAKABcAG4AIAAgACAAIAAgACAAIAAgACAAIAAgACAAIAAgACAAIAAgACAAIAAgACAAIAAgACAAIAAgACAAIABSAE8AVwBTACgAVgBhAGwAdQBlAHMAKQAsAFwAbgAgACAAIAAgACAAIAAgACAAIAAgACAAIAAgACAAIAAgACAAIAAgACAAIAAgACAAIAAgACAAIAAgAEMATwBMAFUATQBOAFMAKABQAGUAcgBpAG8AZABTAHQAYQByAHQAcwApACwAXABuACAAIAAgACAAIAAgACAAIAAgACAAIAAgACAAIAAgACAAIAAgACAAIAAgACAAIAAgACAAIAAgACAATABBAE0AQgBEAEEAKABcAG4AIAAgACAAIAAgACAAIAAgACAAIAAgACAAIAAgACAAIAAgACAAIAAgACAAIAAgACAAIAAgACAAIAAgACAAIAAgAFIAbwB3ACwAIABcAG4AIAAgACAAIAAgACAAIAAgACAAIAAgACAAIAAgACAAIAAgACAAIAAgACAAIAAgACAAIAAgACAAIAAgACAAIAAgAEMAbwBsACwAIABcAG4AIAAgACAAIAAgACAAIAAgACAAIAAgACAAIAAgACAAIAAgACAAIAAgACAAIAAgACAAIAAgACAAIAAgACAAIAAgAFMAVQBNACgASQBOAEQARQBYACgAVgBhAGwAdQBlAHMALAAgAFIAbwB3ACwAIAApACAAKgAgACgAQwBvAGwAIAA9ACAAUAByAGQATgB1AG0AKQApAFwAbgAgACAAIAAgACAAIAAgACAAIAAgACAAIAAgACAAIAAgACAAIAAgACAAIAAgACAAIAAgACAAIAAgACAAIAAgACAAKQBcAG4AIAAgACAAIAAgACAAIAAgACAAIAAgACAAIAAgACAAIAAgACAAIAAgACAAIAAgACAAKQAsACAAIAAgACAAIAAgACAAIAAgACAAIAAgAFwAbgAgACAAIAAgAC8ALwAgACAAUgBlAHQAdQByAG4AIABSAGUAcwB1AGwAdABcAG4AIAAgACAAIAAgACAAIAAgAEMASABPAE8AUwBFACgASABlAGwAcAA/ACAAKwAgADEALAAgAFIAZQBzAHUAbAB0ACwAIABIAGUAbABwACkAXABuACAAIAAgACAAKQBcAG4AKQA7AFwAbgBcAG4AXABuAFwAbgBcAG4AXABuAC8ALwAgACAAQQBtAG8AcgB0AGkAcwBhAHQAaQBvAG4AIABTAHUAaQB0AGUAXABuAFwAbgAvACoAIAAgAEYAVQBOAEMAVABJAE8ATgAgAE4AQQBNAEUAOgAgACAAQQBtAG8AcgB0AGkAcwBlALsDXABuACAAIAAgACAARABFAFMAQwBSAEkAUABUAEkATwBOADoAKgAvAC8AKgAqAEMAcgBlAGEAdABlAHMAIABhACAAYwBvAHIAawBzAGMAcgBlAHcAIABhAG0AbwByAHQAaQBzAGEAdABpAG8AbgAgAHMAYwBoAGUAZAB1AGwAZQAqAC8AXABuAEEAbQBvAHIAdABpAHMAZQC7AyAAPQAgAEwAQQBNAEIARABBACgAXABuAC8ALwAgACAAUABhAHIAYQBtAGUAdABlAHIAIABEAGUAYwBsAGEAcgBhAHQAaQBvAG4AcwBcAG4AIAAgACAAIABbAFAAcgBpAG4AYwBpAHAAYQBsAHMAXQAsACAAXABuACAAIAAgACAAWwBBAFAAUgBzAF0ALAAgAFwAbgAgACAAIAAgAFsAVABlAHIAbQBzAF0ALAAgAFwAbgAgACAAIAAgAFsAUwB0AGEAcgB0AEQAYQB0AGUAcwBdACwAXABuACAAIAAgACAAWwBUAGkAbQBlAGwAaQBuAGUAXQAsAFwAbgBcAG4AIAAgACAAIABMAEUAVAAoAFwAbgAgACAAIAAgAC8ALwAgACAASABlAGwAcAAgACAAIAAgACAAIAAgACAAXABuACAAIAAgACAAIAAgACAAIABIAGUAbABwACwAIAAgACAAIAAgACAAIABUAFIASQBNACgAVABFAFgAVABTAFAATABJAFQAKAAgAFwAbgAgACAAIAAgACAAIAAgACAAIAAgACAAIAAgACAAIAAgACAAIAAgACAAIAAgACAAIABcACIARgBVAE4AQwBUAEkATwBOADoAIAAgACAAIAAgACAAkiFBAG0AbwByAHQAaQBzAGUAuwMoACAAUAByAGkAbgBjAGkAcABhAGwAcwAsACAAQQBQAFIAcwAsACAAVABlAHIAbQBzACwAIABTAHQAYQByAHQARABhAHQAZQBzACwAIABbAFQAaQBtAGUAbABpAG4AZQBdACkAtgBcACIAIAAmAFwAbgAgACAAIAAgACAAIAAgACAAIAAgACAAIAAgACAAIAAgACAAIAAgACAAIAAgACAAIABcACIARABFAFMAQwBSAEkAUABUAEkATwBOADoAIAAgACAAkiFDAHIAZQBhAHQAZQBzACAAYQBuACAAYQBtAG8AcgB0AGkAcwBhAHQAaQBvAG4AIABzAGMAaABlAGQAdQBsAGUAIABhAHIAcgBhAHkAIABmAG8AcgAgAG8AbgBlACAAbwByACAAbQBvAHIAZQAgAGwAbwBhAG4AcwAuALYAXAAiACAAJgBcAG4AIAAgACAAIAAgACAAIAAgACAAIAAgACAAIAAgACAAIAAgACAAIAAgACAAIAAgACAAIAAgACAAIAAgACAAIAAgACAAIAAgACAAIAAgACAAXAAiAJIhSQB0ACAAYQBzAHMAdQBtAGUAcwAgAGEAbABsACAAcABhAHkAbQBlAG4AdABzACAAYQByAGUAIABtAGEAZABlACAAbQBvAG4AdABoAGwAeQAuALYAXAAiACAAJgBcAG4AIAAgACAAIAAgACAAIAAgACAAIAAgACAAIAAgACAAIAAgACAAIAAgACAAIAAgACAAIAAgACAAIAAgACAAIAAgACAAIAAgACAAIAAgACAAXAAiAJIhVQBzAGUAIABMAGEAYgBsAGUAQQBtAG8AcgB0AGkAcwBlALsDKAApACAAdABvACAAYQBwAHAAbAB5ACAAbABhAGIAZQBsAHMAIAB0AG8AIAB0AGgAaQBzACAAZgB1AG4AYwB0AGkAbwBuACcAcwAgAHIAZQBzAHUAbAB0AHMAOgC2AFwAIgAgACYAIABcAG4AIAAgACAAIAAgACAAIAAgACAAIAAgACAAIAAgACAAIAAgACAAIAAgACAAIAAgACAAIAAgACAAIAAgACAAIAAgACAAIAAgACAAIAAgACAAXAAiAJIhVQBzAGUAIABTAHUAbQBBAG0AbwByAHQAaQBzAGUAuwMoACkAIAB0AG8AIABhAHAAcABsAHkAIAB0AG8AdABhAGwAcwAgAHQAbwAgAHQAaABpAHMAIABmAHUAbgBjAHQAaQBvAG4AJwBzACAAcgBlAHMAdQBsAHQAcwA6ALYAXAAiACAAJgAgAFwAbg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QAHIAaQBuAGMAaQBwAGEAbABzACAAIAAgACAAIACSISgAUgBlAHEAdQBpAHIAZQBkACkAIABMAG8AYQBuAC8AZABlAGIAdAAgAGEAbQBvAHUAbgB0AHMALgC2AFwAIgAgACYAIABcAG4AIAAgACAAIAAgACAAIAAgACAAIAAgACAAIAAgACAAIAAgACAAIAAgACAAIAAgACAAXAAiAEEAUABSAHMAIAAgACAAIAAgACAAIAAgACAAIAAgAJIhKABSAGUAcQB1AGkAcgBlAGQAKQAgAEEAbgBuAHUAYQBsACAAUABlAHIAYwBlAG4AdABhAGcAZQAgAFIAYQB0AGUAcwAgAGYAbwByACAAaQBuAHQAZQByAGUAcwB0AC4AtgBcACIAIAAmACAAXABuACAAIAAgACAAIAAgACAAIAAgACAAIAAgACAAIAAgACAAIAAgACAAIAAgACAAIAAgAFwAIgBUAGUAcgBtAHMAIAAgACAAIAAgACAAIAAgACAAIACSISgAUgBlAHEAdQBpAHIAZQBkACkAIABOAHUAbQBiAGUAcgAgAG8AZgAgAG0AbwBuAHQAaABzACAAZgBvAHIAIABsAG8AYQBuAHMALwBkAGUAYgB0AHMALgC2AFwAIgAgACYAIABcAG4AIAAgACAAIAAgACAAIAAgACAAIAAgACAAIAAgACAAIAAgACAAIAAgACAAIAAgACAAXAAiAFMAdABhAHIAdABEAGEAdABlAHMAIAAgACAAIAAgAJIhKABSAGUAcQB1AGkAcgBlAGQAKQAgAEQAYQB0AGUAcwAgAGQAZQBiAHQAcwAgAGEAcgBlACAAaQBzAHMAdQBlAGQALgC2AFwAIgAgACYAIABcAG4AIAAgACAAIAAgACAAIAAgACAAIAAgACAAIAAgACAAIAAgACAAIAAgACAAIAAgACAAXAAiAFQAaQBtAGUAbABpAG4AZQAgACAAIAAgACAAIAAgAJIhKABPAHAAdABpAG8AbgBhAGwAKQAgAEEAbgAgAGEAcgByAGEAeQAgAG8AZgAgAGQAYQB0AGUAcwAuACAASQBmACAAbwBtAGkAdAB0AGUAZAAsACAAYQAgAHIAbwB3ACAAbwBmACAAbQBvAG4AdABoAHMAIABzAHQAYQByAHQAaQBuAGcAIABvAG4AIABzAHQAYQByAHQAIABkAGEAdABlACAAdwBpAGwAbAAgAGIAZQAgAGEAZABkAGUAZAC2AFwAIgAgACYAIABcAG4AIAAgACAAIAAgACAAIAAgACAAIAAgACAAIAAgACAAIAAgACAAIAAgACAAIAAgACAAXAAiAEUAWABBAE0AUABMAEUAUwA6AJIhtgBcACIAIAAmACAAXABu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CAAIAAgACAAIAAgACAAIAAgACAAIABcACIAkiE9AG4AYQBiAGwAYQAuAGYALgBBAG0AbwByAHQAaQBzAGUAuwMoADEAMAAwADAAMAAsACAANQAlACwAIAA0ACAAKgAgADEAMgAsACAAXAAiAFwAIgAyADAAMgA1AC0AMAAxAC0AMAAxAFwAIgBcACIAKQBcACIALAAgAFwAbgAgACAAIAAgACAAIAAgACAAIAAgACAAIAAgACAAIAAgACAAIAAgACAAIAAgACAAIABcACIAkiFcACIALAAgAFwAIgC2AFwAIgAgACkAXABuACAAIAAgACAAIAAgACAAIAAgACAAIAAgACAAIAAgACAAIAAgACAAIAApACwAXABuACAAIAAgACAALwAvACAAIABDAG8AbgBzAHQAYQBuAHQAcwBcAG4AIAAgACAAIAAgACAAIAAgAE0AcABZACwAIAAgACAAIAAgACAAIAAgACAAIAAgACAAIAAgACAAIAAxADIALAAgACAAIAAgACAALwAvAE0AbwBuAHQAaABzACAAUABlAHIAIABZAGUAYQByAFwAbgAgACAAIAAgACAAIAAgACAAQQBEAHAATQAsACAAIAAgACAAIAAgACAAIAAgACAAIAAgACAAIAAgADMAMAAuADQAMgAsACAAIAAvAC8AQQB2AGUAcgBhAGcAZQAgAEQAYQB5AHMAIABQAGUAcgAgAE0AbwBuAHQAaABcAG4AIAAgACAAIABcAG4AIAAgACAAIAAvAC8AIAAgAEMAaABlAGMAawAgAGkAbgBwAHUAdABzACAALQAgAE8AbQBpAHQAdABlAGQAIAByAGUAcQB1AGkAcgBlAGQAIABhAHIAZwB1AG0AZQBuAHQAcwBcAG4AIAAgACAAIAAgACAAIAAgAEgAZQBsAHAAPwAsACAAIAAgACAAIAAgACAAIAAgACAAIAAgACAAIABPAFIAKAAgAEkAUwBPAE0ASQBUAFQARQBEACgAIABQAHIAaQBuAGMAaQBwAGEAbABzACkALABcAG4AIAAgACAAIAAgACAAIAAgACAAIAAgACAAIAAgACAAIAAgACAAIAAgACAAIAAgACAAIAAgACAAIAAgACAAIAAgAEkAUwBPAE0ASQBUAFQARQBEACgAIABBAFAAUgBzACkALABcAG4AIAAgACAAIAAgACAAIAAgACAAIAAgACAAIAAgACAAIAAgACAAIAAgACAAIAAgACAAIAAgACAAIAAgACAAIAAgAEkAUwBPAE0ASQBUAFQARQBEACgAIABUAGUAcgBtAHMAKQAsAFwAbgAgACAAIAAgACAAIAAgACAAIAAgACAAIAAgACAAIAAgACAAIAAgACAAIAAgACAAIAAgACAAIAAgACAAIAAgACAASQBTAE8ATQBJAFQAVABFAEQAKAAgAFMAdABhAHIAdABEAGEAdABlAHMAKQBcAG4AIAAgACAAIAAgACAAIAAgACAAIAAgACAAIAAgACAAIAAgACAAIAAgACAAIAAgACAAIAAgACAAIAApACwAXABuACAAIAAgACAAXABuACAAIAAgACAALwAvACAAIABTAGUAdAAgAGQAZQBmAGEAdQBsAHQAcwAgAGEAbgBkACAAYQBwAHAAbAB5ACAAYwBvAG4AdgBlAG4AaQBlAG4AYwBlACAAYwBvAG4AdgBlAHIAcwBpAG8AbgBzAFwAbgAgACAAIAAgACAAIAAgACAAVABpAG0AZQBsAGkAbgBlACwAIAAgACAAIAAgACAAIAAgACAAIAAgAEkARgAoACAASQBTAE8ATQBJAFQAVABFAEQAKAAgAFQAaQBtAGUAbABpAG4AZQApACwAIABcAG4AIAAgACAAIAAgACAAIAAgACAAIAAgACAAIAAgACAAIAAgACAAIAAgACAAIAAgACAAIAAgACAAIAAgACAAIAAgAEwARQBUACgAQwBvAHUAbgB0AGUAcgAsACAAIAAgACAAUgBPAFcAUwAoACAAUAByAGkAbgBjAGkAcABhAGwAcwApACwAXABuACAAIAAgACAAIAAgACAAIAAgACAAIAAgACAAIAAgACAAIAAgACAAIAAgACAAIAAgACAAIAAgACAAIAAgACAAIAAgACAAIAAgAE0AYQB4AEQAYQB0AGUALAAgACAAIAAgAE0AQQBYACgATQBBAFAAKAAgAEMAbwB1AG4AdABlAHIALABcAG4AIAAgACAAIAAgACAAIAAgACAAIAAgACAAIAAgACAAIAAgACAAIAAgACAAIAAgACAAIAAgACAAIAAgACAAIAAgACAAIAAgACAAIAAgACAAIAAgACAAIAAgACAAIAAgACAAIAAgACAAIAAgACAAIAAgAEwAQQBNAEIARABBACgAIABuACwAIABcAG4AIAAgACAAIAAgACAAIAAgACAAIAAgACAAIAAgACAAIAAgACAAIAAgACAAIAAgACAAIAAgACAAIAAgACAAIAAgACAAIAAgACAAIAAgACAAIAAgACAAIAAgACAAIAAgACAAIAAgACAAIAAgACAAIAAgACAAIAAgACAARQBEAEEAVABFACgAIABJAE4ARABFAFgAKAAgAFMAdABhAHIAdABEAGEAdABlAHMALAAgAG4AKQAsACAASQBOAEQARQBYACgAIABUAGUAcgBtAHMALAAgAG4AKQAgAC0AIAAxACkAKQApACkALABcAG4AIAAgACAAIAAgACAAIAAgACAAIAAgACAAIAAgACAAIAAgACAAIAAgACAAIAAgACAAIAAgACAAIAAgACAAIAAgACAAIAAgACAATQBpAG4ARABhAHQAZQAsACAAIAAgACAATQBJAE4AKAAgAFMAdABhAHIAdABEAGEAdABlAHMAKQAsACAAXABuACAAIAAgACAAIAAgACAAIAAgACAAIAAgACAAIAAgACAAIAAgACAAIAAgACAAIAAgACAAIAAgACAAIAAgACAAIAAgACAAIAAgAE0AYQB4AFQAZQByAG0ALAAgACAAIAAgAEQAQQBUAEUARABJAEYAKABNAGkAbgBEAGEAdABlACwAIABNAGEAeABEAGEAdABlACwAIABcACIATQBcACIAKQAgACsAIAAxACwAXABuACAAIAAgACAAIAAgACAAIAAgACAAIAAgACAAIAAgACAAIAAgACAAIAAgACAAIAAgACAAIAAgACAAIAAgACAAIAAgACAAIAAgAFIAZQBzAHUAbAB0ACwAIAAgACAAIAAgAEUARABBAFQARQAoACAATQBpAG4ARABhAHQAZQAsACAAUwBlAHEAdQBlAG4AYwBlACgAMQAsACAATQBhAHgAVABlAHIAbQAsACAAMAApACkALABcAG4AIAAgACAAIAAgACAAIAAgACAAIAAgACAAIAAgACAAIAAgACAAIAAgACAAIAAgACAAIAAgACAAIAAgACAAIAAgACAAIAAgACAAUgBlAHMAdQBsAHQAKQAsACAAXABuACAAIAAgACAAIAAgACAAIAAgACAAIAAgACAAIAAgACAAIAAgACAAIAAgACAAIAAgACAAIAAgACAAIAAgACAAIABUAGkAbQBlAGwAaQBuAGUAXABuACAAIAAgACAAIAAgACAAIAAgACAAIAAgACAAIAAgACAAIAAgACAAIAAgACAAIAAgACAAIAAgACAAKQAsAFwAbgAgACAAIAAgAC8ALwAgACAARABlAHQAZQByAG0AaQBuAGUAIAB0AGkAbQBlAGwAaQBuAGUAJwBzACAAaQBuAHQAZQByAHYAYQBsACAAKABsAGUAbgBnAHQAaAAgAG8AZgAgAHAAZQByAGkAbwBkAHMAKQAgAGEAbgBkACAAbwByAGkAZQBuAHQAYQB0AGkAbwBuACAAKABoAG8AcgBpAHoAbwBuAHQAYQBsACAAbwByACAAdgBlAHIAdABpAGMAYQBsACkAXABuACAAIAAgACAAIAAgACAAIABGAGkAcgBzAHQAUABlAHIAaQBvAGQALAAgACAAIAAgACAAIAAgACAASQBOAEQARQBYACgAIABUAGkAbQBlAGwAaQBuAGUALAAgADEAKQAsAFwAbgAgACAAIAAgACAAIAAgACAAUwBlAGMAbwBuAGQAUABlAHIAaQBvAGQALAAgACAAIAAgACAAIAAgAEkATgBEAEUAWAAoACAAVABJAG0AZQBsAGkAbgBlACwAIAAyACkALABcAG4AIAAgACAAIAAgACAAIAAgAE0AcABQACwAIAAgACAAIAAgACAAIAAgACAAIAAgACAAIAAgACAAIABAAFIATwBVAE4ARAAoACgAIABTAGUAYwBvAG4AZABQAGUAcgBpAG8AZAAgAC0AIABGAGkAcgBzAHQAUABlAHIAaQBvAGQAKQAgAC8AIABBAEQAcABNACwAIAAwACkALABcAG4AIAAgACAAIAAgACAAIAAgAFAAcABZACwAIAAgACAAIAAgACAAIAAgACAAIAAgACAAIAAgACAAIABNAHAAWQAgAC8AIABNAHAAUAAsAFwAbgBcAG4AIAAgACAAIAAvAC8AIAAgAFIAZQBjAHUAcgBzAGkAdgBlACAAZgB1AG4AYwB0AGkAbwBuACAAKABmAG4AKQAgAGQAZQBmAGkAbgBpAHQAaQBvAG4AXABuACAAIAAgACAAIAAgACAAIABSAGUAYwB1AHIAcwBpAG8AbgAsACAAXABuACAAIAAgACAAIAAgACAAIAAgACAAIAAgAEwAQQBNAEIARABBACgAIABmAG4ALAAgAFAAcgBpAG4AYwBpAHAAYQBsAHMALAAgAEEAUABSAHMALAAgAFQAZQByAG0AcwAsACAAUwB0AGEAcgB0AEQAYQB0AGUAcwAsACAAVABpAG0AZQBsAGkAbgBlACwAIABBAHMAcwBlAHQALABcAG4AIAAgACAAIAAgACAAIAAgACAAIAAgACAAIAAgACAAIABMAEUAVAAoAFwAbgAgACAAIAAgACAAIAAgACAAIAAgACAAIAAgACAAIAAgAC8ALwAgACAAQwByAGUAYQB0AGUAIABpAG4AZABpAHYAaQBkAHUAYQBsACAAVgBhAGwAdQBlAHMAIABmAHIAbwBtACAAYQByAHIAYQB5AFwAbgAgACAAIAAgACAAIAAgACAAIAAgACAAIAAgACAAIAAgACAAIAAgACAAUAByAGkAbgBjAGkAcABhAGwALAAgACAAIAAgACAAIAAgACAAIAAgAEkATgBEAEUAWAAoACAAUAByAGkAbgBjAGkAcABhAGwAcwAsACAAQQBzAHMAZQB0ACkALAAgAFwAbgAgACAAIAAgACAAIAAgACAAIAAgACAAIAAgACAAIAAgACAAIAAgACAAQQBQAFIALAAgACAAIAAgACAAIAAgACAAIAAgACAAIAAgACAAIAAgAEkATgBEAEUAWAAoACAAQQBQAFIAcwAsACAAQQBzAHMAZQB0ACkALAAgAFwAbgAgACAAIAAgACAAIAAgACAAIAAgACAAIAAgACAAIAAgACAAIAAgACAAVABlAHIAbQAsACAAIAAgACAAIAAgACAAIAAgACAAIAAgACAAIAAgAEkATgBEAEUAWAAoACAAVABlAHIAbQBzACwAIABBAHMAcwBlAHQAKQAsACAAIABcAG4AIAAgACAAIAAgACAAIAAgACAAIAAgACAAIAAgACAAIAAgACAAIAAgAFMAdABhAHIAdABEAGEAdABlACwAIAAgACAAIAAgACAAIAAgACAAIABJAE4ARABFAFgAKAAgAFMAdABhAHIAdABEAGEAdABlAHMALAAgAEEAcwBzAGUAdAApACwAIABcAG4AXABuACAAIAAgACAAIAAgACAAIAAgACAAIAAgACAAIAAgACAALwAvACAAIABBAGQAagB1AHMAdAAgAGkAbgBwAHUAdABzACAAdABvACAAbQBhAHQAYwBoACAAdABpAG0AZQBsAGkAbgBlAFwAbgAgACAAIAAgACAAIAAgACAAIAAgACAAIAAgACAAIAAgACAAIAAgACAAUABlAHIAaQBvAGQAcwAsACAAIAAgACAAIAAgACAAIAAgACAAIAAgAFIATwBVAE4ARABVAFAAKABUAGUAcgBtACAALwAgAE0AcABQACwAIAAwACkALABcAG4AIAAgACAAIAAgACAAIAAgACAAIAAgACAAIAAgACAAIAAgACAAIAAgAFIAbwB3AHMALAAgACAAIAAgACAAIAAgACAAIAAgACAAIAAgACAAIAAxACwAXABuACAAIAAgACAAIAAgACAAIAAgACAAIAAgACAAIAAgACAAIAAgACAAIABDAG8AbABzACwAIAAgACAAIAAgACAAIAAgACAAIAAgACAAIAAgACAAUABlAHIAaQBvAGQAcwAsAFwAbgBcAG4AIAAgACAAIAAgACAAIAAgACAAIAAgACAAIAAgACAAIAAvAC8AIAAgAEMAYQBsAGMAdQBsAGEAdABlACAAZgBvAHIAIABlAGEAYwBoACAAbQBvAG4AdABoAFwAbgAgACAAIAAgACAAIAAgACAAIAAgACAAIAAgACAAIAAgACAAIAAgACAAUgBhAHQAZQAsACAAIAAgACAAIAAgACAAIAAgACAAIAAgACAAIAAgAEEAUABSACAALwAgAE0AcABZACwAXABuACAAIAAgACAAIAAgACAAIAAgACAAIAAgACAAIAAgACAAIAAgACAAIABNAG8AbgB0AGgAbAB5AFAAYQB5AG0AZQBuAHQALAAgACAAIAAgACAAUABNAFQAKAAgAFIAYQB0AGUALAAgAFQAZQByAG0ALAAgAFAAcgBpAG4AYwBpAHAAYQBsACkALAAgACAAIAAgAFwAbgAgACAAIAAgACAAIAAgACAAIAAgACAAIAAgACAAIAAgACAAIAAgACAATQBvAG4AdABoAGwAeQBQAHIAaQBuAGMAaQBwAGEAbAAsACAAIAAgAC0ARgBWACgAUgBhAHQAZQAsACAAUwBFAFEAVQBFAE4AQwBFACgAIAAxACwAIABUAGUAcgBtACwAIAAwACkALAAgAE0AbwBuAHQAaABsAHkAUABhAHkAbQBlAG4AdAAsACAAUAByAGkAbgBjAGkAcABhAGwAKQAsAFwAbgAgACAAIAAgACAAIAAgACAAIAAgACAAIAAgACAAIAAgACAAIAAgACAATQBvAG4AdABoAGwAeQBJAG4AdABlAHIAZQBzAHQALAAgACAAIAAgAE0AbwBuAHQAaABsAHkAUAByAGkAbgBjAGkAcABhAGwAIAAqACAAUgBhAHQAZQAsAFwAbgBcAG4AIAAgACAAIAAgACAAIAAgACAAIAAgACAAIAAgACAAIAAvAC8AIAAgAEMAbwBuAHYAZQByAHQAIAB0AG8AIABUAGkAbQBlAGwAaQBuAGUAIABQAGUAcgBpAG8AZABzAFwAbgAgACAAIAAgACAAIAAgACAAIAAgACAAIAAgACAAIAAgACAAIAAgACAARABlAGIAdABJAHMAcwB1AGUAQQByAHIAYQB5ACwAIAAgACAAIAAgAEUAWABQAEEATgBEACgAUAByAGkAbgBjAGkAcABhAGwALAAgADEALAAgAFAAZQByAGkAbwBkAHMALAAgADAAKQAsAFwAbgAgACAAIAAgACAAIAAgACAAIAAgACAAIAAgACAAIAAgACAAIAAgACAAUAByAGkAbgBjAGkAcABhAGwAQQByAHIAYQB5ACwAIAAgACAAIAAgAEkARgAoACAATQBwAFAAIAA9ACAAMQAsACAAXABuACAAIAAgACAAIAAgACAAIAAgACAAIAAgACAAIAAgACAAIAAgACAAIAAgACAAIAAgACAAIAAgACAAIAAgACAAIAAgACAAIAAgACAAIAAgACAAIAAgACAAIABNAG8AbgB0AGgAbAB5AFAAcgBpAG4AYwBpAHAAYQBsACwAIABcAG4AIAAgACAAIAAgACAAIAAgACAAIAAgACAAIAAgACAAIAAgACAAIAAgACAAIAAgACAAIAAgACAAIAAgACAAIAAgACAAIAAgACAAIAAgACAAIAAgACAAIAAgAE0AQQBLAEUAQQBSAFIAQQBZACgAIAAxACwAIABQAGUAcgBpAG8AZABzACwAIABcAG4AIAAgACAAIAAgACAAIAAgACAAIAAgACAAIAAgACAAIAAgACAAIAAgACAAIAAgACAAIAAgACAAIAAgACAAIAAgACAAIAAgACAAIAAgACAAIAAgACAAIAAgACAAIAAgACAATABBAE0AQgBEAEEAKABSACwAIABDACwAIABcAG4AIAAgACAAIAAgACAAIAAgACAAIAAgACAAIAAgACAAIAAgACAAIAAgACAAIAAgACAAIAAgACAAIAAgACAAIAAgACAAIAAgACAAIAAgACAAIAAgACAAIAAgACAAIAAgACAAIAAgACAAIABMAEUAVAAoAEkAZAB4ACwAIAAoAEMAIAAtACAAMQApACAAKgAgAE0AcABQACAAKwAgADEALAAgAFwAbgAgACAAIAAgACAAIAAgACAAIAAgACAAIAAgACAAIAAgACAAIAAgACAAIAAgACAAIAAgACAAIAAgACAAIAAgACAAIAAgACAAIAAgACAAIAAgACAAIAAgACAAIAAgACAAIAAgACAAIAAgACAAIAAgACAASQBOAEQARQBYACgAIABNAG8AbgB0AGgAbAB5AFAAcgBpAG4AYwBpAHAAYQBsACwAIABJAGQAeAApAFwAbgAgACAAIAAgACAAIAAgACAAIAAgACAAIAAgACAAIAAgACAAIAAgACAAIAAgACAAIAAgACAAIAAgACAAIAAgACAAIAAgACAAIAAgACAAIAAgACAAIAAgACAAIAAgACAAIAAgACAAIAAgACkAXABuACAAIAAgACAAIAAgACAAIAAgACAAIAAgACAAIAAgACAAIAAgACAAIAAgACAAIAAgACAAIAAgACAAIAAgACAAIAAgACAAIAAgACAAIAAgACAAIAAgACAAIAAgACAAIAAgACkAXABuACAAIAAgACAAIAAgACAAIAAgACAAIAAgACAAIAAgACAAIAAgACAAIAAgACAAIAAgACAAIAAgACAAIAAgACAAIAAgACAAIAAgACAAIAAgACAAIAAgACAAIAApAFwAbgAgACAAIAAgACAAIAAgACAAIAAgACAAIAAgACAAIAAgACAAIAAgACAAIAAgACAAIAAgACAAIAAgACAAIAAgACAAIAAgACAAIAAgACAAIAAgACkALAAgACAAIAAgAFwAbgAgACAAIAAgACAAIAAgACAAIAAgACAAIAAgACAAIAAgACAAIAAgACAASQBuAHQAZQByAGUAcwB0AEEAcgByAGEAeQAsACAAIAAgACAAIAAgAEkARgAoACAATQBwAFAAIAA9ACAAMQAsACAAXABuACAAIAAgACAAIAAgACAAIAAgACAAIAAgACAAIAAgACAAIAAgACAAIAAgACAAIAAgACAAIAAgACAAIAAgACAAIAAgACAAIAAgACAAIAAgACAAIAAgACAAIABNAG8AbgB0AGgAbAB5AEkAbgB0AGUAcgBlAHMAdAAsAFwAbgAgACAAIAAgACAAIAAgACAAIAAgACAAIAAgACAAIAAgACAAIAAgACAAIAAgACAAIAAgACAAIAAgACAAIAAgACAAIAAgACAAIAAgACAAIAAgACAAIAAgACAATABFAFQAKAAgAFwAbgAgACAAIAAgACAAIAAgACAAIAAgACAAIAAgACAAIAAgACAAIAAgACAAIAAgACAAIAAgACAAIAAgACAAIAAgACAAIAAgACAAIAAgACAAIAAgACAAIAAgACAAIAAgACAAIABNAG8ASQBuAHQALAAgACAARQBYAFAAQQBOAEQAKAAgAE0AbwBuAHQAaABsAHkASQBuAHQAZQByAGUAcwB0ACwAIAAxACwAIABSAE8AVQBOAEQAVQBQACgAIABUAGUAcgBtAC8AIABNAHAAcAAsACAAMAApACAAKgAgAE0AcABwACwAIAAwACkALAAgAFwAbgAgACAAIAAgACAAIAAgACAAIAAgACAAIAAgACAAIAAgACAAIAAgACAAIAAgACAAIAAgACAAIAAgACAAIAAgACAAIAAgACAAIAAgACAAIAAgACAAIAAgACAAIAAgACAAIABNAEEASwBFAEEAUgBSAEEAWQAoACAAMQAsACAAUABlAHIAaQBvAGQAcwAsACAAXABuACAAIAAgACAAIAAgACAAIAAgACAAIAAgACAAIAAgACAAIAAgACAAIAAgACAAIAAgACAAIAAgACAAIAAgACAAIAAgACAAIAAgACAAIAAgACAAIAAgACAAIAAgACAAIAAgACAAIAAgACAATABBAE0AQgBEAEEAKABSACwAIABDACwAIABcAG4AIAAgACAAIAAgACAAIAAgACAAIAAgACAAIAAgACAAIAAgACAAIAAgACAAIAAgACAAIAAgACAAIAAgACAAIAAgACAAIAAgACAAIAAgACAAIAAgACAAIAAgACAAIAAgACAAIAAgACAAIAAgACAAIAAgACAAIAAgACAATABFAFQAKABJAGQAeAAsACAAKABDACAALQAgADEAKQAgACoAIABNAHAAUAAgACsAIAAxACwAXABuACAAIAAgACAAIAAgACAAIAAgACAAIAAgACAAIAAgACAAIAAgACAAIAAgACAAIAAgACAAIAAgACAAIAAgACAAIAAgACAAIAAgACAAIAAgACAAIAAgACAAIAAgACAAIAAgACAAIAAgACAAIAAgACAAIAAgACAAIAAgACAAIAAgACAAUwBVAE0AKAAgAEMASABPAE8AUwBFAEMATwBMAFMAKABNAG8ASQBuAHQALAAgAFMARQBRAFUARQBOAEMARQAoADEALAAgAE0AcABQACwAIABJAGQAeAApACkAKQBcAG4AIAAgACAAIAAgACAAIAAgACAAIAAgACAAIAAgACAAIAAgACAAIAAgACAAIAAgACAAIAAgACAAIAAgACAAIAAgACAAIAAgACAAIAAgACAAIAAgACAAIAAgACAAIAAgACAAIAAgACAAIAAgACAAIAAgACAAIAAgACAAKQBcAG4AIAAgACAAIAAgACAAIAAgACAAIAAgACAAIAAgACAAIAAgACAAIAAgACAAIAAgACAAIAAgACAAIAAgACAAIAAgACAAIAAgACAAIAAgACAAIAAgACAAIAAgACAAIAAgACAAIAAgACAAIAApAFwAbgAgACAAIAAgACAAIAAgACAAIAAgACAAIAAgACAAIAAgACAAIAAgACAAIAAgACAAIAAgACAAIAAgACAAIAAgACAAIAAgACAAIAAgACAAIAAgACAAIAAgACAAIAAgACAAIAApAFwAbgAgACAAIAAgACAAIAAgACAAIAAgACAAIAAgACAAIAAgACAAIAAgACAAIAAgACAAIAAgACAAIAAgACAAIAAgACAAIAAgACAAIAAgACAAIAAgACAAIAAgACAAKQBcAG4AIAAgACAAIAAgACAAIAAgACAAIAAgACAAIAAgACAAIAAgACAAIAAgACAAIAAgACAAIAAgACAAIAAgACAAIAAgACAAIAAgACAAIAAgACAAIAApACwAIAAgACAAIABcAG4AIAAgACAAIAAgACAAIAAgACAAIAAgACAAIAAgACAAIAAgACAAIAAgAFAAYQB5AG0AZQBuAHQAQQByAHIAYQB5ACwAIAAgACAAIAAgACAAIABMAEUAVAAoAE0AbwBQAG0AdAAsACAAIABFAFgAUABBAE4ARAAoACAAUwBFAFEAVQBFAE4AQwBFACgAMQAsACAAVABlAHIAbQAsACAATQBvAG4AdABoAGwAeQBQAGEAeQBtAGUAbgB0ACwAIAAwACkALAAgADEALAAgAFIATwBVAE4ARABVAFAAKAAgAFQAZQByAG0ALwAgAE0AcABwACwAIAAwACkAIAAqACAATQBwAHAALAAgADAAKQAsACAAXABuACAAIAAgACAAIAAgACAAIAAgACAAIAAgACAAIAAgACAAIAAgACAAIAAgACAAIAAgACAAIAAgACAAIAAgACAAIAAgACAAIAAgACAAIAAgACAAIAAgACAAIABNAEEASwBFAEEAUgBSAEEAWQAoACAAMQAsACAAUABlAHIAaQBvAGQAcwAsACAAXABuACAAIAAgACAAIAAgACAAIAAgACAAIAAgACAAIAAgACAAIAAgACAAIAAgACAAIAAgACAAIAAgACAAIAAgACAAIAAgACAAIAAgACAAIAAgACAAIAAgACAAIAAgACAAIAAgAEwAQQBNAEIARABBACgAUgAsACAAQwAsACAAXABuACAAIAAgACAAIAAgACAAIAAgACAAIAAgACAAIAAgACAAIAAgACAAIAAgACAAIAAgACAAIAAgACAAIAAgACAAIAAgACAAIAAgACAAIAAgACAAIAAgACAAIAAgACAAIAAgACAAIAAgACAAIAAgACAAIABMAEUAVAAoAEkAZAB4ACwAIAAoAEMAIAAtACAAMQApACAAKgAgAE0AcABQACAAKwAgADEALABcAG4AIAAgACAAIAAgACAAIAAgACAAIAAgACAAIAAgACAAIAAgACAAIAAgACAAIAAgACAAIAAgACAAIAAgACAAIAAgACAAIAAgACAAIAAgACAAIAAgACAAIAAgACAAIAAgACAAIAAgACAAIAAgACAAIAAgACAAIAAgACAAUwBVAE0AKAAgAEMASABPAE8AUwBFAEMATwBMAFMAKABNAG8AUABtAHQALAAgAFMARQBRAFUARQBOAEMARQAoADEALAAgAE0AcABQACwAIABJAGQAeAApACkAKQBcAG4AIAAgACAAIAAgACAAIAAgACAAIAAgACAAIAAgACAAIAAgACAAIAAgACAAIAAgACAAIAAgACAAIAAgACAAIAAgACAAIAAgACAAIAAgACAAIAAgACAAIAAgACAAIAAgACAAIAAgACAAIAAgACAAIAAgACkAXABuACAAIAAgACAAIAAgACAAIAAgACAAIAAgACAAIAAgACAAIAAgACAAIAAgACAAIAAgACAAIAAgACAAIAAgACAAIAAgACAAIAAgACAAIAAgACAAIAAgACAAIAAgACAAIAAgACkAXABuACAAIAAgACAAIAAgACAAIAAgACAAIAAgACAAIAAgACAAIAAgACAAIAAgACAAIAAgACAAIAAgACAAIAAgACAAIAAgACAAIAAgACAAIAAgACAAIAAgACAAIAApAFwAbgBcAG4AIAAgACAAIAAgACAAIAAgACAAIAAgACAAIAAgACAAIAAgACAAIAAgACAAIAAgACAAIAAgACAAIAAgACAAIAAgACAAIAAgACAAIAAgACAAIAApACwAIABcAG4AIAAgACAAIAAgACAAIAAgACAAIAAgACAAIAAgACAAIAAgACAAIAAgAEMAbABvAHMAaQBuAGcAQQByAHIAYQB5ACwAIAAgACAAIAAgACAAIABQAHIAaQBuAGMAaQBwAGEAbABBAHIAcgBhAHkAIAArACAASQBuAHQAZQByAGUAcwB0AEEAcgByAGEAeQAgACsAIABQAGEAeQBtAGUAbgB0AEEAcgByAGEAeQAsAFwAbgAgACAAIAAgACAAIAAgACAAIAAgACAAIAAgACAAIAAgACAAIAAgACAAUABvAHIAdABpAG8AbgBBAHIAcgBhAHkALAAgACAAIAAgACAAIAAgAC0AUABhAHkAbQBlAG4AdABBAHIAcgBhAHkAIAAtACAASQBuAHQAZQByAGUAcwB0AEEAcgByAGEAeQAsACAAIAAgACAAXABuACAAIAAgACAAIAAgACAAIAAgACAAIAAgACAAIAAgACAAIAAgACAAIABBAG0AbwByAHQAaQBzAGEAdABpAG8AbgBTAGMAaABlAGQALAAgACAAVgBTAFQAQQBDAEsAKABcAG4AIAAgACAAIAAgACAAIAAgACAAIAAgACAAIAAgACAAIAAgACAAIAAgACAAIAAgACAAIAAgACAAIAAgACAAIAAgACAAIAAgACAAIAAgACAAIAAgACAAIAAgAEQAZQBiAHQASQBzAHMAdQBlAEEAcgByAGEAeQAsACAAXABuACAAIAAgACAAIAAgACAAIAAgACAAIAAgACAAIAAgACAAIAAgACAAIAAgACAAIAAgACAAIAAgACAAIAAgACAAIAAgACAAIAAgACAAIAAgACAAIAAgACAAIABQAHIAaQBuAGMAaQBwAGEAbABBAHIAcgBhAHkALAAgAFwAbgAgACAAIAAgACAAIAAgACAAIAAgACAAIAAgACAAIAAgACAAIAAgACAAIAAgACAAIAAgACAAIAAgACAAIAAgACAAIAAgACAAIAAgACAAIAAgACAAIAAgACAASQBuAHQAZQByAGUAcwB0AEEAcgByAGEAeQAsACAAXABuACAAIAAgACAAIAAgACAAIAAgACAAIAAgACAAIAAgACAAIAAgACAAIAAgACAAIAAgACAAIAAgACAAIAAgACAAIAAgACAAIAAgACAAIAAgACAAIAAgACAAIABQAGEAeQBtAGUAbgB0AEEAcgByAGEAeQAsACAAXABuACAAIAAgACAAIAAgACAAIAAgACAAIAAgACAAIAAgACAAIAAgACAAIAAgACAAIAAgACAAIAAgACAAIAAgACAAIAAgACAAIAAgACAAIAAgACAAIAAgACAAIABDAGwAbwBzAGkAbgBnAEEAcgByAGEAeQAsACAAXABuACAAIAAgACAAIAAgACAAIAAgACAAIAAgACAAIAAgACAAIAAgACAAIAAgACAAIAAgACAAIAAgACAAIAAgACAAIAAgACAAIAAgACAAIAAgACAAIAAgACAAIABQAG8AcgB0AGkAbwBuAEEAcgByAGEAeQApACwAXABuACAAIAAgACAAIAAgACAAIAAgACAAIAAgACAAIAAgACAALwAvACAAIABQAG8AcwBpAHQAaQBvAG4AIABpAG4AIAB0AGkAbQBlAGwAaQBuAGUAXABuACAAIAAgACAAIAAgACAAIAAgACAAIAAgACAAIAAgACAAIAAgACAAIABPAGYAZgBzAGUAdAAsACAAIAAgACAAIAAgACAAIAAgACAAIAAgACAAVABpAG0AZQBsAGkAbgBlAE8AZgBmAHMAZQB0ALsDKABTAHQAYQByAHQARABhAHQAZQAsACAAVABpAG0AZQBsAGkAbgBlACkALABcAG4AIAAgACAAIAAgACAAIAAgACAAIAAgACAAIAAgACAAIAAgACAAIAAgAE4AZQB3AEIAbABvAGMAawAsACAAIAAgACAAIAAgACAAIAAgACAAIABUAGkAbQBlAGwAaQBuAGUAUABvAHMAaQB0AGkAbwBuALsDKABBAG0AbwByAHQAaQBzAGEAdABpAG8AbgBTAGMAaABlAGQALAAgAFQAaQBtAGUAbABpAG4AZQAsACAATwBmAGYAcwBlAHQAKQAsAFwAbgAgACAAIAAgACAAIAAgACAAIAAgACAAIAAgACAAIAAgACAAIAAgACAAUgBlAHMAdQBsAHQALAAgACAAIAAgACAAIAAgACAAIAAgACAAIAAgAEkARgAoACAAQQBzAHMAZQB0ACAAPQAgAFIATwBXAFMAKAAgAFAAcgBpAG4AYwBpAHAAYQBsAHMAKQAsACAAXABuACAAIAAgACAAIAAgACAAIAAgACAAIAAgACAAIAAgACAAIAAgACAAIAAgACAAIAAgACAAIAAgACAAIAAgACAAIAAgACAAIAAgACAAIAAgACAAIAAgACAAIABOAGUAdwBCAGwAbwBjAGsALABcAG4AIAAgACAAIAAgACAAIAAgACAAIAAgACAAIAAgACAAIAAgACAAIAAgACAAIAAgACAAIAAgACAAIAAgACAAIAAgACAAIAAgACAAIAAgACAAIAAgACAAIAAgAFYAUwBUAEEAQwBLACgAXABuACAAIAAgACAAIAAgACAAIAAgACAAIAAgACAAIAAgACAAIAAgACAAIAAgACAAIAAgACAAIAAgACAAIAAgACAAIAAgACAAIAAgACAAIAAgACAAIAAgACAAIAAgACAAIAAgAE4AZQB3AEIAbABvAGMAawAsAFwAbgAgACAAIAAgACAAIAAgACAAIAAgACAAIAAgACAAIAAgACAAIAAgACAAIAAgACAAIAAgACAAIAAgACAAIAAgACAAIAAgACAAIAAgACAAIAAgACAAIAAgACAAIAAgACAAIABFAFgAUABBAE4ARAAoAHsAXAAiACAAXAAiAH0ALAAgADEALAAgAEMATwBVAE4AVABBACgAVABpAG0AZQBsAGkAbgBlACkALAAgAFwAIgAgAFwAIgApACwAXABuACAAIAAgACAAIAAgACAAIAAgACAAIAAgACAAIAAgACAAIAAgACAAIAAgACAAIAAgACAAIAAgACAAIAAgACAAIAAgACAAIAAgACAAIAAgACAAIAAgACAAIAAgACAAIAAgAGYAbgAoACAAZgBuACwAIABQAHIAaQBuAGMAaQBwAGEAbABzACwAIABBAFAAUgBzACwAIABUAGUAcgBtAHMALAAgAFMAdABhAHIAdABEAGEAdABlAHMALAAgAFQAaQBtAGUAbABpAG4AZQAsACAAQQBzAHMAZQB0ACAAKwAgADEAKQBcAG4AIAAgACAAIAAgACAAIAAgACAAIAAgACAAIAAgACAAIAAgACAAIAAgACAAIAAgACAAIAAgACAAIAAgACAAIAAgACAAIAAgACAAIAAgACAAIAAgACAAIAAgACkAXABuACAAIAAgACAAIAAgACAAIAAgACAAIAAgACAAIAAgACAAIAAgACAAIAAgACAAIAAgACAAIAAgACAAIAAgACAAIAAgACAAIAAgACAAIAAgACAAKQAsAFwAbgAgACAAIAAgACAAIAAgACAAIAAgACAAIAAgACAAIAAgACAAIAAgACAAUgBlAHMAdQBsAHQAXABuACAAIAAgACAAIAAgACAAIAAgACAAIAAgACAAIAAgACAAKQAgACAAIABcAG4AIAAgACAAIAAgACAAIAAgACAAIAAgACAAKQAsACAAIAAgACAAXABuACAAIAAgACAAIAAgACAAIABSAGUAcwB1AGwAdAAsACAAIAAgACAAIABSAGUAYwB1AHIAcwBpAG8AbgAoACAAUgBlAGMAdQByAHMAaQBvAG4ALAAgAFAAcgBpAG4AYwBpAHAAYQBsAHMALAAgAEEAUABSAHMALAAgAFQAZQByAG0AcwAsACAAUwB0AGEAcgB0AEQAYQB0AGUAcwAsACAAVABpAG0AZQBsAGkAbgBlACwAIAAxACkALABcAG4AIAAgACAAIAAvAC8AIAAgAFIAZQB0AHUAcgBuACAAUgBlAHMAdQBsAHQAXABuACAAIAAgACAAIAAgACAAIABDAEgATwBPAFMARQAoAEgAZQBsAHAAPwAgACsAIAAxACwAIABSAGUAcwB1AGwAdAAsACAASABlAGwAcAApAFwAbgAgACAAIAAgACkAIABcAG4AKQA7AFwAbgBcAG4AXABuAC8AKgAgACAARgBVAE4AQwBUAEkATwBOACAATgBBAE0ARQA6ACAAIABMAGEAYgBlAGwAQQBtAG8AcgB0AGkAcwBlALsDXABuACAAIAAgACAARABFAFMAQwBSAEkAUABUAEkATwBOADoAKgAvAC8AKgAqAEMAcgBlAGEAdABlACAAbABhAGIAZQBsAHMAIABmAG8AcgAgAEEAbQBvAHIAdABpAHMAZQC7AyoALwBcAG4ATABhAGIAZQBsAEEAbQBvAHIAdABpAHMAZQC7AyAAPQAgAEwAQQBNAEIARABBACgAXABuAC8ALwAgACAAUABhAHIAYQBtAGUAdABlAHIAIABEAGUAYwBsAGEAcgBhAHQAaQBvAG4AcwBcAG4AIAAgACAAIABbAEwAbwBhAG4ATgBhAG0AZQBzAF0ALAAgACAAXABuACAAIAAgACAAWwBMAG8AYQBuAEEAbQBvAHUAbgB0AHMAXQAsACAAIABcAG4AIAAgACAAIABbAEwAbwBhAG4AQQBQAFIAcwBdACwAIAAgAFwAbgAgACAAIAAgAFsATABvAGEAbgBUAGUAcgBtAHMAXQAsACA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MAGEAYgBlAGwAQQBtAG8AcgB0AGkAcwBlALsDKABbAEwAbwBhAG4ATgBhAG0AZQBzAF0AKQC2AFwAIgAgACYAXABuACAAIAAgACAAIAAgACAAIAAgACAAIAAgACAAIAAgACAAIAAgACAAIAAgACAAIAAgACAAIAAgACAAXAAiAEQARQBTAEMAUgBJAFAAVABJAE8ATgA6ACAAIAAgAJIhQwByAGUAYQB0AGUAIAByAG8AdwAgAGwAYQBiAGUAbABzACAAZgBvAHIAIAB0AGgAZQAgAGEAbQBvAHIAdABpAHMAYQB0AGkAbwBuACAAcwBjAGgAZQBkAHUAbABlACAAYQByAHIAYQB5ACAAcAByAG8AZAB1AGMAZQBkACAAYgB5ACAAQQBtAG8AcgB0AGkAcwBlALsDtgBcACIAIAAmACAAXABuACAAIAAgACA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wAbwBhAG4ATgBhAG0AZQBzACAAIAAgACAAIACSISgAUgBlAHEAdQBpAHIAZQBkACkAIABOAGEAbQBlAHMAIABvAHIAIABkAGUAcwBjAHIAaQBwAHQAaQBvAG4AcwAgAG8AZgAgAGUAYQBjAGgAIABsAG8AYQBuACAAaQBuACAAdABoAGUAIABhAG0AbwByAHQAaQBzAGEAdABpAG8AbgAgAHMAYwBoAGUAZAB1AGwAZQAgAHAAcgBvAGQAdQBjAGUAZAAgAGIAeQAgAEEAbQBvAHIAdABpAHMAZQC7A7YAXAAiACAAJgAgACAAIAAgACAAIAAgACAAIAAgACAAIAAgACAAIAAgACAAIABcAG4AIAAgACAAIAAgACAAIAAgACAAIAAgACAAIAAgACAAIAAgACAAIAAgACAAIAAgACAAIAAgACAAIABcACIATABvAGEAbgBBAG0AbwB1AG4AdABzACAAIAAgAJIhKABPAHAAdABpAG8AbgBhAGwAKQAgAEEAbQBvAHUAbgB0ACAAYgBvAHIAcgBvAHcAZQBkALYAXAAiACAAJgAgACAAIAAgACAAIAAgACAAIAAgACAAIAAgACAAIAAgACAAIABcAG4AIAAgACAAIAAgACAAIAAgACAAIAAgACAAIAAgACAAIAAgACAAIAAgACAAIAAgACAAIAAgACAAIABcACIATABvAGEAbgBBAFAAUgAgACAAIAAgACAAIAAgAJIhKABPAHAAdABpAG8AbgBhAGwAKQAgAEEAbgBuAHUAYQBsACAAUABlAHIAYwBlAG4AdABhAGcAZQAgAEkAbgB0AGUAcgBlAHMAdAAgAFIAYQB0AGUAtgBcACIAIAAmACAAIAAgACAAIAAgACAAIAAgACAAIAAgACAAIAAgACAAIAAgAFwAbgAgACAAIAAgACAAIAAgACAAIAAgACAAIAAgACAAIAAgACAAIAAgACAAIAAgACAAIAAgACAAIAAgAFwAIgBMAG8AYQBuAFQAZQByAG0AIAAgACAAIAAgACAAkiEoAE8AcAB0AGkAbwBuAGEAbAApACAATgB1AG0AYgBlAHIAIABvAGYAIABtAG8AbgB0AGgAcwAgAHQAbwAgAHIAZQBwAGEAeQC2AFwAIgAgACY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CAAIAAgACAAIAAgACAAIAAgACAAIAAgACAAIAAgAFwAIgCSIT0AbgBhAGIAbABhAC4AZgAuAEwAYQBiAGUAbABBAG0AbwByAHQAaQBzAGUAuwMoAHQAYgBsAEwAbwBhAG4AcwBbAEwAbwBhAG4AIABOAGEAbQBlAF0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HIAZQBxAHUAaQByAGUAZAAgAGkAbgBwAHUAdABzACAALQAgAE8AbQBpAHQAdABlAGQAIAByAGUAcQB1AGkAcgBlAGQAIABhAHIAZwB1AG0AZQBuAHQAcwBcAG4AIAAgACAAIAAgACAAIAAgAEgAZQBsAHAAPwAsACAAIAAgACAAIAAgACAAIAAgACAASQBTAE8ATQBJAFQAVABFAEQAKAAgAEwAbwBhAG4ATgBhAG0AZQBzACkALABcAG4AIAAgACAAIAAvAC8AIAAgAEMAaABlAGMAawAgAG8AcAB0AGkAbwBuAGEAbAAgAGkAbgBwAHUAdABzAFwAbgAgACAAIAAgACAAIAAgACAATwBwAHQAaQBvAG4AYQBsAHMALAAgACAAIAAgACAAIABOAE8AVAAoACAATwBSACgAIABcAG4AIAAgACAAIAAgACAAIAAgACAAIAAgACAAIAAgACAAIAAgACAAIAAgACAAIAAgACAAIAAgACAAIABJAFMATwBNAEkAVABUAEUARAAoACAATABvAGEAbgBBAG0AbwB1AG4AdABzACkALAAgAFwAbgAgACAAIAAgACAAIAAgACAAIAAgACAAIAAgACAAIAAgACAAIAAgACAAIAAgACAAIAAgACAAIAAgAEkAUwBPAE0ASQBUAFQARQBEACgAIABMAG8AYQBuAEEAUABSAHMAKQAsACAAXABuACAAIAAgACAAIAAgACAAIAAgACAAIAAgACAAIAAgACAAIAAgACAAIAAgACAAIAAgACAAIAAgACAASQBTAE8ATQBJAFQAVABFAEQAKAAgAEwAbwBhAG4AVABlAHIAbQBzACkAXABuACAAIAAgACAAIAAgACAAIAAgACAAIAAgACAAIAAgACAAIAAgACAAIAAgACAAIAAgACkAKQAsAFwAbgAgACAAIAAgAC8ALwAgACAAUAByAG8AYwBlAGQAdQByAGUAXABuACAAIAAgACAAIAAgACAAIABSAGUAcwB1AGwAdAAsACAAIAAgACAAIAAgACAAIAAgAFIARQBEAFUAQwBFACgAIABcACIAXAAiACwAIABTAEUAUQBVAEUATgBDAEUAKAAgACAAUgBPAFcAUwAoACAATABvAGEAbgBOAGEAbQBlAHMAKQAgACoAIAA3ACAALQAgADEAKQAsACAAXABuACAAIAAgACAAIAAgACAAIAAgACAAIAAgACAAIAAgACAAIAAgACAAIAAgACAAIAAgACAAIAAgACAATABBAE0AQgBEAEEAKABBAGMAYwAsACAAUgBvAHcALAAgAFwAbgAgACAAIAAgACAAIAAgACAAIAAgACAAIAAgACAAIAAgACAAIAAgACAAIAAgACAAIAAgACAAIAAgACAAIAAgACAATABFAFQAKABJAGQAeAAsACAAIAAgACAAIAAgACAAIAAgACAAIAAgAFEAVQBPAFQASQBFAE4AVAAoACAAUgBvAHcAIAAtACAAMQAsACAANwApACAAKwAgADEALABcAG4AIAAgACAAIAAgACAAIAAgACAAIAAgACAAIAAgACAAIAAgACAAIAAgACAAIAAgACAAIAAgACAAIAAgACAAIAAgACAAIAAgACAATABpAG4AZQAsACAAIAAgACAAIAAgACAAIAAgACAAIABNAE8ARAAoACAAUgBvAHcAIAAtACAAMQAsACAANwApACAAKwAgADEALAAgAFwAbgAgACAAIAAgACAAIAAgACAAIAAgACAAIAAgACAAIAAgACAAIAAgACAAIAAgACAAIAAgACAAIAAgACAAIAAgACAAIAAgACAAIABMAG8AYQBuAE4AYQBtAGUALAAgACAAIAAgACAAIAAgAEkATgBEAEUAWAAoACAATABvAGEAbgBOAGEAbQBlAHMALAAgAEkAZAB4ACkALAAgAFwAbgAgACAAIAAgACAAIAAgACAAIAAgACAAIAAgACAAIAAgACAAIAAgACAAIAAgACAAIAAgACAAIAAgACAAIAAgACAAIAAgACAAIABMAG8AYQBuAEEAbQBvAHUAbgB0ACwAIAAgACAAIAAgAEkARgAoAEkAUwBPAE0ASQBUAFQARQBEACgAIABMAG8AYQBuAEEAbQBvAHUAbgB0AHMAKQAsACAAMAAsACAASQBOAEQARQBYACgAIABMAG8AYQBuAEEAbQBvAHUAbgB0AHMALAAgAEkAZAB4ACkAKQAsAFwAbgAgACAAIAAgACAAIAAgACAAIAAgACAAIAAgACAAIAAgACAAIAAgACAAIAAgACAAIAAgACAAIAAgACAAIAAgACAAIAAgACAAIABMAG8AYQBuAEEAUABSACwAIAAgACAAIAAgACAAIAAgAEkARgAoAEkAUwBPAE0ASQBUAFQARQBEACgAIABMAG8AYQBuAEEAUABSAHMAKQAsACAAMAAsACAASQBOAEQARQBYACgAIABMAG8AYQBuAEEAUABSAHMALAAgAEkAZAB4ACkAKQAsAFwAbgAgACAAIAAgACAAIAAgACAAIAAgACAAIAAgACAAIAAgACAAIAAgACAAIAAgACAAIAAgACAAIAAgACAAIAAgACAAIAAgACAAIABMAG8AYQBuAFQAZQByAG0ALAAgACAAIAAgACAAIAAgAEkARgAoAEkAUwBPAE0ASQBUAFQARQBEACgAIABMAG8AYQBuAFQAZQByAG0AcwApACwAIAAwACwAIABJAE4ARABFAFgAKAAgAEwAbwBhAG4AVABlAHIAbQBzACwAIABJAGQAeAApACkALABcAG4AIAAgACAAIAAgACAAIAAgACAAIAAgACAAIAAgACAAIAAgACAAIAAgACAAIAAgACAAIAAgACAAIAAgACAAIAAgACAAIAAgACAARABlAHMAYwByAGkAcAB0AGkAbwBuACwAIAAgACAAIABTAFcASQBUAEMASAAoACAATABpAG4AZQAsAFwAbgAgACAAIAAgACAAIAAgACAAIAAgACAAIAAgACAAIAAgACAAIAAgACAAIAAgACAAIAAgACAAIAAgACAAIAAgACAAIAAgACAAIAAgACAAIAAgACAAIAAgACAAIAAgACAAIAAgACAAIAAgACAAIAAgACAAMQAsACAAIABIAFMAVABBAEMASwAoAEwAbwBhAG4ATgBhAG0AZQAgACYAIABcACIAIABEAGUAYgB0ACAASQBzAHMAdQBhAG4AYwBlAFwAIgAsACAATABvAGEAbgBBAG0AbwB1AG4AdAAsACAAXAAiAFwAIgApACwAXABuACAAIAAgACAAIAAgACAAIAAgACAAIAAgACAAIAAgACAAIAAgACAAIAAgACAAIAAgACAAIAAgACAAIAAgACAAIAAgACAAIAAgACAAIAAgACAAIAAgACAAIAAgACAAIAAgACAAIAAgACAAIAAgACAAIAAyACwAIAAgAEgAUwBUAEEAQwBLACgATABvAGEAbgBOAGEAbQBlACAAJgAgAFwAIgAgAEQAZQBiAHQAIABCAGEAbABhAG4AYwBlAFwAIgAsACAAXAAiAFwAIgAsAFwAIgBcACIAKQAsAFwAbgAgACAAIAAgACAAIAAgACAAIAAgACAAIAAgACAAIAAgACAAIAAgACAAIAAgACAAIAAgACAAIAAgACAAIAAgACAAIAAgACAAIAAgACAAIAAgACAAIAAgACAAIAAgACAAIAAgACAAIAAgACAAIAAgACAAMwAsACAAIABIAFMAVABBAEMASwAoAEwAbwBhAG4ATgBhAG0AZQAgACYAIABcACIAIABJAG4AdABlAHIAZQBzAHQAXAAiACwAIABUAGUAeAB0ACgATABvAGEAbgBBAFAAUgAsACAAXAAiADAALgAwADAAJQBcACIAKQAsACAAXAAiAEEAUABSAFwAIgApACwAXABuACAAIAAgACAAIAAgACAAIAAgACAAIAAgACAAIAAgACAAIAAgACAAIAAgACAAIAAgACAAIAAgACAAIAAgACAAIAAgACAAIAAgACAAIAAgACAAIAAgACAAIAAgACAAIAAgACAAIAAgACAAIAAgACAAIAA0ACwAIAAgAEgAUwBUAEEAQwBLACgATABvAGEAbgBOAGEAbQBlACAAJgAgAFwAIgAgAEQAZQBiAHQAIABTAGUAcgB2AGkAYwBlAHMAXAAiACwAIABMAG8AYQBuAFQAZQByAG0ALAAgAFwAIgBNAG8AbgB0AGgAcwBcACIAKQAsAFwAbgAgACAAIAAgACAAIAAgACAAIAAgACAAIAAgACAAIAAgACAAIAAgACAAIAAgACAAIAAgACAAIAAgACAAIAAgACAAIAAgACAAIAAgACAAIAAgACAAIAAgACAAIAAgACAAIAAgACAAIAAgACAAIAAgACAANQAsACAAIABIAFMAVABBAEMASwAoAEwAbwBhAG4ATgBhAG0AZQAgACYAIABcACIAIABDAGwAbwBzAGkAbgBnACAAQgBhAGwAYQBuAGMAZQBcACIALABcACIAXAAiACwAXAAiAFwAIgApACwAXABuACAAIAAgACAAIAAgACAAIAAgACAAIAAgACAAIAAgACAAIAAgACAAIAAgACAAIAAgACAAIAAgACAAIAAgACAAIAAgACAAIAAgACAAIAAgACAAIAAgACAAIAAgACAAIAAgACAAIAAgACAAIAAgACAAIAA2ACwAIAAgAEgAUwBUAEEAQwBLACgATABvAGEAbgBOAGEAbQBlACAAJgAgAFwAIgAgAEQAZQBiAHQAIABSAGUAcABhAHkAbQBlAG4AdABcACIALAAgAFwAIgBcACIALAAgAFwAIgBcACIAKQAsAFwAbgAgACAAIAAgACAAIAAgACAAIAAgACAAIAAgACAAIAAgACAAIAAgACAAIAAgACAAIAAgACAAIAAgACAAIAAgACAAIAAgACAAIAAgACAAIAAgACAAIAAgACAAIAAgACAAIAAgACAAIAAgACAAIAAgACAANwAsACAAIABIAFMAVABBAEMASwAoAFwAIgBcACIALABcACIAXAAiACwAXAAiAFwAIgApAFwAbgAgACAAIAAgACAAIAAgACAAIAAgACAAIAAgACAAIAAgACAAIAAgACAAIAAgACAAIAAgACAAIAAgACAAIAAgACAAIAAgACAAIAAgACAAIAAgACAAIAAgACAAIAAgACAAIAAgACAAIAAgACkALABcAG4AIAAgACAAIAAgACAAIAAgACAAIAAgACAAIAAgACAAIAAgACAAIAAgACAAIAAgACAAIAAgACAAIAAgACAAIAAgACAAIAAgACAAVgBhAGwAdQBlAHMALAAgACAAIAAgACAAIAAgACAAIABJAEYAKAAgAE8AcAB0AGkAbwBuAGEAbABzACwAIABEAGUAcwBjAHIAaQBwAHQAaQBvAG4ALAAgAFQAQQBLAEUAKAAgAEQAZQBzAGMAcgBpAHAAdABpAG8AbgAsACAALAAgADEAKQApACwAXABuACAAIAAgACAAIAAgACAAIAAgACAAIAAgACAAIAAgACAAIAAgACAAIAAgACAAIAAgACAAIAAgACAAIAAgACAAIAAgACAAIAAgAFIAZQBzAHUAbAB0ACwAIAAgACAAIAAgACAAIAAgACAASQBGACgAIABSAG8AdwAgAD0AIAAxACwAIABWAGEAbAB1AGUAcwAsACAAVgBTAFQAQQBDAEsAKABBAGMAYwAsACAAVgBhAGwAdQBlAHMAKQApACwAXABuACAAIAAgACAAIAAgACAAIAAgACAAIAAgACAAIAAgACAAIAAgACAAIAAgACAAIAAgACAAIAAgACAAIAAgACAAIAAgACAAIAAgAFIAZQBzAHUAbAB0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CAAXABuACkAOwBcAG4AXABuAFwAbgBcAG4ALwAqACAAIABGAFUATgBDAFQASQBPAE4AIABOAEEATQBFADoAIAAgAFMAdQBtAEEAbQBvAHIAdABpAHMAZQC7A1wAbgAgACAAIAAgAEQARQBTAEMAUgBJAFAAVABJAE8ATgA6ACoALwAvACoAKgBDAHIAZQBhAHQAZQAgAHIAbwB3ACAAdABvAHQAYQBsAHMAIABmAG8AcgAgAEEAbQBvAHIAdABpAHMAZQC7AyoALwBcAG4AUwB1AG0AQQBtAG8AcgB0AGkAcwBlALsDIAA9ACAATABBAE0AQgBEAEEAKABcAG4ALwAvACAAIABQAGEAcgBhAG0AZQB0AGUAcgAgAEQAZQBjAGwAYQByAGEAdABpAG8AbgBzAFwAbgAgACAAIAAgAFsAQQBtAG8AcgB0AGkAcwBhAHQAaQBvAG4AUwBjAGgAZQBkAHUAbABlAF0ALABcAG4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1AG0AQQBtAG8AcgB0AGkAcwBlALsDKABBAG0AbwByAHQAaQBzAGEAdABpAG8AbgBTAGMAaABlAGQAdQBsAGUAKQC2AFwAIgAgACYAXABuACAAIAAgACAAIAAgACAAIAAgACAAIAAgACAAIAAgACAAIAAgACAAIAAgACAAIAAgACAAIAAgACAAXAAiAEQARQBTAEMAUgBJAFAAVABJAE8ATgA6ACAAIAAgAJIhQwByAGUAYQB0AGUAIAByAG8AdwAgAHQAbwB0AGEAbABzACAAZgBvAHIAIABBAG0AbwByAHQAaQBzAGUAuwO2AFwAIgAgACYAIA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tAG8AcgB0AGkAcwBhAHQAaQBvAG4AUwBjAGgAZQBkAHUAbABlAJIhKABSAGUAcQB1AGkAcgBlAGQAKQAgAEEAbgAgAGEAcgByAGEAeQAgAHAAcgBvAGQAdQBjAGUAZAAgAGIAeQAgAEEAbQBvAHIAdABpAHMAZQC7A7YAXAAiACAAJgAgACAAIAAgACAAIAAgACAAIAAgACAAIAAgACAAIAAgACAAIABcAG4AIAAgACAAIAAgACAAIAAgACAAIAAgACAAIAAgACAAIAAgACAAIAAgACAAIAAgACAAIAAgACAAIABcACIARQBYAEEATQBQAEwARQBTADoAkiG2AFwAIgAgACYAIA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AgACAAIAAgACAAIAAgACAAIAAgACAAIAAgACAAIABcACIAkiE9AG4AYQBiAGwAYQAuAGYALgBTAHUAbQBBAG0AbwByAHQAaQBzAGUAuwMoAEEAbQBvAHIAdABpAHMAYQB0AGkAbwBuAFMAYwBoAGUAZAB1AGwAZQ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SQBTAE8ATQBJAFQAVABFAEQAKAAgAEEAbQBvAHIAdABpAHMAYQB0AGkAbwBuAFMAYwBoAGUAZAB1AGwAZQApACwAXABuACAAIAAgACAALwAvACAAIABQAHIAbwBjAGUAZAB1AHIAZQBcAG4AIAAgACAAIAAgACAAIAAgAFIAZQBzAHUAbAB0ACwAIAAgACAAIAAgACAAIAAgACAATQBBAEsARQBBAFIAUgBBAFkAKABSAE8AVwBTACgAQQBtAG8AcgB0AGkAcwBhAHQAaQBvAG4AUwBjAGgAZQBkAHUAbABlACkALAAgADEALAAgAFwAbgAgACAAIAAgACAAIAAgACAAIAAgACAAIAAgACAAIAAgACAAIAAgACAAIAAgACAAIAAgACAAIAAgAEwAQQBNAEIARABBACgAIABSACwAIABDACwAXABuACAAIAAgACAAIAAgACAAIAAgACAAIAAgACAAIAAgACAAIAAgACAAIAAgACAAIAAgACAAIAAgACAAIAAgACAAIABTAFcASQBUAEMASAAoACAATQBPAEQAKAAgAFIALAAgADcAKQAsAFwAbgAgACAAIAAgACAAIAAgACAAIAAgACAAIAAgACAAIAAgACAAIAAgACAAIAAgACAAIAAgACAAIAAgACAAIAAgACAAIAAgACAAIAAzACwAIABTAFUATQAoAEMASABPAE8AUwBFAFIATwBXAFMAKAAgAEEAbQBvAHIAdABpAHMAYQB0AGkAbwBuAFMAYwBoAGUAZAB1AGwAZQAsACAAUgApACkALABcAG4AIAAgACAAIAAgACAAIAAgACAAIAAgACAAIAAgACAAIAAgACAAIAAgACAAIAAgACAAIAAgACAAIAAgACAAIAAgACAAIAAgACAANAAsACAAUwBVAE0AKABDAEgATwBPAFMARQBSAE8AVwBTACgAIABBAG0AbwByAHQAaQBzAGEAdABpAG8AbgBTAGMAaABlAGQAdQBsAGUALAAgAFIAKQApACwAXABuACAAIAAgACAAIAAgACAAIAAgACAAIAAgACAAIAAgACAAIAAgACAAIAAgACAAIAAgACAAIAAgACAAIAAgACAAIAAgACAAIAAgADYALAAgAFMAVQBNACgAQwBIAE8ATwBTAEUAUgBPAFcAUwAoACAAQQBtAG8AcgB0AGkAcwBhAHQAaQBvAG4AUwBjAGgAZQBkAHUAbABlACwAIABSACkAKQAsAFwAbgAgACAAIAAgACAAIAAgACAAIAAgACAAIAAgACAAIAAgACAAIAAgACAAIAAgACAAIAAgACAAIAAgACAAIAAgACAAIAAgACAAIAAw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CAAXABuACkAOwBcAG4AXABuAFwAbgBcAG4AXABuAFwAbgAvAC8AIAAgAEQAZQBwAHIAZQBjAGkAYQB0AGkAbwBuACAAUwB1AGkAdABlAFwAbgBcAG4ALwAqACAAIABGAFUATgBDAFQASQBPAE4AIABOAEEATQBFADoAIAAgAEQAZQBwAHIAZQBjAGkAYQB0AGUAuwNcAG4AIAAgACAAIABEAEUAUwBDAFIASQBQAFQASQBPAE4AOgAqAC8ALwAqACoAQwByAGUAYQB0AGUAIABhACAAYgBsAG8AYwBrACAAbwBmACAAQwBBAFAARQBYACwAIABPAHAAZQBuAGkAbgBnACAAQgBhAGwAYQBuAGMAZQAsACAARABlAHAAcgBlAGMAaQBhAHQAaQBvAG4AIABWAGEAbAB1AGUAcwAsACAAYQBuAGQAIABCAG8AbwBrACAAVgBhAGwAdQBlACAAZgBvAHIAIABlAGEAYwBoACAAYQBzAHMAZQB0ACoALwBcAG4ARABlAHAAcgBlAGMAaQBhAHQAZQC7AyAAPQAgAEwAQQBNAEIARABBACgAXABuAC8ALwAgACAAUABhAHIAYQBtAGUAdABlAHIAIABEAGUAYwBsAGEAcgBhAHQAaQBvAG4AcwBcAG4AIAAgACAAIABbAEkAbgBpAHQAaQBhAGwAVgBhAGwAdQBlAHMAXQAsAFwAbgAgACAAIAAgAFsASQBuAFMAZQByAHYAaQBjAGUARABhAHQAZQBzAF0ALAAgAFwAbgAgACAAIAAgAFsATABpAGYAZQBJAG4AWQBlAGEAcgBzAF0ALAAgAFwAbgAgACAAIAAgAFsAVABpAG0AZQBsAGkAbgBlAF0ALABcAG4AIAAgACAAIABbAFMAYQBsAHYAYQBnAGUAVgBhAGwAdQBlAHMAXQAsAFwAbgAgACAAIAAgAFsARABpAHMAcABvAHMAYQBsAEQAYQB0AGUAcwBdACwAXABuACAAIAAgACAAWwBEAGkAcwBwAG8AcwBhAGwAQwBvAHMAdABzAF0ALABcAG4AIAAgACAAIABbAE0AZQB0AGgAbwBkAHMAXQAsAFwAbgAgACAAIAAgAFsARgBhAGMAdABvAHIAcwBdACwAXABuACAAIAAgACAATABFAFQAKABcAG4ALwAvACAAIABIAGUAbABwAFwAbgAgACAAIAAgACAAIAAgACAASABlAGwAcAAsACAAIAAgACAAIAAgACAAIAAgACAAIABUAFIASQBNACgAVABFAFgAVABTAFAATABJAFQAKAAgAFwAbgAgACAAIAAgACAAIAAgACAAIAAgACAAIAAgACAAIAAgACAAIAAgACAAIAAgACAAIAAgACAAIAAgAFwAIgBGAFUATgBDAFQASQBPAE4AOgAgACAAIAAgACAAIACSIUQAZQBwAHIAZQBjAGkAYQB0AGUAuwMoAEkAbgBpAHQAaQBhAGwAVgBhAGwAdQBlAHMALAAgAEkAbgBTAGUAcgB2AGkAYwBlAEQAYQB0AGUAcwAsACAATABpAGYAZQBJAG4AWQBlAGEAcgBzACwAIABUAGkAbQBlAGwAaQBuAGUALAAgALYAXAAiACAAJgBcAG4AIAAgACAAIAAgACAAIAAgACAAIAAgACAAIAAgACAAIAAgACAAIAAgACAAIAAgACAAIAAgACAAIABcACIAIAAgACAAIAAgACAAIAAgACAAIAAgACAAIAAgACAAkiFbAFMAYQBsAHYAYQBnAGUAVgBhAGwAdQBlAHMAXQAsACAAWwBEAGkAcwBwAG8AcwBhAGwARABhAHQAZQBzAF0ALAAgAFsARABpAHMAcABvAHMAYQBsAEMAbwBzAHQAcwBdACwAIABbAE0AZQB0AGgAbwBkAHMAXQAsACAAWwBGAGEAYwB0AG8AcgBdACkAtgBcACIAIAAmAFwAbgAgACAAIAAgACAAIAAgACAAIAAgACAAIAAgACAAIAAgACAAIAAgACAAIAAgACAAIAAgACAAIAAgAFwAIgBEAEUAUwBDAFIASQBQAFQASQBPAE4AOgAgACAAIACSIUMAcgBlAGEAdABlAHMAIABhAG4AIABhAHIAcgBhAHkAIABvAGYAIABDAEEAUABFAFgALAAgAGQAZQBwAHIAZQBjAGkAYQB0AGkAbwBuACwAIABhAG4AZAAgAGIAbwBvAGsAIAB2AGEAbAB1AGUAcwAgAGYAbwByACAAYQAgAG0AbwBkAGUAbAAnAHMAIAB0AGkAbQBlAGwAaQBuAGUAtgBcACIAIAAmACAAXABuACAAIAAgACAAIAAgACAAIAAgACAAIAAgACAAIAAgACAAIAAgACAAIAAgACAAIAAgACAAIAAgACAAXAAiAFcARQBCAFAAQQBHAEUAOgAgACAAIAAgACAAIAAgAJIhaAB0AHQAcABzADoALwAvAGcAaQB0AGgAdQBiAC4AYwBvAG0ALwByAHkAYQBuAGQAdQBnAHUAaQBkAC8ATgBhAGIAbABhACAAtgBcACIAIAAmACAAXABuACAAIAAgACAAIAAgACAAIAAgACAAIAAgACAAIAAgACAAIAAgACAAIAAgACAAIAAgACAAIAAgACAAXAAiAFYARQBSAFMASQBPAE4AOgAgACAAIAAgACAAIAAgAJIhMQA4ACAAQQB1AGcAIAAyADAAMgA2ALYAXAAiACAAJgBcAG4AIAAgACAAIAAgACAAIAAgACAAIAAgACAAIAAgACAAIAAgACAAIAAgACAAIAAgACAAIAAgACAAIABcACIATgBPAFQARQBTADoAIAAgACAAIAAgACAAIAAgACAAkiFUAGgAZQAgAG0AZQB0AGgAbwBkAHMAIAB1AHMAZQBkACAAaABlAHIAZQAgAGQAaQBmAGYAZQByAHMAIABmAHIAbwBtACAARQB4AGMAZQBsACcAcwAgAGYAdQBuAGMAdABpAG8AbgBzACAAaQBuACAAcwBlAHYAZQByAGEAbAAgAHcAYQB5AHMALgAgAFAAbABlAGEAcwBlACAAcwBlAGUAIAB3AGUAYgBwAGEAZwBlACAAZgBvAHIAIABkAGUAdABhAGkAbABzAC4AtgBcACIAIAAmAFwAbgAgACAAIAAgACAAIAAgACAAIAAgACAAIAAgACAAIAAgACAAIAAgACAAIAAgACAAIAAgACAAIAAgAFwAIgBQAEEAUgBBAE0ARQBUAEUAUgBTADoAIAAgACAAIACSIbYAXAAiACAAJgAgAFwAbgAgACAAIAAgACAAIAAgACAAIAAgACAAIAAgACAAIAAgACAAIAAgACAAIAAgACAAIAAgACAAIAAgAFwAIgBJAG4AaQB0AGkAYQBsAFYAYQBsAHUAZQBzACAAIACSISgAUgBlAHEAdQBpAHIAZQBkACkAIABUAGgAZQAgAHAAdQByAGMAaABhAHMAZQAgAHYAYQBsAHUAZQBzACAAbwBmACAAZQBhAGMAaAAgAGEAcwBzAGUAdAAgAHQAbwAgAGQAZQBwAHIAZQBjAGkAYQB0AGUAtgBcACIAIAAmACAAXABuACAAIAAgACAAIAAgACAAIAAgACAAIAAgACAAIAAgACAAIAAgACAAIAAgACAAIAAgACAAIAAgACAAXAAiAEkAbgBTAGUAcgB2AGkAYwBlAEQAYQB0AGUAcwAgAJIhKABSAGUAcQB1AGkAcgBlAGQAKQAgAFQAaABlACAAZABhAHQAZQBzACAAZgByAG8AbQAgAHcAaABpAGMAaAAgAHQAbwAgAHMAdABhAHIAdAAgAGQAZQBwAHIAZQBjAGkAYQB0AGkAbgBnACAAZQBhAGMAaAAgAGEAcwBzAGUAdAC2AFwAIgAgACYAIABcAG4AIAAgACAAIAAgACAAIAAgACAAIAAgACAAIAAgACAAIAAgACAAIAAgACAAIAAgACAAIAAgACAAIABcACIATABpAGYAZQBJAG4AWQBlAGEAcgBzACAAIAAgACAAkiEoAFIAZQBxAHUAaQByAGUAZAApACAAVABoAGUAIABuAHUAbQBiAGUAcgAgAG8AZgAgAHkAZQBhAHIAcwAgAHcAaQB0AGgAIAB3AGgAaQBjAGgAIAB0AG8AIABkAGUAcAByAGUAYwBpAGEAdABlACAAZQBhAGMAaAAgAGEAcwBzAGUAdAC2AFwAIgAgACYAIABcAG4AIAAgACAAIAAgACAAIAAgACAAIAAgACAAIAAgACAAIAAgACAAIAAgACAAIAAgACAAIAAgACAAIABcACIAVABpAG0AZQBsAGkAbgBlACAAIAAgACAAIAAgACAAkiEoAFIAZQBxAHUAaQByAGUAZAApACAAVABoAGUAIABtAG8AZABlAGwAJwBzACAAdABpAG0AZQBsAGkAbgBlACAAbwByACAAYQAgAHIAbwB3ACAAbwBmACAAcABlAHIAaQBvAGQAIABzAHQAYQByAHQAIABkAGEAdABlAHMALgAgALYAXAAiACAAJgAgAFwAbgAgACAAIAAgACAAIAAgACAAIAAgACAAIAAgACAAIAAgACAAIAAgACAAIAAgACAAIAAgACAAIAAgAFwAIgAgACAAIAAgACAAIAAgACAAIAAgACAAIAAgACAAIACSIVQAaQBtAGUAbABpAG4AZQAgAGMAYQBuACAAYgBlACAAaQBuACAATQBvAG4AdABoAHMALAAgAFEAdQBhAHIAdABlAHIAcwAsACAAbwByACAAWQBlAGEAcgBzALYAXAAiACAAJgAgAFwAbgAgACAAIAAgACAAIAAgACAAIAAgACAAIAAgACAAIAAgACAAIAAgACAAIAAgACAAIAAgACAAIAAgAFwAIgBTAGEAbAB2AGEAZwBlAFYAYQBsAHUAZQBzACAAIACSISgATwBwAHQAaQBvAG4AYQBsADoAIABEAGUAZgBhAHUAbAB0ACAAPQAgADAAKQAgAFQAaABlACAAYgBvAG8AawAgAHYAYQBsAHUAZQBzACAAbwBmACAAZQBhAGMAaAAgAGEAcwBzAGUAdAAgAGEAZgB0AGUAcgAgAGYAdQBsAGwAeQAgAGQAZQBwAHIAZQBjAGkAYQB0AGUAZAAuALYAXAAiACAAJgAgAFwAbgAgACAAIAAgACAAIAAgACAAIAAgACAAIAAgACAAIAAgACAAIAAgACAAIAAgACAAIAAgACAAIAAgAFwAIgBEAGkAcwBwAG8AcwBhAGwARABhAHQAZQBzACAAIACSISgATwBwAHQAaQBvAG4AYQBsADoAIABEAGUAZgBhAHUAbAB0ACAAPQAgAEUAbgBkACAAbwBmACAAbABpAGYAZQApACAAVABoAGUAIABkAGEAdABlAHMAIABvAG4AIAB3AGgAaQBjAGgAIAB0AGgAZQAgAGEAcwBzAGUAdABzACAAYQByAGUAIAByAGUAbQBvAHYAZQBkACAAZgByAG8AbQAgAHQAaABlACAAYgBvAG8AawBzAC4AtgBcACIAIAAmACAAXABuACAAIAAgACAAIAAgACAAIAAgACAAIAAgACAAIAAgACAAIAAgACAAIAAgACAAIAAgACAAIAAgACAAXAAiAEQAaQBzAHAAbwBzAGEAbABDAG8AcwB0AHMAIAAgAJIhKABPAHAAdABpAG8AbgBhAGwAOgAgAEQAZQBmAGEAdQBsAHQAIAA9ACAAMAApACAAVABoAGUAIABiAG8AbwBrACAAdgBhAGwAdQBlAHMAIABvAGYAIABlAGEAYwBoACAAYQBzAHMAZQB0ACAAYQBmAHQAZQByACAAZgB1AGwAbAB5ACAAZABlAHAAcgBlAGMAaQBhAHQAZQBkAC4AtgBcACIAIAAmACAAXABuACAAIAAgACAAIAAgACAAIAAgACAAIAAgACAAIAAgACAAIAAgACAAIAAgACAAIAAgACAAIAAgACAAXAAiAE0AZQB0AGgAbwBkAHMAIAAgACAAIAAgACAAIAAgAJIhKABPAHAAdABpAG8AbgBhAGwAOgAgAEQAZQBmAGEAdQBsAHQAIAA9ACAAUwBMAE4AKQAgAFQAaABlACAAZABlAHMAaQByAGUAZAAgAGQAZQBwAHIAZQBjAGkAYQB0AGkAbwBuACAAbQBlAHQAaABvAGQALgAgAE0AdQBzAHQAIABiAGUAIABvAG4AZQAgAG8AZgAgAHQAaABlAHMAZQAgAG0AZQB0AGgAbwBkACAAYwBvAGQAZQBzADoAIAC2AFwAIgAgACYAIABcAG4AIAAgACAAIAAgACAAIAAgACAAIAAgACAAIAAgACAAIAAgACAAIAAgACAAIAAgACAAIAAgACAAIAAgACAAIAAgACAAIAAgACAAIAAgACAAIAAgACAAIABcACIAkiFTAEwATgA9AFMAdAByAGEAaQBnAGgAdAAgAEwAaQBuAGUAIABEAGUAcAByAGUAYwBpAGEAdABpAG8AbgC2AFwAIgAgACYAIABcAG4AIAAgACAAIAAgACAAIAAgACAAIAAgACAAIAAgACAAIAAgACAAIAAgACAAIAAgACAAIAAgACAAIAAgACAAIAAgACAAIAAgACAAIAAgACAAIAAgACAAIABcACIAkiFTAFkARAA9AFMAdQBtACAAbwBmACAAWQBlAGEAcgAnAHMAIABEAGkAZwBpAHQAcwC2AFwAIgAgACYAIABcAG4AIAAgACAAIAAgACAAIAAgACAAIAAgACAAIAAgACAAIAAgACAAIAAgACAAIAAgACAAIAAgACAAIAAgACAAIAAgACAAIAAgACAAIAAgACAAIAAgACAAIABcACIAkiFEAEIAIAA9AEQAZQBjAGwAaQBuAGkAbgBnACAAQgBhAGwAYQBuAGMAZQC2AFwAIgAgACYAIABcAG4AIAAgACAAIAAgACAAIAAgACAAIAAgACAAIAAgACAAIAAgACAAIAAgACAAIAAgACAAIAAgACAAIAAgACAAIAAgACAAIAAgACAAIAAgACAAIAAgACAAIABcACIAkiFEAEQAQgA9AEQAbwB1AGIAbABlACAARABlAGMAbABpAG4AaQBuAGcAIABCAGEAbABhAG4AYwBlALYAXAAiACAAJgAgAFwAbgAgACAAIAAgACAAIAAgACAAIAAgACAAIAAgACAAIAAgACAAIAAgACAAIAAgACAAIAAgACAAIAAgACAAIAAgACAAIAAgACAAIAAgACAAIAAgACAAIAAgAFwAIgCSIVYARABCAD0AVgBhAHIAaQBhAGIAbABlACAARABlAGMAbABpAG4AaQBuAGcAIABCAGEAbABhAG4AYwBlALYAXAAiACAAJgAgAFwAbgAgACAAIAAgACAAIAAgACAAIAAgACAAIAAgACAAIAAgACAAIAAgACAAIAAgACAAIAAgACAAIAAgACAAIAAgACAAIAAgACAAIAAgACAAIAAgACAAIAAgAFwAIgCSIUQAVgAgAD0ARABpAG0AaQBuAGkAcwBoAGkAbgBnACAAdgBhAGwAdQBlACAAKABBAFQATwAgADIAMAAwACUAIABtAGUAdABoAG8AZAApAC4AIABTAGEAbAB2AGEAZwBlACAAdgBhAGwAdQBlACAAaQBnAG4AbwByAGUAZAC2AFwAIgAgACYAIABcAG4AIAAgACAAIAAgACAAIAAgACAAIAAgACAAIAAgACAAIAAgACAAIAAgACAAIAAgACAAIAAgACAAIAAgACAAIAAgACAAIAAgACAAIAAgACAAIAAgACAAIABcACIAkiFQAEMAIAA9AFAAcgBpAG0AZQAgAGMAbwBzAHQAIAAoAEEAVABPACAAcwB0AHIAYQBpAGcAaAB0ACAAbABpAG4AZQApAC4AIABTAGEAbAB2AGEAZwBlACAAdgBhAGwAdQBlACAAaQBnAG4AbwByAGUAZAC2AFwAIgAgACYAIABcAG4AIAAgACAAIAAgACAAIAAgACAAIAAgACAAIAAgACAAIAAgACAAIAAgACAAIAAgACAAIAAgACAAIABcACIARgBhAGMAdABvAHIAcwAgACAAIAAgACAAIAAgACAAkiEoAE8AcAB0AGkAbwBuAGEAbAA6ACAARABlAGYAYQB1AGwAdAAgAD0AIAAyACkAIABPAG4AbAB5ACAAYQBwAHAAbABpAGMAYQBiAGwAZQAgAHQAbwAgAEQARABCACAAYQBuAGQAIABWAEQAQgAgAG0AZQB0AGgAbwBkAHMALg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SQBuAGkAdABpAGEAbABWAGEAbAB1AGUAcwApACwAXABuACAAIAAgACAAIAAgACAAIAAgACAAIAAgACAAIAAgACAAIAAgACAAIAAgACAAIAAgACAAIAAgACAASQBTAE8ATQBJAFQAVABFAEQAKAAgAEwAaQBmAGUASQBuAFkAZQBhAHIAcwApACwAXABuACAAIAAgACAAIAAgACAAIAAgACAAIAAgACAAIAAgACAAIAAgACAAIAAgACAAIAAgACAAIAAgACAASQBTAE8ATQBJAFQAVABFAEQAKAAgAEkAbgBTAGUAcgB2AGkAYwBlAEQAYQB0AGUAcwApACwAXABuACAAIAAgACAAIAAgACAAIAAgACAAIAAgACAAIAAgACAAIAAgACAAIAAgACAAIAAgACAAIAAgACAASQBTAE8ATQBJAFQAVABFAEQAKAAgAFQAaQBtAGUAbABpAG4AZQApAFwAbgAgACAAIAAgACAAIAAgACAAIAAgACAAIAAgACAAIAAgACAAIAAgACAAIAAgACAAIAApACwAXABuACAAIAAgACAALwAvACAAIABTAGUAdAAgAEMAbwBuAHMAdABhAG4AdABzAFwAbgAgACAAIAAgACAAIAAgACAATQBlAHQAaABvAGQAQQByAHIAYQB5ACwAIAAgACAAIAB7AFwAIgBTAEwATgBcACIALABcACIAUwBZAEQAXAAiACwAXAAiAEQAQgBcACIALABcACIARABEAEIAXAAiACwAXAAiAFYARABCAFwAIgAsAFwAIgBEAFYAXAAiACwAXAAiAFAAQwBcACIAfQAsAFwAbgAgACAAIAAgACAAIAAgACAATQBwAHkALAAgACAAIAAgACAAIAAgACAAIAAgACAAIAAxADIALAAgAC8ALwBNAG8AbgB0AGgAcwAgAFAAZQByACAAWQBlAGEAcgBcAG4AIAAgACAAIAAvAC8AIAAgAFMAZQB0ACAAZABlAGYAYQB1AGwAdABzACAAYQBuAGQAIABhAHAAcABsAHkAIABjAG8AbgB2AGUAbgBpAGUAbgBjAGUAIABjAG8AbgB2AGUAcgBzAGkAbwBuAHMAXABuACAAIAAgACAAIAAgACAAIABTAGEAbAB2AGEAZwBlAFYAYQBsAHUAZQBzACwAIAAgAEkARgAoACAASQBTAE8ATQBJAFQAVABFAEQAKAAgAFMAYQBsAHYAYQBnAGUAVgBhAGwAdQBlAHMAKQAsACAAXABuACAAIAAgACAAIAAgACAAIAAgACAAIAAgACAAIAAgACAAIAAgACAAIAAgACAAIAAgACAAIAAgACAATQBBAFAAKAAgAEkAbgBpAHQAaQBhAGwAVgBhAGwAdQBlAHMALAAgAEwAQQBNAEIARABBACgAIABFAGwAZQAsACAAMAApACkALAAgAFwAbgAgACAAIAAgACAAIAAgACAAIAAgACAAIAAgACAAIAAgACAAIAAgACAAIAAgACAAIAAgACAAIAAgAE0AQQBQACgAIABTAGEAbAB2AGEAZwBlAFYAYQBsAHUAZQBzACwAIABMAEEATQBCAEQAQQAoAHYALAAgAEkARgBFAFIAUgBPAFIAKAAgAFYAQQBMAFUARQAoACAAdgApACwAIAAwACkAKQApACkALABcAG4AIAAgACAAIAAgACAAIAAgAEMAdgB0AFMAcgB2AEQAYQB0AGUAcwAsACAAIAAgACAASQBGACgAIABOAE8AVAAoACAASQBTAE8ATQBJAFQAVABFAEQAKAAgAEkAbgBTAGUAcgB2AGkAYwBlAEQAYQB0AGUAcwApACkALAAgAFwAbgAgACAAIAAgACAAIAAgACAAIAAgACAAIAAgACAAIAAgACAAIAAgACAAIAAgACAAIAAgACAAIAAgAEkARgAoACAASQBTAE4AVQBNAEIARQBSACgAIABJAG4AUwBlAHIAdgBpAGMAZQBEAGEAdABlAHMAKQAsACAAXABuACAAIAAgACAAIAAgACAAIAAgACAAIAAgACAAIAAgACAAIAAgACAAIAAgACAAIAAgACAAIAAgACAAIAAgACAAIABJAG4AUwBlAHIAdgBpAGMAZQBEAGEAdABlAHMALAAgAFwAbgAgACAAIAAgACAAIAAgACAAIAAgACAAIAAgACAAIAAgACAAIAAgACAAIAAgACAAIAAgACAAIAAgACAAIAAgACAARABBAFQARQBWAEEATABVAEUAKAAgAEkAbgBTAGUAcgB2AGkAYwBlAEQAYQB0AGUAcwApACkAKQAsAFwAbgAgACAAIAAgACAAIAAgACAARABpAHMAcABvAHMAYQBsAEQAYQB0AGUAcwAsACAAIABJAEYAKAAgAEkAUwBPAE0ASQBUAFQARQBEACgAIABEAGkAcwBwAG8AcwBhAGwARABhAHQAZQBzACkALAAgAFwAbgAgACAAIAAgACAAIAAgACAAIAAgACAAIAAgACAAIAAgACAAIAAgACAAIAAgACAAIAAgACAAIAAgAEUARABBAFQARQAoACAAKwBDAHYAdABTAHIAdgBEAGEAdABlAHMALAAgAEwAaQBmAGUAaQBuAFkAZQBhAHIAcwAgACoAIAAxADIAKQAsACAAXABuACAAIAAgACAAIAAgACAAIAAgACAAIAAgACAAIAAgACAAIAAgACAAIAAgACAAIAAgACAAIAAgACAATQBBAEsARQBBAFIAUgBBAFkAKAAgAFIATwBXAFMAKAAgAEQAaQBzAHAAbwBzAGEAbABEAGEAdABlAHMAKQAsACAAMQAsACAAXABuACAAIAAgACAAIAAgACAAIAAgACAAIAAgACAAIAAgACAAIAAgACAAIAAgACAAIAAgACAAIAAgACAAIAAgACAAIABMAEEATQBCAEQAQQAoAFIALAAgAEMALAAgAFwAbgAgACAAIAAgACAAIAAgACAAIAAgACAAIAAgACAAIAAgACAAIAAgACAAIAAgACAAIAAgACAAIAAgACAAIAAgACAAIAAgACAAIABJAEYAKAAgAEkATgBEAEUAWAAoACAARABpAHMAcABvAHMAYQBsAEQAYQB0AGUAcwAsACAAUgApACAAIAA9ACAAXAAiAFwAIgAsACAAXABuACAAIAAgACAAIAAgACAAIAAgACAAIAAgACAAIAAgACAAIAAgACAAIAAgACAAIAAgACAAIAAgACAAIAAgACAAIAAgACAAIAAgACAAIAAgACAARQBEAEEAVABFACgAIABJAE4ARABFAFgAKAAgAEMAdgB0AFMAcgB2AEQAYQB0AGUAcwAsACAAUgApACwAIABJAE4ARABFAFgAKABMAGkAZgBlAGkAbgBZAGUAYQByAHMALAAgAFIAKQAgACoAIAAxADIAKQAsACAAXABuACAAIAAgACAAIAAgACAAIAAgACAAIAAgACAAIAAgACAAIAAgACAAIAAgACAAIAAgACAAIAAgACAAIAAgACAAIAAgACAAIAAgACAAIAAgACAASQBOAEQARQBYACgAIABEAGkAcwBwAG8AcwBhAGwARABhAHQAZQBzACwAIABSACkAXABuACAAIAAgACAAIAAgACAAIAAgACAAIAAgACAAIAAgACAAIAAgACAAIAAgACAAIAAgACAAIAAgACAAIAAgACAAIAAgACAAIAAgACkAXABuACAAIAAgACAAIAAgACAAIAAgACAAIAAgACAAIAAgACAAIAAgACAAIAAgACAAIAAgACAAIAAgACAAIAAgACAAIAApAFwAbgAgACAAIAAgACAAIAAgACAAIAAgACAAIAAgACAAIAAgACAAIAAgACAAIAAgACAAIAAgACAAIAAgACkAXABuACAAIAAgACAAIAAgACAAIAAgACAAIAAgACAAIAAgACAAIAAgACAAIAAgACAAIAAgACkALABcAG4AIAAgACAAIAAgACAAIAAgAEQAaQBzAHAAbwBzAGEAbABDAG8AcwB0AHMALAAgACAASQBGACgAIABJAFMATwBNAEkAVABUAEUARAAoACAARABpAHMAcABvAHMAYQBsAEMAbwBzAHQAcwApACwAIABcAG4AIAAgACAAIAAgACAAIAAgACAAIAAgACAAIAAgACAAIAAgACAAIAAgACAAIAAgACAAIAAgACAAIABNAEEAUAAoACAASQBuAGkAdABpAGEAbABWAGEAbAB1AGUAcwAsACAATABBAE0AQgBEAEEAKAAgAEUAbABlACwAIAAwACkAKQAsACAAXABuACAAIAAgACAAIAAgACAAIAAgACAAIAAgACAAIAAgACAAIAAgACAAIAAgACAAIAAgACAAIAAgACAARABpAHMAcABvAHMAYQBsAEMAbwBzAHQAcwApACwAXABuACAAIAAgACAAIAAgACAAIABNAGUAdABoAG8AZABzACwAIAAgACAAIAAgACAAIAAgAEkARgAoACAASQBTAE8ATQBJAFQAVABFAEQAKAAgAE0AZQB0AGgAbwBkAHMAKQAsACAAXABuACAAIAAgACAAIAAgACAAIAAgACAAIAAgACAAIAAgACAAIAAgACAAIAAgACAAIAAgACAAIAAgACAATQBBAFAAKAAgAEkAbgBpAHQAaQBhAGwAVgBhAGwAdQBlAHMALAAgAEwAQQBNAEIARABBACgAIABFAGwAZQAsACAAXAAiAFMATABOAFwAIgApACkALAAgAFwAbgAgACAAIAAgACAAIAAgACAAIAAgACAAIAAgACAAIAAgACAAIAAgACAAIAAgACAAIAAgACAAIAAgAE0AQQBQACgAIABNAGUAdABoAG8AZABzACwAIABMAEEATQBCAEQAQQAoAHYALAAgAEkARgAoACAAVABSAEkATQAoACAAdgApACAAPQAgAFwAIgBcACIALAAgAFwAIgBTAEwATgBcACIALAAgAHYAKQApACkAKQAsAFwAbgAgACAAIAAgACAAIAAgACAARgBhAGMAdABvAHIAcwAsACAAIAAgACAAIAAgACAAIABJAEYAKAAgAEkAUwBPAE0ASQBUAFQARQBEACgAIABGAGEAYwB0AG8AcgBzACkALAAgAFwAbgAgACAAIAAgACAAIAAgACAAIAAgACAAIAAgACAAIAAgACAAIAAgACAAIAAgACAAIAAgACAAIAAgAE0AQQBQACgAIABJAG4AaQB0AGkAYQBsAFYAYQBsAHUAZQBzACwAIABMAEEATQBCAEQAQQAoACAARQBsAGUALAAgADIAKQApACwAIABcAG4AIAAgACAAIAAgACAAIAAgACAAIAAgACAAIAAgACAAIAAgACAAIAAgACAAIAAgACAAIAAgACAAIABNAEEAUAAoACAARgBhAGMAdABvAHIAcwAsACAATABBAE0AQgBEAEEAKAB2ACwAIABJAEYAKAAgAFQAUgBJAE0AKAAgAHYAKQAgAD0AIABcACIAXAAiACwAIAAyACwAIAB2ACkAKQApACkALABcAG4AIAAgACAAIAAvAC8AIAAgAEMAcgBlAGEAdABlACAAaQBuAGQAaQB2AGkAZAB1AGEAbAAgAFYAYQBsAHUAZQBzACAAZgByAG8AbQAgAHQAaQBtAGUAbABpAG4AZQAgAGEAcgByAGEAeQBcAG4AIAAgACAAIAAgACAAIAAgAFQAaQBtAGUAbABpAG4AZQBDAG8AbABzACwAIAAgACAAQwBPAEwAVQBNAE4AUwAoACAAVABJAG0AZQBsAGkAbgBlACkALABcAG4AIAAgACAAIAAgACAAIAAgAEYAaQByAHMAdABQAGUAcgBpAG8AZAAsACAAIAAgACAASQBOAEQARQBYACgAIABUAGkAbQBlAGwAaQBuAGUALAAgADEAKQAsAFwAbgAgACAAIAAgACAAIAAgACAAUwBlAGMAbwBuAGQAUABlAHIAaQBvAGQALAAgACAAIABJAE4ARABFAFgAKAAgAFQASQBtAGUAbABpAG4AZQAsACAAMgApACwAXABuACAAIAAgACAAIAAgACAAIABNAHAAUAAsACAAIAAgACAAIAAgACAAIAAgACAAIAAgAEAAUgBPAFUATgBEACgAKAAgAFMAZQBjAG8AbgBkAFAAZQByAGkAbwBkACAALQAgAEYAaQByAHMAdABQAGUAcgBpAG8AZAApACAALwAgADMAMAAuADUALAAgADAAKQAsACAALwAvAE0AbwBuAHQAaABzACAAUABlAHIAIABQAGUAcgBpAG8AZABcAG4AIAAgACAAIAAgACAAIAAgAEkAbgB0AGUAcgB2AGEAbAAsACAAIAAgACAAIAAgACAAUwBXAEkAVABDAEgAKAAgAE0AcABQACwAIAAxACwAIABcACIATQBcACIALAAgADMALAAgAFwAIgBRAFwAIgAsACAAMQAyACwAIABcACIAWQBcACIAKQAsAFwAbgAgACAAIAAgACAAIAAgACAAUABwAFkALAAgACAAIAAgACAAIAAgACAAIAAgACAAIABTAFcASQBUAEMASAAoACAATQBwAFAALAAgADEALAAgADEAMgAsACAAMwAsACAANAAsACAAMQAyACwAIAAxACkALAAgACAAIAAgACAAIAAgACAAIAAgACAAIAAgACAAIAAgAC8ALwBQAGUAcgBpAG8AZABzACAAUABlAHIAIABZAGUAYQByAFwAbgAgACAAIAAgACAAIAAgACAARQBuAGQARABhAHQAZQBzACwAIAAgACAAIAAgACAAIABIAFMAVABBAEMASwAoACAATQBBAFAAKAAgACAAUwBFAFEAVQBFAE4AQwBFACgALAAgAFQAaQBtAGUAbABpAG4AZQBDAG8AbABzACAALQAgADEAKQAsACAATABBAE0AQgBEAEEAKAAgAG4ALAAgAEkATgBEAEUAWAAoACAAVABpAG0AZQBsAGkAbgBlACwAIABuACAAKwAgADEAKQAgAC0AIAAxACkAKQAsACAARQBEAEEAVABFACgAIABNAEEAWAAoACAAVABpAG0AZQBsAGkAbgBlACkALAAgAE0AcABQACkAIAAtADEAIAApACwAXABuACAAIAAgACAALwAvACAAIABQAHIAbwBjAGUAcwBzACAAZQBhAGMAaAAgAGEAcwBzAGUAdABcAG4AIAAgACAAIAAgACAAIAAgAFIAZQBzAHUAbAB0ACwAIAAgACAAIAAgACAAIAAgACAAUgBFAEQAVQBDAEUAKAAgADAALAAgAFMARQBRAFUARQBOAEMARQAoACAAUgBPAFcAUwAoACAASQBuAGkAdABpAGEAbABWAGEAbAB1AGUAcwApACkALAAgAFwAbgAgACAAIAAgACAAIAAgACAAIAAgACAAIAAgACAAIAAgACAAIAAgACAAIAAgACAAIAAgACAAIAAgAEwAQQBNAEIARABBACgAQgBsAG8AYwBrACwAIABBAHMAcwBlAHQALAAgAFwAbgAgACAAIAAgACAAIAAgACAAIAAgACAAIAAgACAAIAAgACAAIAAgACAAIAAgACAAIAAgACAAIAAgACAAIAAgACAATABFAFQAKAAgAFwAbgAgACAAIAAgACAAIAAgACAAIAAgACAAIAAgACAAIAAgACAAIAAgACAAIAAgACAAIAAgACAAIAAgACAAIAAgACAALwAvACAAIABDAHIAZQBhAHQAZQAgAGkAbgBkAGkAdgBpAGQAdQBhAGwAIAB2AGEAbAB1AGUAcwAgAGYAcgBvAG0AIABhAHIAZwB1AG0AZQBuAHQAcwBcAG4AIAAgACAAIAAgACAAIAAgACAAIAAgACAAIAAgACAAIAAgACAAIAAgACAAIAAgACAAIAAgACAAIAAgACAAIAAgACAAIAAgACAATQBlAHQAaABvAGQALAAgACAAIAAgACAAIAAgACAAIABAAEkATgBEAEUAWAAoACAATQBlAHQAaABvAGQAcwAsACAAQQBzAHMAZQB0ACkALABcAG4AIAAgACAAIAAgACAAIAAgACAAIAAgACAAIAAgACAAIAAgACAAIAAgACAAIAAgACAAIAAgACAAIAAgACAAIAAgACAAIAAgACAAWQBlAGEAcgBzACwAIAAgACAAIAAgACAAIAAgACAAIABAAEkATgBEAEUAWAAoACAATABpAGYAZQBJAG4AWQBlAGEAcgBzACwAIABBAHMAcwBlAHQAKQAsAFwAbgAgACAAIAAgACAAIAAgACAAIAAgACAAIAAgACAAIAAgACAAIAAgACAAIAAgACAAIAAgACAAIAAgACAAIAAgACAAIAAgACAAIABJAG4AaQB0AGkAYQBsAFYAYQBsAHUAZQAsACAAIAAgAEAASQBOAEQARQBYACgAIABJAG4AaQB0AGkAYQBsAFYAYQBsAHUAZQBzACwAIABBAHMAcwBlAHQAKQAsACAAXABuACAAIAAgACAAIAAgACAAIAAgACAAIAAgACAAIAAgACAAIAAgACAAIAAgACAAIAAgACAAIAAgACAAIAAgACAAIAAgACAAIAAgAFMAYQBsAHYAYQBnAGUAVgBhAGwAdQBlACwAIAAgACAASQBGACgAIABPAFIAKAAgAE0AZQB0AGgAbwBkACAAPQAgAFwAIgBEAFYAXAAiACwAIABNAGUAdABoAG8AZAAgAD0AIABcACIAUABDAFwAIgApACwAIAAwACwAIABAAEkATgBEAEUAWAAoACAAUwBhAGwAdgBhAGcAZQBWAGEAbAB1AGUAcwAsACAAQQBzAHMAZQB0ACkAKQAsACAAXABuACAAIAAgACAAIAAgACAAIAAgACAAIAAgACAAIAAgACAAIAAgACAAIAAgACAAIAAgACAAIAAgACAAIAAgACAAIAAgACAAIAAgAEkAbgBTAGUAcgB2AGkAYwBlAEQAYQB0AGUALAAgACAAQABJAE4ARABFAFgAKAAgAEMAdgB0AFMAcgB2AEQAYQB0AGUAcwAsACAAQQBzAHMAZQB0ACkALAAgAFwAbgAgACAAIAAgACAAIAAgACAAIAAgACAAIAAgACAAIAAgACAAIAAgACAAIAAgACAAIAAgACAAIAAgACAAIAAgACAAIAAgACAAIABEAGkAcwBwAG8AcwBhAGwARABhAHQAZQAsACAAIAAgAEAASQBOAEQARQBYACgAIABEAGkAcwBwAG8AcwBhAGwARABhAHQAZQBzACwAIABBAHMAcwBlAHQAKQAsACAAXABuACAAIAAgACAAIAAgACAAIAAgACAAIAAgACAAIAAgACAAIAAgACAAIAAgACAAIAAgACAAIAAgACAAIAAgACAAIAAgACAAIAAgAEQAaQBzAHAAbwBzAGEAbABDAG8AcwB0ACwAIAAgACAAQABJAE4ARABFAFgAKAAgAEQAaQBzAHAAbwBzAGEAbABDAG8AcwB0AHMALAAgAEEAcwBzAGUAdAApACwAIABcAG4AIAAgACAAIAAgACAAIAAgACAAIAAgACAAIAAgACAAIAAgACAAIAAgACAAIAAgACAAIAAgACAAIAAgACAAIAAgACAAIAAgACAARgBhAGMAdABvAHIALAAgACAAIAAgACAAIAAgACAAIABAAEkATgBEAEUAWAAoACAARgBhAGMAdABvAHIAcwAsACAAQQBzAHMAZQB0ACkALABcAG4AIAAgACAAIAAgACAAIAAgACAAIAAgACAAIAAgACAAIAAgACAAIAAgACAAIAAgACAAIAAgACAAIAAgACAAIAAgACAAIAAgACAATABpAGYAZQBJAG4AUABlAHIAaQBvAGQAcwAsACAAIABZAGUAYQByAHMAIAAqACAAUABwAFkALABcAG4AIAAgACAAIAAgACAAIAAgACAAIAAgACAAIAAgACAAIAAgACAAIAAgACAAIAAgACAAIAAgACAAIAAgACAAIAAgACAAIAAgACAATABpAGYAZQBJAG4ATQBvAG4AdABoAHMALAAgACAAIABQAGUAcgBpAG8AZABEAGkAZgBmALsDKAAgAEkAbgBzAGUAcgB2AGkAYwBlAEQAYQB0AGUALAAgAEQAaQBzAHAAbwBzAGEAbABEAGEAdABlACwAIABcACIATQBcACIAKQAsAFwAbgAgACAAIAAgACAAIAAgACAAIAAgACAAIAAgACAAIAAgACAAIAAgACAAIAAgACAAIAAgACAAIAAgACAAIAAgACAAIAAgACAAIABMAGEAcwB0AFAAZQByAGkAbwBkACwAIAAgACAAIAAgAFAAZQByAGkAbwBkAEQAaQBmAGYAuwMoACAASQBuAHMAZQByAHYAaQBjAGUARABhAHQAZQAsACAARABpAHMAcABvAHMAYQBsAEQAYQB0AGUALAAgAEkAbgB0AGUAcgB2AGEAbAApACwAXABuACAAIAAgACAAIAAgACAAIAAgACAAIAAgACAAIAAgACAAIAAgACAAIAAgACAAIAAgACAAIAAgACAAIAAgACAAIAAvAC8AIAAgAFAAcgBvAGMAZQBkAHUAcgBlAFwAbgAgACAAIAAgACAAIAAgACAAIAAgACAAIAAgACAAIAAgACAAIAAgACAAIAAgACAAIAAgACAAIAAgACAAIAAgACAALwAvACAAIABEAGUAcAByAGUAYwBpAGEAdABpAG8AbgAgAGkAcwAgAGMAYQBsAGMAdQBsAGEAdABlAGQAIABhAG4AbgB1AGEAbABsAHkAIAB0AGgAZQBuACAAYQBsAGwAbwBjAGEAdABlAGQAIABlAHEAdQBhAGwAbAB5ACAAbwB2AGUAcgAgAHQAaABlACAAbgBlAHgAdAAgADEAMgAgAG0AbwBuAHQAaABzAFwAbgAgACAAIAAgACAAIAAgACAAIAAgACAAIAAgACAAIAAgACAAIAAgACAAIAAgACAAIAAgACAAIAAgACAAIAAgACAAIAAgACAAIABEAGUAcAByAGUAYwBpAGEAdABlACwAIAAgACAAIAAgAEMASABPAE8AUwBFACgAIABNAEEAVABDAEgAKAAgAEAATQBlAHQAaABvAGQALAAgAE0AZQB0AGgAbwBkAEEAcgByAGEAeQAsACAAMAApACwAIAAvAC8AQwBIAE8ATwBTAEUAIABpAHMAIABtAG8AcgBlACAAZQBmAGYAaQBjAGkAZQBuAHQAIAB0AGgAYQBuACAAUwBXAEkAVABDAEgAXABuACAAIAAgACAAIAAgACAAIAAgACAAIAAgACAAIAAgACAAIAAgACAAIAAgACAAIAAgACAAIAAgACAAIAAgACAAIAAgACAAIAAgACAAIAAgACAAIAAgACAAIAAgACAAIAAgACAAIAAgACAALwAvACAAIAAxAC4AIABTAHQAcgBhAGkAZwBoAHQAIABsAGkAbgBlACAAXABuACAAIAAgACAAIAAgACAAIAAgACAAIAAgACAAIAAgACAAIAAgACAAIAAgACAAIAAgACAAIAAgACAAIAAgACAAIAAgACAAIAAgACAAIAAgACAAIAAgACAAIAAgACAAIAAgACAAIAAgACAAIAAgACAAIABTAEwATgC7AygAIABJAG4AaQB0AGkAYQBsAFYAYQBsAHUAZQAsACAAUwBhAGwAdgBhAGcAZQBWAGEAbAB1AGUALAAgAFkAZQBhAHIAcwApACwAIABcAG4AIAAgACAAIAAgACAAIAAgACAAIAAgACAAIAAgACAAIAAgACAAIAAgACAAIAAgACAAIAAgACAAIAAgACAAIAAgACAAIAAgACAAIAAgACAAIAAgACAAIAAgACAAIAAgACAAIAAgACAAIAAvAC8AIAAgADIALgAgAFMAdQBtAC0AbwBmAC0AeQBlAGEAcgBzACcAIABkAGkAZwBpAHQAcwBcAG4AIAAgACAAIAAgACAAIAAgACAAIAAgACAAIAAgACAAIAAgACAAIAAgACAAIAAgACAAIAAgACAAIAAgACAAIAAgACAAIAAgACAAIAAgACAAIAAgACAAIAAgACAAIAAgACAAIAAgACAAIAAgACAAIAAgAFMAWQBEALsDKAAgAEkAbgBpAHQAaQBhAGwAVgBhAGwAdQBlACwAIABTAGEAbAB2AGEAZwBlAFYAYQBsAHUAZQAsACAAWQBlAGEAcgBzACkALABcAG4AIAAgACAAIAAgACAAIAAgACAAIAAgACAAIAAgACAAIAAgACAAIAAgACAAIAAgACAAIAAgACAAIAAgACAAIAAgACAAIAAgACAAIAAgACAAIAAgACAAIAAgACAAIAAgACAAIAAgACAAIAAvAC8AIAAgADMALgAgAEQAZQBjAGwAaQBuAGkAbgBnACAAYgBhAGwAYQBuAGMAZQBcAG4AIAAgACAAIAAgACAAIAAgACAAIAAgACAAIAAgACAAIAAgACAAIAAgACAAIAAgACAAIAAgACAAIAAgACAAIAAgACAAIAAgACAAIAAgACAAIAAgACAAIAAgACAAIAAgACAAIAAgACAAIAAgACAAIAAgAEQAQgC7AygAIABJAG4AaQB0AGkAYQBsAFYAYQBsAHUAZQAsACAAUwBhAGwAdgBhAGcAZQBWAGEAbAB1AGUALAAgAFkAZQBhAHIAcwApACwAXABuACAAIAAgACAAIAAgACAAIAAgACAAIAAgACAAIAAgACAAIAAgACAAIAAgACAAIAAgACAAIAAgACAAIAAgACAAIAAgACAAIAAgACAAIAAgACAAIAAgACAAIAAgACAAIAAgACAAIAAgACAALwAvACAAIAA0AC4AIABEAG8AdQBiAGwAZQAgAGQAZQBjAGwAaQBuAGkAbgBnACAAYgBhAGwAYQBuAGMAZQAgAFwAbgAgACAAIAAgACAAIAAgACAAIAAgACAAIAAgACAAIAAgACAAIAAgACAAIAAgACAAIAAgACAAIAAgACAAIAAgACAAIAAgACAAIAAgACAAIAAgACAAIAAgACAAIAAgACAAIAAgACAAIAAgACAAIAAgACAARABEAEIAuwMoACAASQBuAGkAdABpAGEAbABWAGEAbAB1AGUALAAgAFMAYQBsAHYAYQBnAGUAVgBhAGwAdQBlACwAIABZAGUAYQByAHMALAAgAEYAYQBjAHQAbwByACkALABcAG4AIAAgACAAIAAgACAAIAAgACAAIAAgACAAIAAgACAAIAAgACAAIAAgACAAIAAgACAAIAAgACAAIAAgACAAIAAgACAAIAAgACAAIAAgACAAIAAgACAAIAAgACAAIAAgACAAIAAgACAAIAAvAC8AIAAgADUALgAgAFYAYQByAGkAYQBiAGwAZQAgAGQAZQBjAGwAaQBuAGkAbgBnACAAYgBhAGwAYQBuAGMAZQAgAFwAbgAgACAAIAAgACAAIAAgACAAIAAgACAAIAAgACAAIAAgACAAIAAgACAAIAAgACAAIAAgACAAIAAgACAAIAAgACAAIAAgACAAIAAgACAAIAAgACAAIAAgACAAIAAgACAAIAAgACAAIAAgACAAIAAgACAAVgBEAEIAuwMoACAASQBuAGkAdABpAGEAbABWAGEAbAB1AGUALAAgAFMAYQBsAHYAYQBnAGUAVgBhAGwAdQBlACwAIABZAGUAYQByAHMALAAgAEYAYQBjAHQAbwByACkALAAgAFwAbgAgACAAIAAgACAAIAAgACAAIAAgACAAIAAgACAAIAAgACAAIAAgACAAIAAgACAAIAAgACAAIAAgACAAIAAgACAAIAAgACAAIAAgACAAIAAgACAAIAAgACAAIAAgACAAIAAgACAAIAAgAC8ALwAgACAANgAuACAARABpAG0AaQBuAGkAcwBoAGkAbgBnACAAdgBhAGwAdQBlACAAKABBAFQATwAgADIAMAAwACUAIABtAGUAdABoAG8AZAApAFwAbgAgACAAIAAgACAAIAAgACAAIAAgACAAIAAgACAAIAAgACAAIAAgACAAIAAgACAAIAAgACAAIAAgACAAIAAgACAAIAAgACAAIAAgACAAIAAgACAAIAAgACAAIAAgACAAIAAgACAAIAAgACAAIAAgACAARABpAG0AaQBuAGkAcwBoAGkAbgBnAFYAYQBsAHUAZQC7AygAIABJAG4AaQB0AGkAYQBsAFYAYQBsAHUAZQAsACAAWQBlAGEAcgBzACkALABcAG4AIAAgACAAIAAgACAAIAAgACAAIAAgACAAIAAgACAAIAAgACAAIAAgACAAIAAgACAAIAAgACAAIAAgACAAIAAgACAAIAAgACAAIAAgACAAIAAgACAAIAAgACAAIAAgACAAIAAgACAAIAAvAC8AIAAgADcALgAgAFAAcgBpAG0AZQAgAGMAbwBzAHQAIAAoAEEAVABPACAAcwB0AHIAYQBpAGcAaAB0ACAAbABpAG4AZQApAFwAbgAgACAAIAAgACAAIAAgACAAIAAgACAAIAAgACAAIAAgACAAIAAgACAAIAAgACAAIAAgACAAIAAgACAAIAAgACAAIAAgACAAIAAgACAAIAAgACAAIAAgACAAIAAgACAAIAAgACAAIAAgACAAIAAgACAAUAByAGkAbQBlAEMAbwBzAHQAuwMoACAASQBuAGkAdABpAGEAbABWAGEAbAB1AGUALAAgAFkAZQBhAHIAcwApACwAXABuACAAIAAgACAAIAAgACAAIAAgACAAIAAgACAAIAAgACAAIAAgACAAIAAgACAAIAAgACAAIAAgACAAIAAgACAAIAAgACAAIAAgACAAIAAgACAAIAAgACAAIAAgACAAIAAgACAAIAAgACAAKQAsAFwAbgAgACAAIAAgACAAIAAgACAAIAAgACAAIAAgACAAIAAgACAAIAAgACAAIAAgACAAIAAgACAAIAAgACAAIAAgACAALwAvACAAIABQAGwAYQBjAGUAIABEAGkAcwBwAG8AcwBhAGwAIABhAG4AZAAgAFMAYQBsAHYAYQBnAGUAIABpAG4AIAB0AGgAZQAgAGEAcwBzAGUAdAAnAHMAIABsAGEAcwB0ACAAbQBvAG4AdABoAFwAbgAgACAAIAAgACAAIAAgACAAIAAgACAAIAAgACAAIAAgACAAIAAgACAAIAAgACAAIAAgACAAIAAgACAAIAAgACAAIAAgACAAIABEAGkAcwBwAG8AcwBhAGwALAAgACAAIAAgACAAIAAgAEgAUwBUAEEAQwBLACgAIABTAEUAUQBVAEUATgBDAEUAKAAgADEALAAgAEwAaQBmAGUASQBuAE0AbwBuAHQAaABzACAALQAgADEALAAgADAALAAgADAAKQAgACwAIABEAGkAcwBwAG8AcwBhAGwAQwBvAHMAdAApACwAXABuACAAIAAgACAAIAAgACAAIAAgACAAIAAgACAAIAAgACAAIAAgACAAIAAgACAAIAAgACAAIAAgACAAIAAgACAAIAAgACAAIAAgAFMAYQBsAHYAYQBnAGUALAAgACAAIAAgACAAIAAgACAASABTAFQAQQBDAEsAKAAgAFMARQBRAFUARQBOAEMARQAoACAAMQAsACAATABpAGYAZQBJAG4ATQBvAG4AdABoAHMAIAAtACAAMQAsACAAMAAsACAAMAApACAALAAgAFMAYQBsAHYAYQBnAGUAVgBhAGwAdQBlACkALABcAG4AIAAgACAAIAAgACAAIAAgACAAIAAgACAAIAAgACAAIAAgACAAIAAgACAAIAAgACAAIAAgACAAIAAgACAAIAAgAC8ALwAgACAAQQBsAGwAbwBjAGEAdABpAG4AZwAgAGEAbgBuAHUAYQBsACAAdgBhAGwAdQBlAHMAIAB0AG8AIABtAG8AbgB0AGgAcwBcAG4AIAAgACAAIAAgACAAIAAgACAAIAAgACAAIAAgACAAIAAgACAAIAAgACAAIAAgACAAIAAgACAAIAAgACAAIAAgACAAIAAgACAAQQBsAGwAbwBjAGEAdABlACwAIAAgACAAIAAgACAAIABIAFMAVABBAEMASwAoACAARQBYAFAAQQBOAEQAKAAgAEEAbABsAG8AYwBhAHQAZQC7AygAIABEAGUAcAByAGUAYwBpAGEAdABlACwAIABcACIAWQBcACIALAAgAFwAIgBNAFwAIgApACwAIAAxACwAIABMAGkAZgBlAEkAbgBNAG8AbgB0AGgAcwAgAC0AIAAxACwAIAAwACkALAAgAFMAYQBsAHYAYQBnAGUAVgBhAGwAdQBlACkALABcAG4AIAAgACAAIAAgACAAIAAgACAAIAAgACAAIAAgACAAIAAgACAAIAAgACAAIAAgACAAIAAgACAAIAAgACAAIAAgACAAIAAgACAATwBwAGUAbgBpAG4AZwAsACAAIAAgACAAIAAgACAAIABEAFIATwBQACgAIABIAFMAVABBAEMASwAoACAASQBuAGkAdABpAGEAbABWAGEAbAB1AGUALAAgAFMAQwBBAE4AKAAgAEkAbgBpAHQAaQBhAGwAVgBhAGwAdQBlACwAIABBAGwAbABvAGMAYQB0AGUALAAgAEwAQQBNAEIARABBACgAIABBAGMAYwAsACAAVgBhAGwALAAgAEEAYwBjACAALQAgAFYAYQBsACkAKQApACwAIAAwACwAIAAtADEAKQAsAFwAbgAgACAAIAAgACAAIAAgACAAIAAgACAAIAAgACAAIAAgACAAIAAgACAAIAAgACAAIAAgACAAIAAgACAAIAAgACAALwAvACAAIABDAHIAZQBhAHQAZQAgAGEAIABtAG8AbgB0AGgAbAB5ACAAdABpAG0AZQBsAGkAbgBlACAAZgBvAHIAIAB0AGgAZQAgAGEAcwBzAGUAdABcAG4AIAAgACAAIAAgACAAIAAgACAAIAAgACAAIAAgACAAIAAgACAAIAAgACAAIAAgACAAIAAgACAAIAAgACAAIAAgACAAIAAgACAAQQBzAHMAZQB0AFQAaQBtAGUAbABpAG4AZQAsACAAIABFAEQAQQBUAEUAKAAgAEkAbgBTAGUAcgB2AGkAYwBlAEQAYQB0AGUALAAgAFMARQBRAFUARQBOAEMARQAoACAALAAgAEwAaQBmAGUASQBuAE0AbwBuAHQAaABzACwAIAAwACkAKQAsACAAXABuACAAIAAgACAAIAAgACAAIAAgACAAIAAgACAAIAAgACAAIAAgACAAIAAgACAAIAAgACAAIAAgACAAIAAgACAAIAAvAC8AIAAgAEEAZwBnAHIAZQBnAGEAdABlACAAbQBvAG4AdABoAGwAeQAgAGEAbABsAG8AYwBhAHQAaQBvAG4AcwAgAGIAeQAgAG0AbwBkAGUAbAAnAHMAIABwAGUAcgBpAG8AZAAgAGkAbgB0AGUAcgB2AGEAbABzACAAYQBuAGQAIABwAG8AcwBpAHQAaQBvAG4AIABpAG4AIAB0AGkAbQBlAGwAbgBlAFwAbgAgACAAIAAgACAAIAAgACAAIAAgACAAIAAgACAAIAAgACAAIAAgACAAIAAgACAAIAAgACAAIAAgACAAIAAgACAAIAAgACAAIABEAGUAcAByAGUAYwBpAGEAdABpAG8AbgAsACAAIAAgAE0AQQBQACgAIABTAEUAUQBVAEUATgBDAEUAKAAgACwAIABUAGkAbQBlAGwAaQBuAGUAQwBvAGwAcwApACwAIABcAG4AIAAgACAAIAAgACAAIAAgACAAIAAgACAAIAAgACAAIAAgACAAIAAgACAAIAAgACAAIAAgACAAIAAgACAAIAAgACAAIAAgACAAIAAgACAAIAAgACAAIAAgACAAIAAgACAAIAAgACAAIAAgACAAIAAgAEwAQQBNAEIARABBACgAIABuACwAIABcAG4AIAAgACAAIAAgACAAIAAgACAAIAAgACAAIAAgACAAIAAgACAAIAAgACAAIAAgACAAIAAgACAAIAAgACAAIAAgACAAIAAgACAAIAAgACAAIAAgACAAIAAgACAAIAAgACAAIAAgACAAIAAgACAAIAAgACAAIAAgACAAUwBVAE0AKAAoAEEAbABsAG8AYwBhAHQAZQApACAAKgAgACgAIABBAHMAcwBlAHQAVABpAG0AZQBsAGkAbgBlACAAPAA9ACAASQBOAEQARQBYACgARQBuAGQARABhAHQAZQBzACwAIABuACkAKQAgACoAIAAoACAAQQBzAHMAZQB0AFQAaQBtAGUAbABpAG4AZQAgAD4APQAgAEkATgBEAEUAWAAoACAAVABpAG0AZQBsAGkAbgBlACwAIABuACkAKQApACkAKQAsAFwAbgAgACAAIAAgACAAIAAgACAAIAAgACAAIAAgACAAIAAgACAAIAAgACAAIAAgACAAIAAgACAAIAAgACAAIAAgACAAIAAgACAAIABDAEEAUABFAFgALAAgACAAIAAgACAAIAAgACAAIAAgAEkAbgBpAHQAaQBhAGwAVgBhAGwAdQBlACAAKgAgACgAVABpAG0AZQBsAGkAbgBlACAAPAA9ACAASQBuAFMAZQByAHYAaQBjAGUARABhAHQAZQApACAAKgAgACgARQBuAGQARABhAHQAZQBzACAAPgA9ACAASQBuAFMAZQByAHYAaQBjAGUARABhAHQAZQApACwAIABcAG4AIAAgACAAIAAgACAAIAAgACAAIAAgACAAIAAgACAAIAAgACAAIAAgACAAIAAgACAAIAAgACAAIAAgACAAIAAgACAAIAAgACAATwBwAGUAbgBpAG4AZwBBAG0AbwB1AG4AdAAsACAAIABNAEEAUAAoACAAUwBFAFEAVQBFAE4AQwBFACgAIAAsACAAVABpAG0AZQBsAGkAbgBlAEMAbwBsAHMAKQAsACAAXABuACAAIAAgACAAIAAgACAAIAAgACAAIAAgACAAIAAgACAAIAAgACAAIAAgACAAIAAgACAAIAAgACAAIAAgACAAIAAgACAAIAAgACAAIAAgACAAIAAgACAAIAAgACAAIAAgACAAIAAgACAAIAAgACAAIABMAEEATQBCAEQAQQAoACAAbgAsAFwAbgAgACAAIAAgACAAIAAgACAAIAAgACAAIAAgACAAIAAgACAAIAAgACAAIAAgACAAIAAgACAAIAAgACAAIAAgACAAIAAgACAAIAAgACAAIAAgACAAIAAgACAAIAAgACAAIAAgACAAIAAgACAAIAAgACAAIAAgACAAIABJAEYARQBSAFIATwBSACgASQBOAEQARQBYACgAIABPAHAAZQBuAGkAbgBnACwAIABNAEEAVABDAEgAKAAxACwAKABBAHMAcwBlAHQAVABpAG0AZQBsAGkAbgBlACAAPgA9ACAASQBOAEQARQBYACgAIABUAGkAbQBlAGwAaQBuAGUALAAgAG4AKQApACoAKABBAHMAcwBlAHQAVABpAG0AZQBsAGkAbgBlADwAPQBJAE4ARABFAFgAKAAgAEUAbgBkAEQAYQB0AGUAcwAsACAAbgApACkALAAwACkAKQAsADAAKQApACkALABcAG4AIAAgACAAIAAgACAAIAAgACAAIAAgACAAIAAgACAAIAAgACAAIAAgACAAIAAgACAAIAAgACAAIAAgACAAIAAgACAAIAAgACAAQgBvAG8AawBWAGEAbAB1AGUALAAgACAAIAAgACAAIABPAHAAZQBuAGkAbgBnAEEAbQBvAHUAbgB0ACAALQAgAEQAZQBwAHIAZQBjAGkAYQB0AGkAbwBuACwAXABuACAAIAAgACAAIAAgACAAIAAgACAAIAAgACAAIAAgACAAIAAgACAAIAAgACAAIAAgACAAIAAgACAAIAAgACAAIAAgACAAIAAgAFMAYQBsAGUAcwBSAGUAdgBlAG4AdQBlACwAIAAgACAAUwBhAGwAdgBhAGcAZQBWAGEAbAB1AGUAIAAqACAAKABUAGkAbQBlAGwAaQBuAGUAIAA8AD0AIABEAGkAcwBwAG8AcwBhAGwARABhAHQAZQApACAAKgAgACgARQBuAGQARABhAHQAZQBzACAAPgA9ACAARABpAHMAcABvAHMAYQBsAEQAYQB0AGUAKQAsACAAXABuACAAIAAgACAAIAAgACAAIAAgACAAIAAgACAAIAAgACAAIAAgACAAIAAgACAAIAAgACAAIAAgACAAIAAgACAAIAAgACAAIAAgAEQAaQBzAHAAbwBzAGEAbABFAHgAcAAsACAAIAAgACAARABpAHMAcABvAHMAYQBsAEMAbwBzAHQAIAAqACAAKABUAGkAbQBlAGwAaQBuAGUAIAA8AD0AIABEAGkAcwBwAG8AcwBhAGwARABhAHQAZQApACAAKgAgACgARQBuAGQARABhAHQAZQBzACAAPgA9ACAARABpAHMAcABvAHMAYQBsAEQAYQB0AGUAKQAsACAAXABuACAAIAAgACAAIAAgACAAIAAgACAAIAAgACAAIAAgACAAIAAgACAAIAAgACAAIAAgACAAIAAgACAAIAAgACAAIAAvAC8AIAAgAEEAcwBzAGUAbQBiAGwAZQAgAHQAaABpAHMAIABhAHMAcwBlAHQAcwAgAHIAbwB3AHMAIABpAG4AdABvACAAYQAgAGIAbABvAGMAawBcAG4AIAAgACAAIAAgACAAIAAgACAAIAAgACAAIAAgACAAIAAgACAAIAAgACAAIAAgACAAIAAgACAAIAAgACAAIAAgACAAIAAgACAATgBlAHcAQgBsAG8AYwBrACwAIAAgACAAIAAgACAAIABWAFMAVABBAEMASwAoACAAQwBBAFAARQBYACwAIABPAHAAZQBuAGkAbgBnAEEAbQBvAHUAbgB0ACwAIABEAGUAcAByAGUAYwBpAGEAdABpAG8AbgAsACAAQgBvAG8AawBWAGEAbAB1AGUALAAgAFMAYQBsAGUAcwBSAGUAdgBlAG4AdQBlACwAIABEAGkAcwBwAG8AcwBhAGwARQB4AHAAKQAsAFwAbgAgACAAIAAgACAAIAAgACAAIAAgACAAIAAgACAAIAAgACAAIAAgACAAIAAgACAAIAAgACAAIAAgACAAIAAgACAALwAvACAAIABBAGQAZAAgAHQAaABpAHMAIABiAGwAbwBjAGsAIAB0AG8AIABwAHIAaQBvAHIAIABiAGwAbwBjAGsAcwAgACgAaQBmACAAYQBuAHkAKQBcAG4AIAAgACAAIAAgACAAIAAgACAAIAAgACAAIAAgACAAIAAgACAAIAAgACAAIAAgACAAIAAgACAAIAAgACAAIAAgACAAIAAgACAAUgBlAHMAdQBsAHQALAAgACAAIAAgACAAIAAgACAAIABJAEYAKAAgAEEAcwBzAGUAdAAgAD0AIAAxACwAIABcAG4AIAAgACAAIAAgACAAIAAgACAAIAAgACAAIAAgACAAIAAgACAAIAAgACAAIAAgACAAIAAgACAAIAAgACAAIAAgACAAIAAgACAAIAAgACAAIAAgACAAIAAgACAAIAAgACAAIAAgACAAIAAgACAAIAAgAE4AZQB3AEIAbABvAGMAawAsACAAXABuACAAIAAgACAAIAAgACAAIAAgACAAIAAgACAAIAAgACAAIAAgACAAIAAgACAAIAAgACAAIAAgACAAIAAgACAAIAAgACAAIAAgACAAIAAgACAAIAAgACAAIAAgACAAIAAgACAAIAAgACAAIAAgACAAIABWAFMAVABBAEMASwAoAFwAbgAgACAAIAAgACAAIAAgACAAIAAgACAAIAAgACAAIAAgACAAIAAgACAAIAAgACAAIAAgACAAIAAgACAAIAAgACAAIAAgACAAIAAgACAAIAAgACAAIAAgACAAIAAgACAAIAAgACAAIAAgACAAIAAgACAAIAAgACAAIABCAGwAbwBjAGsALABcAG4AIAAgACAAIAAgACAAIAAgACAAIAAgACAAIAAgACAAIAAgACAAIAAgACAAIAAgACAAIAAgACAAIAAgACAAIAAgACAAIAAgACAAIAAgACAAIAAgACAAIAAgACAAIAAgACAAIAAgACAAIAAgACAAIAAgACAAIAAgACAARQBYAFAAQQBOAEQAKABcACIAXAAiACwAIAAxACwAIABUAGkAbQBlAGwAaQBuAGUAQwBvAGwAcwAsACAAXAAiAFwAIgApACwAXABuACAAIAAgACAAIAAgACAAIAAgACAAIAAgACAAIAAgACAAIAAgACAAIAAgACAAIAAgACAAIAAgACAAIAAgACAAIAAgACAAIAAgACAAIAAgACAAIAAgACAAIAAgACAAIAAgACAAIAAgACAAIAAgACAAIAAgACAAIAAgAE4AZQB3AEIAbABvAGMAawBcAG4AIAAgACAAIAAgACAAIAAgACAAIAAgACAAIAAgACAAIAAgACAAIAAgACAAIAAgACAAIAAgACAAIAAgACAAIAAgACAAIAAgACAAIAAgACAAIAAgACAAIAAgACAAIAAgACAAIAAgACAAIAAgACAAIAAgACAAIAAgACAAKQBcAG4AIAAgACAAIAAgACAAIAAgACAAIAAgACAAIAAgACAAIAAgACAAIAAgACAAIAAgACAAIAAgACAAIAAgACAAIAAgACAAIAAgACAAIAAgACAAIAAgACAAIAAgACAAIAAgACAAIAAgACAAIAApACwAXABuACAAIAAgACAAIAAgACAAIAAgACAAIAAgACAAIAAgACAAIAAgACAAIAAgACAAIAAgACAAIAAgACAAIAAgACAAIAAgACAAIAAgAFIAZQBzAHUAbAB0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CAAXABuACkAOwBcAG4AXABuAFwAbgBcAG4ALwAqACAAIABGAFUATgBDAFQASQBPAE4AIABOAEEATQBFADoAIAAgAEwAYQBiAGUAbABEAGUAcAByAGUAYwBpAGEAdABlALsDXABuACAAIAAgACAARABFAFMAQwBSAEkAUABUAEkATwBOADoAKgAvAC8AKgAqAEMAcgBlAGEAdABlACAAbABhAGIAZQBsAHMAIABmAG8AcgAgAEQAZQBwAHIAZQBjAGkAYQB0AGUAuwMqAC8AXABuAEwAYQBiAGUAbABEAGUAcAByAGUAYwBpAGEAdABlALsDIAA9ACAATABBAE0AQgBEAEEAKABcAG4ALwAvACAAIABQAGEAcgBhAG0AZQB0AGUAcgAgAEQAZQBjAGwAYQByAGEAdABpAG8AbgBzAFwAbgAgACAAIAAgAFsAQQBzAHMAZQB0AE4AYQBtAGUAcwBdACwAIAAgAFwAbg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MAGEAYgBlAGwARABlAHAAcgBlAGMAaQBhAHQAZQC7AygAIABBAHMAcwBlAHQATgBhAG0AZQBzACkAtgBcACIAIAAmAFwAbgAgACAAIAAgACAAIAAgACAAIAAgACAAIAAgACAAIAAgACAAIAAgACAAIAAgACAAIAAgACAAIAAgAFwAIgBEAEUAUwBDAFIASQBQAFQASQBPAE4AOgAgACAAIACSIUMAcgBlAGEAdABlACAAcgBvAHcAIABsAGEAYgBlAGwAcwAgAGYAbwByACAAdABoAGUAIABkAGUAcAByAGUAYwBpAGEAdABpAG8AbgAgAHMAYwBoAGUAZAB1AGwAZQAgAGEAcgByAGEAeQAgAHAAcgBvAGQAdQBjAGUAZAAgAGIAeQAgAEQAZQBwAHIAZQBjAGkAYQB0AGUAuwO2AFwAIgAgACYAIA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zAHMAZQB0AE4AYQBtAGUAcwAgACAAIAAgACAAkiEoAFIAZQBxAHUAaQByAGUAZAApACAAVABoAGUAIABuAGEAbQBlAHMAIABvAHIAIABkAGUAcwBjAHIAaQBwAHQAaQBvAG4AcwAgAG8AZgAgAGUAYQBjAGgAIABhAHMAcwBlAHQAIABpAG4AIAB0AGUAaAAgAGQAZQBwAHIAZQBjAGkAYQB0AGkAbwBuACAAcwBjAGgAZQBkAHUAbABlACAAcAByAG8AZAB1AGMAZQBkACAAYgB5ACAARABlAHAAcgBlAGMAaQBhAHQAZQC7A7YAXAAiACAAJgAgACAAIAAgACAAIAAgACAAIAAgACAAIAAgACAAIAAgACAAIA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AgACAAIAAgACAAIAAgACAAIAAgACAAIAAgACAAIABcACIAkiE9AG4AYQBiAGwAYQAuAGYALgBMAGEAYgBlAGwARABlAHAAcgBlAGMAaQBhAHQAZQC7AygAdABiAGwAQQBzAHMAZQB0AHMAWwBBAHMAcwBlAHQAIABOAGEAbQBlAF0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SQBTAE8ATQBJAFQAVABFAEQAKAAgAEEAcwBzAGUAdABOAGEAbQBlAHMAKQAsAFwAbgAgACAAIAAgAC8ALwAgACAAUAByAG8AYwBlAGQAdQByAGUAXABuACAAIAAgACAAIAAgACAAIABSAGUAcwB1AGwAdAAsACAAIAAgACAAIAAgACAAIAAgAE0AQQBLAEUAQQBSAFIAQQBZACgAIABSAE8AVwBTACgAQQBzAHMAZQB0AE4AYQBtAGUAcwApACAAKgAgADcAIAAtACAAMQAsACAAMQAsACAAXABuACAAIAAgACAAIAAgACAAIAAgACAAIAAgACAAIAAgACAAIAAgACAAIAAgACAAIAAgACAAIAAgACAATABBAE0AQgBEAEEAKABSACwAIABDACwAIABcAG4AIAAgACAAIAAgACAAIAAgACAAIAAgACAAIAAgACAAIAAgACAAIAAgACAAIAAgACAAIAAgACAAIAAgACAAIAAgAEwARQBUACgAQQBzAHMAZQB0AE4AYQBtAGUALAAgACAAIABJAE4ARABFAFgAKAAgAEEAcwBzAGUAdABOAGEAbQBlAHMALAAgAFEAVQBPAFQASQBFAE4AVAAoAFIALQAxACwAIAA3ACkAIAArACAAMQApACwAIABcAG4AIAAgACAAIAAgACAAIAAgACAAIAAgACAAIAAgACAAIAAgACAAIAAgACAAIAAgACAAIAAgACAAIAAgACAAIAAgACAAIAAgACAAUwBXAEkAVABDAEgAKAAgAE0ATwBEACgAUgAtADEALAAgADcAKQAgACsAIAAxACwAXABuACAAIAAgACAAIAAgACAAIAAgACAAIAAgACAAIAAgACAAIAAgACAAIAAgACAAIAAgACAAIAAgACAAIAAgACAAIAAgACAAIAAgACAAIAAgACAAMQAsACAAIABBAHMAcwBlAHQATgBhAG0AZQAgACYAIABcACIAIABDAEEAUABFAFgAXAAiACwAXABuACAAIAAgACAAIAAgACAAIAAgACAAIAAgACAAIAAgACAAIAAgACAAIAAgACAAIAAgACAAIAAgACAAIAAgACAAIAAgACAAIAAgACAAIAAgACAAMgAsACAAIABBAHMAcwBlAHQATgBhAG0AZQAgACYAIABcACIAIABPAHAAZQBuAGkAbgBnACAAVgBhAGwAdQBlAFwAIgAsAFwAbgAgACAAIAAgACAAIAAgACAAIAAgACAAIAAgACAAIAAgACAAIAAgACAAIAAgACAAIAAgACAAIAAgACAAIAAgACAAIAAgACAAIAAgACAAIAAgADMALAAgACAAQQBzAHMAZQB0AE4AYQBtAGUAIAAmACAAXAAiACAARABlAHAAcgBlAGMAaQBhAHQAaQBvAG4AXAAiACwAXABuACAAIAAgACAAIAAgACAAIAAgACAAIAAgACAAIAAgACAAIAAgACAAIAAgACAAIAAgACAAIAAgACAAIAAgACAAIAAgACAAIAAgACAAIAAgACAANAAsACAAIABBAHMAcwBlAHQATgBhAG0AZQAgACYAIABcACIAIABCAG8AbwBrACAAVgBhAGwAdQBlAFwAIgAsAFwAbgAgACAAIAAgACAAIAAgACAAIAAgACAAIAAgACAAIAAgACAAIAAgACAAIAAgACAAIAAgACAAIAAgACAAIAAgACAAIAAgACAAIAAgACAAIAAgADUALAAgACAAQQBzAHMAZQB0AE4AYQBtAGUAIAAmACAAXAAiACAAUgBlAHYAZQBuAHUAZQAgAGYAcgBvAG0AIABTAGEAbABlAFwAIgAsAFwAbgAgACAAIAAgACAAIAAgACAAIAAgACAAIAAgACAAIAAgACAAIAAgACAAIAAgACAAIAAgACAAIAAgACAAIAAgACAAIAAgACAAIAAgACAAIAAgADYALAAgACAAQQBzAHMAZQB0AE4AYQBtAGUAIAAmACAAXAAiACAARABpAHMAcABvAHMAYQBsACAAQwBvAHMAdABzAFwAIgAsAFwAbgAgACAAIAAgACAAIAAgACAAIAAgACAAIAAgACAAIAAgACAAIAAgACAAIAAgACAAIAAgACAAIAAgACAAIAAgACAAIAAgACAAIAAgACAAIAAgADcALAAgACAAXAAiAFwAIgBcAG4AIAAgACAAIAAgACAAIAAgACAAIAAgACAAIAAgACAAIAAgACAAIAAgACAAIAAgACAAIAAgACAAIAAgACAAIAAgACAAIAAgACAAKQ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UwB1AG0ARABlAHAAcgBlAGMAaQBhAHQAZQC7A1wAbgAgACAAIAAgAEQARQBTAEMAUgBJAFAAVABJAE8ATgA6ACoALwAvACoAKgBDAHIAZQBhAHQAZQAgAHIAbwB3ACAAdABvAHQAYQBsAHMAIABmAG8AcgAgAEQAZQBwAHIAZQBjAGkAYQB0AGUAuwMqAC8AXABuAFMAdQBtAEQAZQBwAHIAZQBjAGkAYQB0AGUAuwMgAD0AIABMAEEATQBCAEQAQQAoAFwAbgAvAC8AIAAgAFAAYQByAGEAbQBlAHQAZQByACAARABlAGMAbABhAHIAYQB0AGkAbwBuAHMAXABuACAAIAAgACAAWwBEAGUAcAByAGUAYwBpAGEAdABpAG8AbgBTAGMAaABlAGQAdQBsAGUAXQAsAFwAbg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TAHUAbQBEAGUAcAByAGUAYwBpAGEAdABlALsDKABEAGUAcAByAGUAYwBpAGEAdABpAG8AbgBTAGMAaABlAGQAdQBsAGUAKQC2AFwAIgAgACYAXABuACAAIAAgACAAIAAgACAAIAAgACAAIAAgACAAIAAgACAAIAAgACAAIAAgACAAIAAgACAAIAAgACAAXAAiAEQARQBTAEMAUgBJAFAAVABJAE8ATgA6ACAAIAAgAJIhQwByAGUAYQB0AGUAIAByAG8AdwAgAHQAbwB0AGEAbABzACAAZgBvAHIAIABEAGUAcAByAGUAYwBpAGEAdABlALsDtgBcACIAIAAmACAAXABuACAAIAAgACA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QAZQBwAHIAZQBjAGkAYQB0AGkAbwBuAFMAYwBoAGUAZAB1AGwAZQCSISgAUgBlAHEAdQBpAHIAZQBkACkAIABBAG4AIABhAHIAcgBhAHkAIABwAHIAbwBkAHUAYwBlAGQAIABiAHkAIABEAGUAcAByAGUAYwBpAGEAdABlALsDtgBcACIAIAAmACAAIAAgACAAIAAgACAAIAAgACAAIAAgACAAIAAgACA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IAAgACAAIAAgACAAIAAgACAAIAAgACAAIAAgACAAXAAiAJIhPQBuAGEAYgBsAGEALgBmAC4AUwB1AG0ARABlAHAAcgBlAGMAaQBhAHQAZQC7AygARABlAHAAcgBlAGMAaQBhAHQAaQBvAG4AUwBjAGgAZQBkAHUAbABl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JAFMATwBNAEkAVABUAEUARAAoACAARABlAHAAcgBlAGMAaQBhAHQAaQBvAG4AUwBjAGgAZQBkAHUAbABlACkALABcAG4AIAAgACAAIAAvAC8AIAAgAFAAcgBvAGMAZQBkAHUAcgBlAFwAbgAgACAAIAAgACAAIAAgACAAUgBlAHMAdQBsAHQALAAgACAAIAAgACAAIAAgACAAIABNAEEASwBFAEEAUgBSAEEAWQAoAFIATwBXAFMAKABEAGUAcAByAGUAYwBpAGEAdABpAG8AbgBTAGMAaABlAGQAdQBsAGUAKQAsACAAMQAsACAAXABuACAAIAAgACAAIAAgACAAIAAgACAAIAAgACAAIAAgACAAIAAgACAAIAAgACAAIAAgACAAIAAgACAATABBAE0AQgBEAEEAKAAgAFIALAAgAEMALABcAG4AIAAgACAAIAAgACAAIAAgACAAIAAgACAAIAAgACAAIAAgACAAIAAgACAAIAAgACAAIAAgACAAIAAgACAAIAAgAFMAVwBJAFQAQwBIACgAIABNAE8ARAAoACAAUgAsACAANwApACwAXABuACAAIAAgACAAIAAgACAAIAAgACAAIAAgACAAIAAgACAAIAAgACAAIAAgACAAIAAgACAAIAAgACAAIAAgACAAIAAgACAAIAAgADEALAAgAFMAVQBNACgAQwBIAE8ATwBTAEUAUgBPAFcAUwAoACAARABlAHAAcgBlAGMAaQBhAHQAaQBvAG4AUwBjAGgAZQBkAHUAbABlACwAIABSACkAKQAsAFwAbgAgACAAIAAgACAAIAAgACAAIAAgACAAIAAgACAAIAAgACAAIAAgACAAIAAgACAAIAAgACAAIAAgACAAIAAgACAAIAAgACAAIAAzACwAIABTAFUATQAoAEMASABPAE8AUwBFAFIATwBXAFMAKAAgAEQAZQBwAHIAZQBjAGkAYQB0AGkAbwBuAFMAYwBoAGUAZAB1AGwAZQAsACAAUgApACkALABcAG4AIAAgACAAIAAgACAAIAAgACAAIAAgACAAIAAgACAAIAAgACAAIAAgACAAIAAgACAAIAAgACAAIAAgACAAIAAgACAAIAAgACAANQAsACAAUwBVAE0AKABDAEgATwBPAFMARQBSAE8AVwBTACgAIABEAGUAcAByAGUAYwBpAGEAdABpAG8AbgBTAGMAaABlAGQAdQBsAGUALAAgAFIAKQApACwAXABuACAAIAAgACAAIAAgACAAIAAgACAAIAAgACAAIAAgACAAIAAgACAAIAAgACAAIAAgACAAIAAgACAAIAAgACAAIAAgACAAIAAgADYALAAgAFMAVQBNACgAQwBIAE8ATwBTAEUAUgBPAFcAUwAoACAARABlAHAAcgBlAGMAaQBhAHQAaQBvAG4AUwBjAGgAZQBkAHUAbABlACwAIABSACkAKQAsAFwAbgAgACAAIAAgACAAIAAgACAAIAAgACAAIAAgACAAIAAgACAAIAAgACAAIAAgACAAIAAgACAAIAAgACAAIAAgACAAIAAgACAAIAAw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BAGwAbABvAGMAYQB0AGUAuwNcAG4AIAAgACAAIABEAEUAUwBDAFIASQBQAFQASQBPAE4AOgAqAC8ALwAqACoAkiFEAGkAdgBpAGQAZQAgAG8AbgBlACAAbwByACAAbQBvAHIAZQAgAGEAbQBvAHUAbgB0AHMAIABlAHEAdQBhAGwAbAB5ACAAYQBjAHIAbwBzAHMAIABzAG0AYQBsAGwAZQByACAAcABlAHIAaQBvAGQAcwAqAC8AXABuAEEAbABsAG8AYwBhAHQAZQC7AyAAPQAgAEwAQQBNAEIARABBACgAXABuAC8ALwAgACAAUABhAHIAYQBtAGUAdABlAHIAIABEAGUAYwBsAGEAcgBhAHQAaQBvAG4AXABuACAAIAAgACAAWwBBAG0AbwB1AG4AdABzAF0ALABcAG4AIAAgACAAIABbAEYAcgBvAG0ASQBuAHQAZQByAHYAYQBsAF0ALAAgAFwAbgAgACAAIAAgAFsAVABvAEkAbgB0AGUAcgB2AGEAbABdACw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BAGwAbABvAGMAYQB0AGUAuwMoAEEAbQBvAHUAbgB0AHMALAAgAFsARgByAG8AbQBJAG4AdABlAHIAdgBhAGwAXQAsACAAWwBUAG8ASQBuAHQAZQByAHYAYQBsAF0AKQC2AFwAIgAgACYAXABuACAAIAAgACAAIAAgACAAIAAgACAAIAAgACAAIAAgACAAIAAgACAAIAAgACAAIAAgACAAIAAgACAAXAAiAEQARQBTAEMAUgBJAFAAVABJAE8ATgA6ACAAIAAgAJIhRABpAHYAaQBkAGUAIABvAG4AZQAgAG8AcgAgAG0AbwByAGUAIABhAG0AbwB1AG4AdABzACAAZQBxAHUAYQBsAGwAeQAgAGEAYwByAG8AcwBzACAAcwBtAGEAbABsAGUAcgAgAHAAZQByAGkAbwBkAHMAtgBcACIAIAAmAFwAbgAgACAAIAAgACAAIAAgACAAIAAgACAAIAAgACAAIAAgACAAIAAgACAAIAAgACAAIAAgACAAIAAgAFwAIgBXAEUAQgBQAEEARwBFADoAIAAgACAAIAAgACAAIACSIWgAdAB0AHAAcwA6AC8ALwBnAGkAdABoAHUAYgAuAGMAbwBtAC8AcgB5AGEAbgBkAHUAZwB1AGkAZAAvAE4AYQBiAGwAYQC2AFwAIgAgACYAIA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G0AbwB1AG4AdABzACAAIAAgACAAIAAgACAAIACSISgAUgBlAHEAdQBpAHIAZQBkACkAIABPAG4AZQAgAGEAbQBvAHUAbgB0ACAAbwByACAAYQAgAHIAbwB3ACAAbwBmACAAYQBtAG8AdQBuAHQAcwAgAHQAbwAgAGEAbABsAG8AYwBhAHQAZQAuALYAXAAiACAAJgAgACAAIAAgACAAIAAgACAAIAAgACAAIAAgACAAIAAgACAAIAAgAFwAbgAgACAAIAAgACAAIAAgACAAIAAgACAAIAAgACAAIAAgACAAIAAgACAAIAAgACAAIAAgACAAIAAgAFwAIgBGAHIAbwBtAEkAbgB0AGUAcgB2AGEAbAAgACAAIACSISgATwBwAHQAaQBvAG4AYQBsACAARABlAGYAYQB1AGwAdAA9AFkAKQAgAFQAaABlACAAbABhAHIAZwBlAHIAIABpAG4AdABlAHIAdgBhAGwAIABpAG4AIABRAD0AUQB1AGEAcgB0AGUAcgBzACAAbwByACAAWQA9AFkAZQBhAHIAcwC2AFwAIgAgACYAIABcAG4AIAAgACAAIAAgACAAIAAgACAAIAAgACAAIAAgACAAIAAgACAAIAAgACAAIAAgACAAIAAgACAAIABcACIAVABvAEkAbgB0AGUAcgB2AGEAbAAgACAAIAAgACAAkiEoAE8AcAB0AGkAbwBuAGEAbAAgAEQAZQBmAGEAdQBsAHQAPQBNACkAIABUAGgAZQAgAHMAbQBhAGwAbABlAHIAIABpAG4AdABlAHIAdgBhAGwAIABpAG4AIABXAD0AVwBlAGUAawBzACwAIABNAD0ATQBvAG4AdABoAHMALAAgAG8AcgAgAFEAPQBRAHUAYQByAHQAZQByAHMAtgBcACIAIAAmACAAXABuACAAIAAgACAAIAAgACAAIAAgACAAIAAgACAAIAAgACAAIAAgACAAIAAgACAAIAAgACAAIAAgACAAXAAiAE4ATwBUAEUAIQAgACAAIAAgACAAIAAgACAAIAAgAJIhtgBcACIAIAAmACAAXABuACAAIAAgACAAIAAgACAAIAAgACAAIAAgACAAIAAgACAAIAAgACAAIAAgACAAIAAgACAAIAAgACAAIAAgACAAIAAgACAAIAAgACAAIAAgACAAIAAgACAAXAAiAJIhVwBoAGUAbgAgAGEAIABGAHIAbwBtACAAUABlAHIAaQBvAGQAJwBzACAAYQBtAG8AdQBuAHQAIABkAG8AZQBzACAAbgBvAHQAIABkAGkAdgBpAGQAZQAgAGUAdgBlAG4AbAB5ACAAdABvACAAdABoAGUAIAAxAC8AMQAwADAAIABmAG8AcgAgAGEAbABsACAAVABvACAAUABlAHIAaQBvAGQAcwAnACwAtgBcACIAIAAmACAAXABuACAAIAAgACAAIAAgACAAIAAgACAAIAAgACAAIAAgACAAIAAgACAAIAAgACAAIAAgACAAIAAgACAAIAAgACAAIAAgACAAIAAgACAAIAAgACAAIAAgACAAXAAiAJIhdABoAGUAIABsAGEAcwB0ACAAVABvACAAUABlAHIAaQBvAGQAIABjAG8AbgB0AGEAaQBuAHMAIAB0AGgAZQAgAG4AZQBjAGUAcwBzAGEAcgB5ACAAYQBkAGoAdQBzAHQAbQBlAG4AdAAuALYAXAAiACAAJgAgAFwAbgAgACAAIAAgACAAIAAgACAAIAAgACAAIAAgACAAIAAgACAAIAAgACAAIAAgACAAIAAgACAAIAAgAFwAIgBFAFgAQQBNAFAATABFAFMAOgAgACAAIAAgACAAIACSIbYAXAAiACAAJgBcAG4AIAAgACAAIAAgACAAIAAgACAAIAAgACAAIAAgACAAIAAgACAAIAAgACAAIAAgACAAIAAgACAAIAAgACAAIAAgACAAIAAgACAAIAAgACAAIAAgACAAIABcACIAkiFGAG8AcgBtAHUAbABhACAAKABuAGEAYgBsAGEALgBmACAAaQBzACAAYQBzAHMAdQBtAGUAZAAgAHQAbwAgAGIAZQAgAHQAaABlACAAbQBvAGQAdQBsAGUAJwBzACAAbgBhAG0AZQApALYAXAAiACAAJgBcAG4AIAAgACAAIAAgACAAIAAgACAAIAAgACAAIAAgACAAIAAgACAAIAAgACAAIAAgACAAIAAgACAAIAAgACAAIAAgACAAIAAgACAAIAAgACAAIAAgACAAIABcACIAkiE9AG4AYQBiAGwAYQAuAGYALgBBAGwAbABvAGMAYQB0AGUAuwMoAHsAOQA5ADkALgA5ADkALAAgADIAMAAwADAAfQAsACAAXAAiAFwAIgBZAFwAIgBcACIALAAgAFwAIgBcACIAUQBcACIAXAAi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yADUAMAAsADIANQAwACwAMgA1ADAALAAyADQAOQAuADkAOQAsADUAMAAwACwANQAwADAALAA1ADAAMAAsADUAMAAw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JAFMATwBNAEkAVABUAEUARAAoACAAQQBtAG8AdQBuAHQAcwApACwAXABuACAAIAAgACAALwAvACAAIABTAGUAdAAgAGQAZQBmAGEAdQBsAHQAcwAgAGYAbwByACAAbwBwAHQAaQBvAG4AYQBsACAAdgBhAGwAdQBlAHMAXABuACAAIAAgACAAIAAgACAAIABGAHIAbwBtAEkAbgB0AGUAcgB2AGEAbAAsACAAIAAgAEkARgAoACAASQBTAE8ATQBJAFQAVABFAEQAKAAgAEYAcgBvAG0ASQBuAHQAZQByAHYAYQBsACkALAAgAFwAIgBZAFwAIgAsACAARgByAG8AbQBJAG4AdABlAHIAdgBhAGwAKQAsAFwAbgAgACAAIAAgACAAIAAgACAAVABvAEkAbgB0AGUAcgB2AGEAbAAsACAAIAAgACAAIABJAEYAKAAgAEkAUwBPAE0ASQBUAFQARQBEACgAIABUAG8ASQBuAHQAZQByAHYAYQBsACkALAAgAFwAIgBNAFwAIgAsACAAVABvAEkAbgB0AGUAcgB2AGEAbAApACwAXABuACAAIAAgACAALwAvACAAIABQAHIAbwBjAGUAZAB1AHIAZQBcAG4AIAAgACAAIAAgACAAIAAgAEYAcgBvAG0ALAAgACAAIAAgACAAIAAgACAAIAAgACAAUwBXAEkAVABDAEgAKABGAHIAbwBtAEkAbgB0AGUAcgB2AGEAbAAsACAAXAAiAFkAXAAiACwAIAAxACwAIABcACIAUQBcACIALAAgADQAKQAsAFwAbgAgACAAIAAgACAAIAAgACAAVABvACwAIAAgACAAIAAgACAAIAAgACAAIAAgACAAIABTAFcASQBUAEMASAAoAFQAbwBJAG4AdABlAHIAdgBhAGwALAAgAFwAIgBRAFwAIgAsACAANAAsACAAXAAiAE0AXAAiACwAIAAxADIALAAgAFwAIgBXAFwAIgAsACAANQAyACkALABcAG4AIAAgACAAIAAgACAAIAAgAEYAcgBvAG0AQwBvAHUAbgB0ACwAIAAgACAAIAAgACAAQwBPAFUATgBUACgAIABBAG0AbwB1AG4AdABzACkALABcAG4AIAAgACAAIAAgACAAIAAgAFQAbwBDAG8AdQBuAHQALAAgACAAIAAgACAAIAAgACAAVABvACAALwAgAEYAcgBvAG0ALABcAG4AIAAgACAAIAAgACAAIAAgAFIAZQBzAHUAbAB0ACwAIAAgACAAIAAgACAAIAAgACAAUgBFAEQAVQBDAEUAKAAgADAALAAgAFMARQBRAFUARQBOAEMARQAoACAALAAgAEYAcgBvAG0AQwBvAHUAbgB0ACkALABcAG4AIAAgACAAIAAgACAAIAAgACAAIAAgACAAIAAgACAAIAAgACAAIAAgACAAIAAgACAAIAAgACAAIABMAEEATQBCAEQAQQAoACAAQQBjAGMALAAgAG4ALABcAG4AIAAgACAAIAAgACAAIAAgACAAIAAgACAAIAAgACAAIAAgACAAIAAgACAAIAAgACAAIAAgACAAIAAgACAAIAAgAEwARQBUACgAIABcAG4AIAAgACAAIAAgACAAIAAgACAAIAAgACAAIAAgACAAIAAgACAAIAAgACAAIAAgACAAIAAgACAAIAAgACAAIAAgACAAIAAgACAARgByAG8AbQBBAG0AbwB1AG4AdAAsACAAIAAgACAAIABJAE4ARABFAFgAKAAgAEEAbQBvAHUAbgB0AHMALAAgAG4AKQAsACAAXABuACAAIAAgACAAIAAgACAAIAAgACAAIAAgACAAIAAgACAAIAAgACAAIAAgACAAIAAgACAAIAAgACAAIAAgACAAIAAgACAAIAAgAFQAbwBBAG0AbwB1AG4AdAAsACAAIAAgACAAIAAgACAAUgBPAFUATgBEACgAIABGAHIAbwBtAEEAbQBvAHUAbgB0ACAAKgAgAEYAcgBvAG0AIAAvACAAVABvACwAIAAyACkALABcAG4AIAAgACAAIAAgACAAIAAgACAAIAAgACAAIAAgACAAIAAgACAAIAAgACAAIAAgACAAIAAgACAAIAAgACAAIAAgACAAIAAgACAAQgBhAHMAZQBBAHIAcgBhAHkALAAgACAAIAAgACAAIABFAFgAUABBAE4ARAAoACAAVABvAEEAbQBvAHUAbgB0ACwAIAAxACwAIABUAG8AQwBvAHUAbgB0ACwAIABUAG8AQQBtAG8AdQBuAHQAKQAsAFwAbgAgACAAIAAgACAAIAAgACAAIAAgACAAIAAgACAAIAAgACAAIAAgACAAIAAgACAAIAAgACAAIAAgACAAIAAgACAAIAAgACAAIABUAG8AQQByAHIAYQB5ACwAIAAgACAAIAAgACAAIAAgAEkARgAoACAAVABvAEMAbwB1AG4AdAAgAD0AIAAxACwAIABcAG4AIAAgACAAIAAgACAAIAAgACAAIAAgACAAIAAgACAAIAAgACAAIAAgACAAIAAgACAAIAAgACAAIAAgACAAIAAgACAAIAAgACAAIAAgACAAIAAgACAAIAAgACAAIAAgACAAIAAgACAAIAAgACAAIAAgAEIAYQBzAGUAQQByAHIAYQB5ACwAIABcAG4AIAAgACAAIAAgACAAIAAgACAAIAAgACAAIAAgACAAIAAgACAAIAAgACAAIAAgACAAIAAgACAAIAAgACAAIAAgACAAIAAgACAAIAAgACAAIAAgACAAIAAgACAAIAAgACAAIAAgACAAIAAgACAAIAAgAEgAUwBUAEEAQwBLACgAIABcAG4AIAAgACAAIAAgACAAIAAgACAAIAAgACAAIAAgACAAIAAgACAAIAAgACAAIAAgACAAIAAgACAAIAAgACAAIAAgACAAIAAgACAAIAAgACAAIAAgACAAIAAgACAAIAAgACAAIAAgACAAIAAgACAAIAAgACAAIAAgACAAVABBAEsARQAoAEIAYQBzAGUAQQByAHIAYQB5ACwAIAAxACwAIABUAG8AQwBvAHUAbgB0ACAALQAgADEAKQAsACAAXABuACAAIAAgACAAIAAgACAAIAAgACAAIAAgACAAIAAgACAAIAAgACAAIAAgACAAIAAgACAAIAAgACAAIAAgACAAIAAgACAAIAAgACAAIAAgACAAIAAgACAAIAAgACAAIAAgACAAIAAgACAAIAAgACAAIAAgACAAIAAgAEYAcgBvAG0AQQBtAG8AdQBuAHQAIAAtACAAUwBVAE0AKAAgAFQAQQBLAEUAKABCAGEAcwBlAEEAcgByAGEAeQAsACAAMQAsACAAVABvAEMAbwB1AG4AdAAgAC0AIAAxACkAKQBcAG4AIAAgACAAIAAgACAAIAAgACAAIAAgACAAIAAgACAAIAAgACAAIAAgACAAIAAgACAAIAAgACAAIAAgACAAIAAgACAAIAAgACAAIAAgACAAIAAgACAAIAAgACAAIAAgACAAIAAgACAAIAAgACAAIAAgACkAXABuACAAIAAgACAAIAAgACAAIAAgACAAIAAgACAAIAAgACAAIAAgACAAIAAgACAAIAAgACAAIAAgACAAIAAgACAAIAAgACAAIAAgACAAIAAgACAAIAAgACAAIAAgACAAIAAgACAAIAAgACAAKQAsAFwAbgAgACAAIAAgACAAIAAgACAAIAAgACAAIAAgACAAIAAgACAAIAAgACAAIAAgACAAIAAgACAAIAAgACAAIAAgACAAIAAgACAAIABSAGUAcwB1AGwAdAAsACAAIAAgACAAIAAgACAAIAAgAEkARgAoACAAbgAgAD0AIAAxACwAIABUAG8AQQByAHIAYQB5ACwAIABIAFMAVABBAEMASwAoACAAQQBjAGMALAAgAFQAbwBBAHIAcgBhAHkAIAApACkALABcAG4AIAAgACAAIAAgACAAIAAgACAAIAAgACAAIAAgACAAIAAgACAAIAAgACAAIAAgACAAIAAgACAAIAAgACAAIAAgACAAIAAgACAAUgBlAHMAdQBsAHQAXABuACAAIAAgACAAIAAgACAAIAAgACAAIAAgACAAIAAgACAAIAAgACAAIAAgACAAIAAgACAAIAAgACAAIAAgACAAIAApAFwAbgAgACAAIAAgACAAIAAgACAAIAAgACAAIAAgACAAIAAgACAAIAAgACAAIAAgACAAIAAgACAAIAAgACkAXABuACAAIAAgACAAIAAgACAAIAAgACAAIAAgACAAIAAgACAAIAAgACAAIAAgACAAIAAgACkALABcAG4AIAAgACAAIAAgACAAIAAg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UABlAHIAaQBvAGQARABpAGYAZgC7A1wAbgAgACAAIAAgAEQARQBTAEMAUgBJAFAAVABJAE8ATgA6ACoALwAvACoAKgBEAGUAdABlAHIAbQBpAG4AZQAgAHQAaABlACAAbgB1AG0AYgBlAHIAIABvAGYAIABwAGUAcgBpAG8AZABzACAAYgBlAHQAdwBlAGUAbgAgAHQAdwBvACAAZABhAHQAZQBzAC4AKgAvAFwAbgBQAGUAcgBpAG8AZABEAGkAZgBmALsDIAA9ACAATABBAE0AQgBEAEEAKABcAG4ALwAvACAAIABQAGEAcgBhAG0AZQB0AGUAcgAgAEQAZQBjAGwAYQByAGEAdABpAG8AbgBcAG4AIAAgACAAIABbAFMAdABhAHIAdABEAGEAdABlAF0ALABcAG4AIAAgACAAIABbAEUAbgBkAEQAYQB0AGUAXQAsACAAXABuACAAIAAgACAAWwBJAG4AdABlAHIAdgBhAGwAXQAsACA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FAAZQByAGkAbwBkAEQAaQBmAGYAuwMoAFMAdABhAHIAdABEAGEAdABlACwAIABFAG4AZABEAGEAdABlACwAIABJAG4AdABlAHIAdgBhAGwAKQC2AFwAIgAgACYAXABuACAAIAAgACAAIAAgACAAIAAgACAAIAAgACAAIAAgACAAIAAgACAAIAAgACAAIAAgACAAIAAgACAAXAAiAEQARQBTAEMAUgBJAFAAVABJAE8ATgA6ACAAIAAgAJIhRABlAHQAZQByAG0AaQBuAGUAIAB0AGgAZQAgAG4AdQBtAGIAZQByACAAbwBmACAAcABlAHIAaQBvAGQAcwAgAGIAZQB0AHcAZQBlAG4AIAB0AHcAbwAgAGQAYQB0AGUAcwAuALYAXAAiACAAJgBcAG4AIAAgACAAIAAgACAAIAAgACAAIAAgACAAIAAgACAAIAAgACAAIAAgACAAIAAgACAAIAAgACAAIABcACIATgBPAFQARQBTACEAIAAgACAAIAAgACAAIAAgACAAkiFUAGgAaQBzACAAaQBtAHAAcgBvAHYAZQBzACAAbwBuACwAIABhAG4AZAAgAGMAbwByAHIAZQBjAHQAcwAgAHAAcgBvAGIAbABlAG0AcwAgAHcALwBFAHgAYwBlAGwAJwBzACAAZABlAHAAcgBlAGMAYQB0AGUAZAAgAEQAQQBUAEUARABJAEYAKAApACAAZgB1AG4AYwB0AGkAbwBuAC4AtgBcACIAIAAmAFwAbgAgACAAIAAgACAAIAAgACAAIAAgACAAIAAgACAAIAAgACAAIAAgACAAIAAgACAAIAAgACAAIAAgAFwAIgBXAEUAQgBQAEEARwBFADoAIAAgACAAIAAgACAAIACSIWgAdAB0AHAAcwA6AC8ALwBnAGkAdABoAHUAYgAuAGMAbwBtAC8AcgB5AGEAbgBkAHUAZwB1AGkAZAAvAE4AYQBiAGwAYQC2AFwAIgAgACYAIA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TAHQAYQByAHQARABhAHQAZQAgACAAIAAgACAAIACSISgAUgBlAHEAdQBpAHIAZQBkACkAIABTAHQAYQByAHQAIABEAGEAdABlAC4AtgBcACIAIAAmACAAIAAgACAAIAAgACAAIAAgACAAIAAgACAAIAAgACAAIAAgACAAXABuACAAIAAgACAAIAAgACAAIAAgACAAIAAgACAAIAAgACAAIAAgACAAIAAgACAAIAAgACAAIAAgACAAXAAiAEUAbgBkAEQAYQB0AGUAIAAgACAAIAAgACAAIAAgAJIhKABSAGUAcQB1AGkAcgBlAGQAKQAgAEUAbgBkACAARABhAHQAZQC2AFwAIgAgACYAIABcAG4AIAAgACAAIAAgACAAIAAgACAAIAAgACAAIAAgACAAIAAgACAAIAAgACAAIAAgACAAIAAgACAAIABcACIASQBuAHQAZQByAHYAYQBsACAAIAAgACAAIAAgACAAkiEoAFIAZQBxAHUAaQByAGUAZAApACAAVwA9AFcAZQBlAGsALAAgAE0APQBNAG8AbgB0AGgALAAgAFEAPQBRAHUAYQByAHQAZQByACwAIABZAD0AWQBlAGEAcgAuALYAXAAiACAAJg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uAGEAYgBsAGEALgBmACAAaQBzACAAYQBzAHMAdQBtAGUAZAAgAHQAbwAgAGIAZQAgAHQAaABlACAAbQBvAGQAdQBsAGUAJwBzACAAbgBhAG0AZQApALYAXAAiACAAJgBcAG4AIAAgACAAIAAgACAAIAAgACAAIAAgACAAIAAgACAAIAAgACAAIAAgACAAIAAgACAAIAAgACAAIABcACIAMQAgACAAIAAgACAAIAAgACAAIAAgACAAIAAgACAAkiE9AG4AYQBiAGwAYQAuAGYALgBQAGUAcgBpAG8AZABEAGkAZgBmALsDKABcACIAXAAiADIAMAAyADYALQAwADEALQAwADEAXAAiAFwAIgAsACAAXAAiAFwAIgAyADAAMgA2AC0AMAA0AC0AMQA1AFwAIgBcACIALAAgAFwAIgBcACIAUQBcACIAXAAiACk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MAdABhAHIAdABEAGEAdABlACkALABcAG4AIAAgACAAIAAgACAAIAAgACAAIAAgACAAIAAgACAAIAAgACAAIAAgACAAIAAgACAAIAAgACAAIABJAFMATwBNAEkAVABUAEUARAAoACAARQBuAGQARABhAHQAZQApACwAXABuACAAIAAgACAAIAAgACAAIAAgACAAIAAgACAAIAAgACAAIAAgACAAIAAgACAAIAAgACAAIAAgACAASQBTAE8ATQBJAFQAVABFAEQAKAAgAEkAbgB0AGUAcgB2AGEAbAApAFwAbgAgACAAIAAgACAAIAAgACAAIAAgACAAIAAgACAAIAAgACAAIAAgACAAIAAgACAAIAApACwAXABuACAAIAAgACAALwAvACAAIABDAG8AbgBzAHQAYQBuAHQAcwBcAG4AIAAgACAAIAAgACAAIAAgAE0AcABQACwAIAAgACAAIAAgACAAIAAgACAAIAAgACAAIAAgACAAIABTAFcASQBUAEMASAAoACAASQBuAHQAZQByAHYAYQBsACwAIABcACIATQBcACIALAAgADEALAAgAFwAIgBRAFwAIgAsACAAMwAsACAAXAAiAFkAXAAiACwAIAAxADIALAAgADAAKQAsAFwAbgAgACAAIAAgAC8ALwAgACAAUAByAG8AYwBlAGQAdQByAGUAXABuACAAIAAgACAAIAAgACAAIABNAG8AbgB0AGgAcwAsACAAIAAgACAAIAAgACAAIAAgACAAIAAgACAARABBAFQARQBEAEkARgAoACAAUwB0AGEAcgB0AEQAYQB0AGUALAAgAEUAbgBkAEQAYQB0AGUALAAgAFwAIgBNAFwAIgApACAAKwAgADEALABcAG4AIAAgACAAIAAgACAAIAAgAFAAZQByAGkAbwBkAHMALAAgACAAIAAgACAAIAAgACAAIAAgACAAIABJAE4AVAAoACAATQBvAG4AdABoAHMAIAAvACAATQBwAFAAKQAsAFwAbgAgACAAIAAgACAAIAAgACAAUABhAHIAdABpAGEAbABQAGUAcgBpAG8AZAAsACAAIAAgACAAIAAgAE4AKAAgAE0ATwBEACgAIABNAG8AbgB0AGgAcwAsACAATQBwAFAAKQAgAD4AIAAwACkALABcAG4AIAAgACAAIAAgACAAIAAgAEUATwBNAEMAbwByAHIAZQBjAHQAaQBvAG4ALAAgACAAIAAgACAAIABOACgAIABBAE4ARAAoACAARQBuAGQARABhAHQAZQAgAD0AIABFAE8ATQBPAE4AVABIACgAIABFAG4AZABEAGEAdABlACwAIAAwACkALAAgAEQAQQBZACgAIABTAHQAYQByAHQARABhAHQAZQApACAAPgAgAEQAYQB5ACgAIABFAG4AZABEAGEAdABlACkAKQApACwAXABuACAAIAAgACAAIAAgACAAIABSAGUAcwB1AGwAdAAsACAAIAAgACAAIAAgACAAIAAgACAAIAAgACAASQBGACgAIABJAG4AdABlAHIAdgBhAGwAIAA9ACAAXAAiAFcAXAAiACwAIABcAG4AIAAgACAAIAAgACAAIAAgACAAIAAgACAAIAAgACAAIAAgACAAIAAgACAAIAAgACAAIAAgACAAIAAgACAAIAAgAEkATgBUACgAKABFAG4AZABEAGEAdABlACAALQAgAFMAdABhAHIAdABEAGEAdABlACAAKwAgADEAKQAgAC8AIAA3ACkALABcAG4AIAAgACAAIAAgACAAIAAgACAAIAAgACAAIAAgACAAIAAgACAAIAAgACAAIAAgACAAIAAgACAAIAAgACAAIAAgAFAAZQByAGkAbwBkAHMAIAArACAATwBSACgAUABhAHIAdABpAGEAbABQAGUAcgBpAG8AZAAsACAARQBPAE0AQwBvAHIAcgBlAGMAdABpAG8AbgApACkAL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FMATABOALsDXABuACAAIAAgACAARABFAFMAQwBSAEkAUABUAEkATwBOADoAKgAvAC8AKgAqAFMAdAByAGEAaQBnAGgAdAAgAEwAaQBuAGUAIABkAGUAcAByAGUAYwBpAGEAdABpAG8AbgAgAG0AZQB0AGgAbwBkACAAZgBvAHIAIABvAG4AZQAgAGEAcwBzAGUAdAAgAG8AcgAgAGEAcwBzAGUAdAAgAGMAbABhAHMAcwAuACoALwBcAG4AUwBMAE4AuwMgAD0AIABMAEEATQBCAEQAQQAoAFwAbgAvAC8AIAAgAFAAYQByAGEAbQBlAHQAZQByACAARABlAGMAbABhAHIAYQB0AGkAbwBuAFwAbgAgACAAIAAgAFsAQwBvAHMAdABdACwAXABuACAAIAAgACAAWwBTAGEAbAB2AGEAZwBlAF0ALAAgAFwAbgAgACAAIAAgAFsATABpAGYAZQBdACw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TAEwATgC7AygAQwBvAHMAdAAsACAAUwBhAGwAdgBhAGcAZQAsACAATABpAGYAZQApALYAXAAiACAAJgBcAG4AIAAgACAAIAAgACAAIAAgACAAIAAgACAAIAAgACAAIAAgACAAIAAgACAAIAAgACAAIAAgACAAIABcACIARABFAFMAQwBSAEkAUABUAEkATwBOADoAIAAgACAAkiFTAHQAcgBhAGkAZwBoAHQAIABMAGkAbgBlACAARABlAHAAcgBlAGMAaQBhAHQAaQBvAG4AIABNAGUAdABoAG8AZAAgAGYAbwByACAAbwBuAGUAIABhAHMAcwBlAHQAIABvAHIAIABhAHMAcwBlAHQAIABjAGwAYQBzAHMALgC2AFwAIgAgACYAXABuACAAIAAgACAAIAAgACAAIAAgACAAIAAgACAAIAAgACAAIAAgACAAIAAgACAAIAAgACAAIAAgACAAXAAiAFcARQBCAFAAQQBHAEUAOgAgACAAIAAgACAAIAAgAJIhaAB0AHQAcABzADoALwAvAGcAaQB0AGgAdQBiAC4AYwBvAG0ALwByAHkAYQBuAGQAdQBnAHUAaQBkAC8ATgBhAGIAbABhALYAXAAiACAAJgAg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MAbwBzAHQAIAAgACAAIAAgACAAIAAgACAAIAAgAJIhKABSAGUAcQB1AGkAcgBlAGQAKQAgAEEAcwBzAGUAdAAnAHMAIABpAG4AaQB0AGkAYQBsACAAYwBvAHMAdAAuALYAXAAiACAAJgAgACAAIAAgACAAIAAgACAAIAAgACAAIAAgACAAIAAgACAAIAAgAFwAbgAgACAAIAAgACAAIAAgACAAIAAgACAAIAAgACAAIAAgACAAIAAgACAAIAAgACAAIAAgACAAIAAgAFwAIgBTAGEAbAB2AGEAZwBlACAAIAAgACAAIAAgACAAIACSISgAUgBlAHEAdQBpAHIAZQBkACkAIABBAHMAcwBlAHQAJwBzACAAdgBhAGwAdQBlACAAYQBuAGQAIABlAG4AZAAgAG8AZgAgAGwAaQBmAGUAtgBcACIAIAAmACAAXABuACAAIAAgACAAIAAgACAAIAAgACAAIAAgACAAIAAgACAAIAAgACAAIAAgACAAIAAgACAAIAAgACAAXAAiAEwAaQBmAGUAIAAgACAAIAAgACAAIAAgACAAIAAgAJIhKABSAGUAcQB1AGkAcgBlAGQAKQAgAEEAcwBzAGUAdAAnAHMAIAB1AHMAZQBmAHUAbAAgAGwAaQBmAGUAIABpAG4AIAB5AGUAYQByAHMALgC2AFwAIgAgACYAIABcAG4AIAAgACAAIAAgACAAIAAgACAAIAAgACAAIAAgACAAIAAgACAAIAAgACAAIAAgACAAIAAgACAAIABcACIARQBYAEEATQBQAEwARQBTADoAIAAgACAAIAAgACAAkiG2AFwAIgAgACYAXABuACAAIAAgACAAIAAgACAAIAAgACAAIAAgACAAIAAgACAAIAAgACAAIAAgACAAIAAgACAAIAAgACAAIAAgACAAIAAgACAAIAAgACAAIAAgACAAIAAgACAAXAAiAJIhRgBvAHIAbQB1AGwAYQAgACgAbgBhAGIAbABhAC4AZgAgAGkAcwAgAGEAcwBzAHUAbQBlAGQAIAB0AG8AIABiAGUAIAB0AGgAZQAgAG0AbwBkAHUAbABlACcAcwAgAG4AYQBtAGUAKQC2AFwAIgAgACYAXABuACAAIAAgACAAIAAgACAAIAAgACAAIAAgACAAIAAgACAAIAAgACAAIAAgACAAIAAgACAAIAAgACAAIAAgACAAIAAgACAAIAAgACAAIAAgACAAIAAgACAAXAAiAJIhPQBuAGEAYgBsAGEALgBmAC4AUwBMAE4AuwMoADEAMAAwADAALAAgADEAMAAwACwAIAA1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xADgAMAAsADEAOAAwACwAMQA4ADAALAAxADgAMAAsADEAOAAw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DAG8AcwB0ACkALABcAG4AIAAgACAAIAAgACAAIAAgACAAIAAgACAAIAAgACAAIAAgACAAIAAgACAAIAAgACAAIAAgACAAIABJAFMATwBNAEkAVABUAEUARAAoACAAUwBhAGwAdgBhAGcAZQApACwAXABuACAAIAAgACAAIAAgACAAIAAgACAAIAAgACAAIAAgACAAIAAgACAAIAAgACAAIAAgACAAIAAgACAASQBTAE8ATQBJAFQAVABFAEQAKAAgAEwAaQBmAGUAKQBcAG4AIAAgACAAIAAgACAAIAAgACAAIAAgACAAIAAgACAAIAAgACAAIAAgACAAIAAgACAAKQAsAFwAbgAgACAAIAAgAC8ALwAgACAAUAByAG8AYwBlAGQAdQByAGUAXABuACAAIAAgACAAIAAgACAAIABEAGUAcABuACwAIAAgACAAIAAgACAAIAAgACAAIAAgAFMATABOACgAQwBvAHMAdAAsACAAUwBhAGwAdgBhAGcAZQAsACAATABpAGYAZQApACwAXABuACAAIAAgACAAIAAgACAAIABSAGUAcwB1AGwAdAAsACAAIAAgACAAIAAgACAAIAAgAEUAWABQAEEATgBEACgARABlAHAAbgAsACAAMQAsACAATABpAGYAZQAsACAARABlAHAAbgApACwAXABuACAAIAAgACAALwAvACAAIABSAGUAdAB1AHIAbgAgAFIAZQBzAHUAbAB0ACAAbwByACAASABlAGwAcABcAG4AIAAgACAAIAAgACAAIAAgAEMASABPAE8AUwBFACgAIABIAGUAbABwAD8AIAArACAAMQAsACAAUgBlAHMAdQBsAHQALAAgAEgAZQBsAHAAKQBcAG4AIAAgACAAIAApAFwAbgApADsAXABuAFwAbgBcAG4ALwAqACAAIABGAFUATgBDAFQASQBPAE4AIABOAEEATQBFADoAIAAgAFMAWQBEALsDXABuACAAIAAgACAARABFAFMAQwBSAEkAUABUAEkATwBOADoAKgAvAC8AKgAqAFMAdQBtAC0AbwBmAC0AeQBlAGEAcgBzACcAIABkAGkAZwBpAHQAcwAgAGQAZQBwAHIAZQBjAGkAYQB0AGkAbwBuACAAbQBlAHQAaABvAGQAIABmAG8AcgAgAG8AbgBlACAAYQBzAHMAZQB0ACAAbwByACAAYQBzAHMAZQB0ACAAYwBsAGEAcwBzAC4AKgAvAFwAbgBTAFkARAC7AyAAPQAgAEwAQQBNAEIARABBACgAXABuAC8ALwAgACAAUABhAHIAYQBtAGUAdABlAHIAIABEAGUAYwBsAGEAcgBhAHQAaQBvAG4AXABuACAAIAAgACAAWwBDAG8AcwB0AF0ALABcAG4AIAAgACAAIABbAFMAYQBsAHYAYQBnAGUAXQAsACAAXABuACAAIAAgACAAWwBMAGkAZgBlAF0AL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MAWQBEALsDKABDAG8AcwB0ACwAIABTAGEAbAB2AGEAZwBlACwAIABMAGkAZgBlACkAtgBcACIAIAAmAFwAbgAgACAAIAAgACAAIAAgACAAIAAgACAAIAAgACAAIAAgACAAIAAgACAAIAAgACAAIAAgACAAIAAgAFwAIgBEAEUAUwBDAFIASQBQAFQASQBPAE4AOgAgACAAIACSIVMAdQBtAC0AbwBmAC0AeQBlAGEAcgBzACcAIABkAGkAZwBpAHQAcwAgAGQAZQBwAHIAZQBjAGkAYQB0AGkAbwBuACAAbQBlAHQAaABvAGQAIABmAG8AcgAgAG8AbgBlACAAYQBzAHMAZQB0ACAAbwByACAAYQBzAHMAZQB0ACAAYwBsAGEAcwBzAC4AtgBcACIAIAAmAFwAbgAgACAAIAAgACAAIAAgACAAIAAgACAAIAAgACAAIAAgACAAIAAgACAAIAAgACAAIAAgACAAIAAgAFwAIgBXAEUAQgBQAEEARwBFADoAIAAgACAAIAAgACAAIACSIWgAdAB0AHAAcwA6AC8ALwBnAGkAdABoAHUAYgAuAGMAbwBtAC8AcgB5AGEAbgBkAHUAZwB1AGkAZAAvAE4AYQBiAGwAYQC2AFwAIgAgACYAIA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DAG8AcwB0ACAAIAAgACAAIAAgACAAIAAgACAAIACSISgAUgBlAHEAdQBpAHIAZQBkACkAIABBAHMAcwBlAHQAJwBzACAAaQBuAGkAdABpAGEAbAAgAGMAbwBzAHQALgC2AFwAIgAgACYAIAAgACAAIAAgACAAIAAgACAAIAAgACAAIAAgACAAIAAgACAAIABcAG4AIAAgACAAIAAgACAAIAAgACAAIAAgACAAIAAgACAAIAAgACAAIAAgACAAIAAgACAAIAAgACAAIABcACIAUwBhAGwAdgBhAGcAZQAgACAAIAAgACAAIAAgACAAkiEoAFIAZQBxAHUAaQByAGUAZAApACAAQQBzAHMAZQB0ACcAcwAgAHYAYQBsAHUAZQAgAGEAbgBkACAAZQBuAGQAIABvAGYAIABsAGkAZgBlALYAXAAiACAAJgAg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G4AYQBiAGwAYQAuAGYAIABpAHMAIABhAHMAcwB1AG0AZQBkACAAdABvACAAYgBlACAAdABoAGUAIABtAG8AZAB1AGwAZQAnAHMAIABuAGEAbQBlACkAtgBcACIAIAAmAFwAbgAgACAAIAAgACAAIAAgACAAIAAgACAAIAAgACAAIAAgACAAIAAgACAAIAAgACAAIAAgACAAIAAgACAAIAAgACAAIAAgACAAIAAgACAAIAAgACAAIAAgAFwAIgCSIT0AbgBhAGIAbABhAC4AZgAuAFMAWQBEALsDKAAxADAAMAAwACwAIAAxADAAMAAsACAANQApALYAXAAiACAAJgBcAG4AIAAgACAAIAAgACAAIAAgACAAIAAgACAAIAAgACAAIAAgACAAIAAgACAAIAAgACAAIAAgACAAIAAgACAAIAAgACAAIAAgACAAIAAgACAAIAAgACAAIABcACIAkiFSAGUAcwB1AGwAdAC2AFwAIgAgACYAXABuACAAIAAgACAAIAAgACAAIAAgACAAIAAgACAAIAAgACAAIAAgACAAIAAgACAAIAAgACAAIAAgACAAIAAgACAAIAAgACAAIAAgACAAIAAgACAAIAAgACAAXAAiAJIhMwAwADAALAAyADQAMAAsADEAOAAwACwAMQAyADAALAA2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TAGEAbAB2AGEAZwBlACkALABcAG4AIAAgACAAIAAgACAAIAAgACAAIAAgACAAIAAgACAAIAAgACAAIAAgACAAIAAgACAAIAAgACAAIABJAFMATwBNAEkAVABUAEUARAAoACAATABpAGYAZQApAFwAbgAgACAAIAAgACAAIAAgACAAIAAgACAAIAAgACAAIAAgACAAIAAgACAAIAAgACAAIAApACwAXABuACAAIAAgACAALwAvACAAIABQAHIAbwBjAGUAZAB1AHIAZQBcAG4AIAAgACAAIAAgACAAIAAgAFIAZQBzAHUAbAB0ACwAIAAgACAAIAAgACAAIAAgAFMAWQBEACgAQwBvAHMAdAAsACAAUwBhAGwAdgBhAGcAZQAsACAATABpAGYAZQAsACAAUwBFAFEAVQBFAE4AQwBFACgAIAAsACAATABpAGYAZQApACkAL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EQAQgC7A1wAbgAgACAAIAAgAEQARQBTAEMAUgBJAFAAVABJAE8ATgA6ACoALwAvACoAKgBGAGkAeABlAGQAIABkAGUAYwBsAGkAbgBpAG4AZwAgAGIAYQBsAGEAbgBjAGUAIABkAGUAcAByAGUAYwBpAGEAdABpAG8AbgAgAG0AZQB0AGgAbwBkACAAZgBvAHIAIABvAG4AZQAgAGEAcwBzAGUAdAAgAG8AcgAgAGEAcwBzAGUAdAAgAGMAbABhAHMAcwAuACoALwBcAG4ARABCALsDIAA9ACAATABBAE0AQgBEAEEAKABcAG4ALwAvACAAIABQAGEAcgBhAG0AZQB0AGUAcgAgAEQAZQBjAGwAYQByAGEAdABpAG8AbgBcAG4AIAAgACAAIABbAEMAbwBzAHQAXQAsAFwAbgAgACAAIAAgAFsAUwBhAGwAdgBhAGcAZQBdACwAIABcAG4AIAAgACAAIABbAEwAaQBmAGUAXQAsACAAXABuACAAIAAgACAAWwBNAG8AbgB0AGgAcwBdACw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RABCALsDKABDAG8AcwB0ACwAIABTAGEAbAB2AGEAZwBlACwAIABMAGkAZgBlACwAIABbAE0AbwBuAHQAaABdACkAtgBcACIAIAAmAFwAbgAgACAAIAAgACAAIAAgACAAIAAgACAAIAAgACAAIAAgACAAIAAgACAAIAAgACAAIAAgACAAIAAgAFwAIgBEAEUAUwBDAFIASQBQAFQASQBPAE4AOgAgACAAIACSIUYAaQB4AGUAZAAgAGQAZQBjAGwAaQBuAGkAbgBnACAAYgBhAGwAYQBuAGMAZQAgAGQAZQBwAHIAZQBjAGkAYQB0AGkAbwBuACAAbQBlAHQAaABvAGQAIABmAG8AcgAgAG8AbgBlACAAYQBzAHMAZQB0ACAAbwByACAAYQBzAHMAZQB0ACAAYwBsAGEAcwBzALYAXAAiACAAJg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wBvAHMAdAAgACAAIAAgACAAIAAgACAAIAAgACAAkiEoAFIAZQBxAHUAaQByAGUAZAApACAAQQBzAHMAZQB0ACcAcwAgAGkAbgBpAHQAaQBhAGwAIABjAG8AcwB0AC4AtgBcACIAIAAmACAAIAAgACAAIAAgACAAIAAgACAAIAAgACAAIAAgACAAIAAgACAAXABuACAAIAAgACAAIAAgACAAIAAgACAAIAAgACAAIAAgACAAIAAgACAAIAAgACAAIAAgACAAIAAgACAAXAAiAFMAYQBsAHYAYQBnAGUAIAAgACAAIAAgACAAIAAgAJIhKABSAGUAcQB1AGkAcgBlAGQAKQAgAEEAcwBzAGUAdAAnAHMAIAB2AGEAbAB1AGUAIABhAG4AZAAgAGUAbgBkACAAbwBmACAAbABpAGYAZQAuACAAUwBhAGwAdgBhAGcAZQAgAGMAYQBuAG4AbwB0ACAAYgBlACAAMAAuALYAXAAiACAAJgAg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0AbwBuAHQAaABzACAAIAAgACAAIAAgACAAIAAgAJIhKABPAHAAdABpAG8AbgBhAGwAKQAgAE4AdQBtAGIAZQByACAAbwBmACAAbQBvAG4AdABoAHMAIABpAG4AIAB0AGgAZQAgAGYAaQByAHMAdAAgAHkAZQBhAHIAIAB0AG8AIABkAGUAcAByAGUAYwBpAGEAdABl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G4AYQBiAGwAYQAuAGYAIABpAHMAIABhAHMAcwB1AG0AZQBkACAAdABvACAAYgBlACAAdABoAGUAIABtAG8AZAB1AGwAZQAnAHMAIABuAGEAbQBlACkAtgBcACIAIAAmAFwAbgAgACAAIAAgACAAIAAgACAAIAAgACAAIAAgACAAIAAgACAAIAAgACAAIAAgACAAIAAgACAAIAAgACAAIAAgACAAIAAgACAAIAAgACAAIAAgACAAIAAgAFwAIgCSIT0AbgBhAGIAbABhAC4AZgAuAEQAQgC7AygAMQAwADAAMAAsACAAMQAwADAALAAgADUAKQC2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MANgA5AC4AMAAwACwAMgAzADIALgA4ADQALAAxADQANgAuADkAMgAsADkAMgAuADcAMQAsADUAOAAuADUAMw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wBvAHMAdAApACwAXABuACAAIAAgACAAIAAgACAAIAAgACAAIAAgACAAIAAgACAAIAAgACAAIAAgACAAIAAgACAAIAAgACAASQBTAE8ATQBJAFQAVABFAEQAKAAgAFMAYQBsAHYAYQBnAGUAKQAsAFwAbgAgACAAIAAgACAAIAAgACAAIAAgACAAIAAgACAAIAAgACAAIAAgACAAIAAgACAAIAAgACAAIAAgAEkAUwBPAE0ASQBUAFQARQBEACgAIABMAGkAZgBlACkAXABuACAAIAAgACAAIAAgACAAIAAgACAAIAAgACAAIAAgACAAIAAgACAAIAAgACAAIAAgACkALABcAG4AIAAgACAAIAAvAC8AIAAgAFMAZQB0ACAAZABlAGYAYQB1AGwAdABzACAAZgBvAHIAIABvAHAAdABpAG8AbgBhAGwAIAB2AGEAbAB1AGUAcwBcAG4AIAAgACAAIAAgACAAIAAgAE0AbwBuAHQAaABzACwAIAAgACAAIAAgACAAIAAgACAASQBGACgAIABJAFMATwBNAEkAVABUAEUARAAoACAATQBvAG4AdABoAHMAKQAsACAAMQAyACwAIABNAG8AbgB0AGgAcwApACwAXABuACAAIAAgACAALwAvACAAIABQAHIAbwBjAGUAZAB1AHIAZQBcAG4AIAAgACAAIAAgACAAIAAgAEQAZQBwAG4ALAAgACAAIAAgACAAIAAgACAAIAAgACAARABCACgAIABDAG8AcwB0ACwAIABTAGEAbAB2AGEAZwBlACwAIABMAGkAZgBlACwAIABTAEUAUQBVAEUATgBDAEUAKAAgACwAIABMAGkAZgBlACAALQAgADEAIAApACwAIABNAG8AbgB0AGgAcwApACwAIAAgACAAXABuACAAIAAgACAAIAAgACAAIABSAGUAcwB1AGwAdAAsACAAIAAgACAAIAAgACAAIAAgAEgAUwBUAEEAQwBLACgAIABEAGUAcABuACwAIABDAG8AcwB0ACAALQAgAFMAdQBtACgARABlAHAAbgApACAALQAgAFMAYQBsAHYAYQBnAGUAKQ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RABEAEIAuwNcAG4AIAAgACAAIABEAEUAUwBDAFIASQBQAFQASQBPAE4AOgAqAC8ALwAqACoARABvAHUAYgBsAGUALQBkAGUAYwBsAGkAbgBpAG4AZwAgAGIAYQBsAGEAbgBjAGUAIABkAGUAcAByAGUAYwBpAGEAdABpAG8AbgAgAG0AZQB0AGgAbwBkACAAZgBvAHIAIABvAG4AZQAgAGEAcwBzAGUAdAAgAG8AcgAgAGEAcwBzAGUAdAAgAGMAbABhAHMAcwAuACoALwBcAG4ARABEAEIAuwMgAD0AIABMAEEATQBCAEQAQQAoAFwAbgAvAC8AIAAgAFAAYQByAGEAbQBlAHQAZQByACAARABlAGMAbABhAHIAYQB0AGkAbwBuAFwAbgAgACAAIAAgAFsAQwBvAHMAdABdACwAXABuACAAIAAgACAAWwBTAGEAbAB2AGEAZwBlAF0ALAAgAFwAbgAgACAAIAAgAFsATABpAGYAZQBdACwAIABcAG4AIAAgACAAIABbAEYAYQBjAHQAbwByAF0AL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EAEIAuwMoAEMAbwBzAHQALAAgAFMAYQBsAHYAYQBnAGUALAAgAEwAaQBmAGUALAAgAFsARgBhAGMAdABvAHIAXQApALYAXAAiACAAJgBcAG4AIAAgACAAIAAgACAAIAAgACAAIAAgACAAIAAgACAAIAAgACAAIAAgACAAIAAgACAAIAAgACAAIABcACIARABFAFMAQwBSAEkAUABUAEkATwBOADoAIAAgACAAkiFEAG8AdQBiAGwAZQAtAGQAZQBjAGwAaQBuAGkAbgBnACAAYgBhAGwAYQBuAGMAZQAgAGQAZQBwAHIAZQBjAGkAYQB0AGkAbwBuACAAbQBlAHQAaABvAGQAIABmAG8AcgAgAG8AbgBlACAAYQBzAHMAZQB0ACAAbwByACAAYQBzAHMAZQB0ACAAYwBsAGEAcwBzAC4AtgBcACIAIAAmAFwAbgAgACAAIAAgACAAIAAgACAAIAAgACAAIAAgACAAIAAgACAAIAAgACAAIAAgACAAIAAgACAAIAAgAFwAIgBXAEUAQgBQAEEARwBFADoAIAAgACAAIAAgACAAIACSIWgAdAB0AHAAcwA6AC8ALwBnAGkAdABoAHUAYgAuAGMAbwBtAC8AcgB5AGEAbgBkAHUAZwB1AGkAZAAvAE4AYQBiAGwAYQC2AFwAIgAgACYAIA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DAG8AcwB0ACAAIAAgACAAIAAgACAAIAAgACAAIACSISgAUgBlAHEAdQBpAHIAZQBkACkAIABBAHMAcwBlAHQAJwBzACAAaQBuAGkAdABpAGEAbAAgAGMAbwBzAHQALgC2AFwAIgAgACYAIAAgACAAIAAgACAAIAAgACAAIAAgACAAIAAgACAAIAAgACAAIABcAG4AIAAgACAAIAAgACAAIAAgACAAIAAgACAAIAAgACAAIAAgACAAIAAgACAAIAAgACAAIAAgACAAIABcACIAUwBhAGwAdgBhAGcAZQAgACAAIAAgACAAIAAgACAAkiEoAFIAZQBxAHUAaQByAGUAZAApACAAQQBzAHMAZQB0ACcAcwAgAHYAYQBsAHUAZQAgAGEAbgBkACAAZQBuAGQAIABvAGYAIABsAGkAZgBlAC4AIABTAGEAbAB2AGEAZwBlACAAYwBhAG4AbgBvAHQAIABiAGUAIAAwAC4AtgBcACIAIAAmACAAXABuACAAIAAgACAAIAAgACAAIAAgACAAIAAgACAAIAAgACAAIAAgACAAIAAgACAAIAAgACAAIAAgACAAXAAiAEwAaQBmAGUAIAAgACAAIAAgACAAIAAgACAAIAAgAJIhKABSAGUAcQB1AGkAcgBlAGQAKQAgAEEAcwBzAGUAdAAnAHMAIAB1AHMAZQBmAHUAbAAgAGwAaQBmAGUAIABpAG4AIAB5AGUAYQByAHMALgC2AFwAIgAgACYAIABcAG4AIAAgACAAIAAgACAAIAAgACAAIAAgACAAIAAgACAAIAAgACAAIAAgACAAIAAgACAAIAAgACAAIABcACIARgBhAGMAdABvAHIAIAAgACAAIAAgACAAIAAgACAAkiEoAE8AcAB0AGkAbwBuAGEAbAAgAEQAZQBmAGEAdQBsAHQAPQAyACkAIABSAGEAdABlACAAYQB0ACAAdwBoAGkAYwBoACAAdABoAGUAIABiAGEAbABhAG4AYwBlACAAZABlAGMAbABpAG4AZQBz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G4AYQBiAGwAYQAuAGYAIABpAHMAIABhAHMAcwB1AG0AZQBkACAAdABvACAAYgBlACAAdABoAGUAIABtAG8AZAB1AGwAZQAnAHMAIABuAGEAbQBlACkAtgBcACIAIAAmAFwAbgAgACAAIAAgACAAIAAgACAAIAAgACAAIAAgACAAIAAgACAAIAAgACAAIAAgACAAIAAgACAAIAAgACAAIAAgACAAIAAgACAAIAAgACAAIAAgACAAIAAgAFwAIgCSIT0AbgBhAGIAbABhAC4AZgAuAEQARABCALsDKAAxADAAMAAwACwAIAAxADAAMAAsACAANQApALYAXAAiACAAJgBcAG4AIAAgACAAIAAgACAAIAAgACAAIAAgACAAIAAgACAAIAAgACAAIAAgACAAIAAgACAAIAAgACAAIAAgACAAIAAgACAAIAAgACAAIAAgACAAIAAgACAAIABcACIAkiFSAGUAcwB1AGwAdAC2AFwAIgAgACYAXABuACAAIAAgACAAIAAgACAAIAAgACAAIAAgACAAIAAgACAAIAAgACAAIAAgACAAIAAgACAAIAAgACAAIAAgACAAIAAgACAAIAAgACAAIAAgACAAIAAgACAAXAAiAJIhNAAwADAALgAwADAALAAyADQAMAAuADAAMAAsADEANAA0AC4AMAAwACwAOAA2AC4ANAAwACwAMgA5AC4ANgAw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DAG8AcwB0ACkALABcAG4AIAAgACAAIAAgACAAIAAgACAAIAAgACAAIAAgACAAIAAgACAAIAAgACAAIAAgACAAIAAgACAAIABJAFMATwBNAEkAVABUAEUARAAoACAAUwBhAGwAdgBhAGcAZQApACwAXABuACAAIAAgACAAIAAgACAAIAAgACAAIAAgACAAIAAgACAAIAAgACAAIAAgACAAIAAgACAAIAAgACAASQBTAE8ATQBJAFQAVABFAEQAKAAgAEwAaQBmAGUAKQBcAG4AIAAgACAAIAAgACAAIAAgACAAIAAgACAAIAAgACAAIAAgACAAIAAgACAAIAAgACAAKQAsAFwAbgAgACAAIAAgAC8ALwAgACAAUwBlAHQAIABkAGUAZgBhAHUAbAB0AHMAIABmAG8AcgAgAG8AcAB0AGkAbwBuAGEAbAAgAHYAYQBsAHUAZQBzAFwAbgAgACAAIAAgACAAIAAgACAARgBhAGMAdABvAHIALAAgACAAIAAgACAAIAAgACAAIABJAEYAKAAgAEkAUwBPAE0ASQBUAFQARQBEACgAIABGAGEAYwB0AG8AcgApACwAIAAyACwAIABGAGEAYwB0AG8AcgApACwAXABuACAAIAAgACAALwAvACAAIABQAHIAbwBjAGUAZAB1AHIAZQBcAG4AIAAgACAAIAAgACAAIAAgAEQAZQBwAG4ALAAgACAAIAAgACAAIAAgACAAIAAgACAARABEAEIAKAAgAEMAbwBzAHQALAAgAFMAYQBsAHYAYQBnAGUALAAgAEwAaQBmAGUALAAgAFMARQBRAFUARQBOAEMARQAoACAALAAgAEwAaQBmAGUAIAAtADEAKQAsACAARgBhAGMAdABvAHIAKQAsACAAIAAgAFwAbgAgACAAIAAgACAAIAAgACAAUgBlAHMAdQBsAHQALAAgACAAIAAgACAAIAAgACAAIABIAFMAVABBAEMASwAoACAARABlAHAAbgAsACAAQwBvAHMAdAAgAC0AIABTAHUAbQAoAEQAZQBwAG4AKQAgAC0AIABTAGEAbAB2AGEAZwBlACkAL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FYARABCALsDXABuACAAIAAgACAARABFAFMAQwBSAEkAUABUAEkATwBOADoAKgAvAC8AKgAqAFYAYQByAGkAYQBiAGwAZQAgAGQAZQBjAGwAaQBuAGkAbgBnACAAYgBhAGwAYQBuAGMAZQAgAGQAZQBwAHIAZQBjAGkAYQB0AGkAbwBuACAAbQBlAHQAaABvAGQAIABmAG8AcgAgAG8AbgBlACAAYQBzAHMAZQB0ACAAbwByACAAYQBzAHMAZQB0ACAAYwBsAGEAcwBzAC4AKgAvAFwAbgBWAEQAQgC7AyAAPQAgAEwAQQBNAEIARABBACgAXABuAC8ALwAgACAAUABhAHIAYQBtAGUAdABlAHIAIABEAGUAYwBsAGEAcgBhAHQAaQBvAG4AXABuACAAIAAgACAAWwBDAG8AcwB0AF0ALABcAG4AIAAgACAAIABbAFMAYQBsAHYAYQBnAGUAXQAsACAAXABuACAAIAAgACAAWwBMAGkAZgBlAF0ALAAgAFwAbgAgACAAIAAgAFsARgBhAGMAdABvAHIAXQAsAFwAbgAgACAAIAAgAFsATgBvAF8AUwB3AGkAdABjAGgAXQAs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YARABCALsDKABDAG8AcwB0ACwAIABTAGEAbAB2AGEAZwBlACwAIABMAGkAZgBlACwAIABbAEYAYQBjAHQAbwByAF0ALAAgAFsATgBvAF8AUwB3AGkAdABjAGgAXQApALYAXAAiACAAJgBcAG4AIAAgACAAIAAgACAAIAAgACAAIAAgACAAIAAgACAAIAAgACAAIAAgACAAIAAgACAAIAAgACAAIABcACIARABFAFMAQwBSAEkAUABUAEkATwBOADoAIAAgACAAkiFWAGEAcgBpAGEAYgBsAGUAIABkAGUAYwBsAGkAbgBpAG4AZwAgAGIAYQBsAGEAbgBjAGUAIABkAGUAcAByAGUAYwBpAGEAdABpAG8AbgAgAG0AZQB0AGgAbwBkACAAZgBvAHIAIABvAG4AZQAgAGEAcwBzAGUAdAAgAG8AcgAgAGEAcwBzAGUAdAAgAGMAbABhAHMAcwAuALYAXAAiACAAJg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wBvAHMAdAAgACAAIAAgACAAIAAgACAAIAAgACAAkiEoAFIAZQBxAHUAaQByAGUAZAApACAAQQBzAHMAZQB0ACcAcwAgAGkAbgBpAHQAaQBhAGwAIABjAG8AcwB0AC4AtgBcACIAIAAmACAAIAAgACAAIAAgACAAIAAgACAAIAAgACAAIAAgACAAIAAgACAAXABuACAAIAAgACAAIAAgACAAIAAgACAAIAAgACAAIAAgACAAIAAgACAAIAAgACAAIAAgACAAIAAgACAAXAAiAFMAYQBsAHYAYQBnAGUAIAAgACAAIAAgACAAIAAgAJIhKABSAGUAcQB1AGkAcgBlAGQAKQAgAEEAcwBzAGUAdAAnAHMAIAB2AGEAbAB1AGUAIABhAG4AZAAgAGUAbgBkACAAbwBmACAAbABpAGYAZQAuACAAUwBhAGwAdgBhAGcAZQAgAGMAYQBuAG4AbwB0ACAAYgBlACAAMAAuALYAXAAiACAAJgAg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YAYQBjAHQAbwByACAAIAAgACAAIAAgACAAIAAgAJIhKABPAHAAdABpAG8AbgBhAGwAIABEAGUAZgBhAHUAbAB0AD0AMgApACAAUgBhAHQAZQAgAGEAdAAgAHcAaABpAGMAaAAgAHQAaABlACAAYgBhAGwAYQBuAGMAZQAgAGQAZQBjAGwAaQBuAGUAcwAuALYAXAAiACAAJgAgAFwAbgAgACAAIAAgACAAIAAgACAAIAAgACAAIAAgACAAIAAgACAAIAAgACAAIAAgACAAIAAgACAAIAAgAFwAIgBOAG8AXwBTAHcAaQB0AGMAaAAgACAAIAAgACAAIACSISgATwBwAHQAaQBvAG4AYQBsACAARABlAGYAYQB1AGwAdAA9AEYAQQBMAFMARQApACAAUwB3AGkAdABjAGgAIAB0AG8AIABzAHQAcgBhAGkAZwBoAHQALQBsAGkAbgBlACAAZABlAHAAcgBlAGMAaQBhAHQAaQBvAG4AIAB3AGgAZQBuALYAXAAiACAAJgAgAFwAbgAgACAAIAAgACAAIAAgACAAIAAgACAAIAAgACAAIAAgACAAIAAgACAAIAAgACAAIAAgACAAIAAgACAAIAAgACAAIAAgACAAIAAgACAAIAAgACAAIAAgAFwAIgCSISAAZABlAHAAcgBlAGMAaQBhAHQAaQBvAG4AIABpAHMAIABnAHIAZQBhAHQAZQByACAAdABoAGEAbgAgAHQAaABlACAAZABlAGMAbABpAG4AaQBuAGcAIABiAGEAbABhAG4AYwBlACAAYwBhAGwAYwB1AGwAYQB0AGkAbwBu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G4AYQBiAGwAYQAuAGYAIABpAHMAIABhAHMAcwB1AG0AZQBkACAAdABvACAAYgBlACAAdABoAGUAIABtAG8AZAB1AGwAZQAnAHMAIABuAGEAbQBlACkAtgBcACIAIAAmAFwAbgAgACAAIAAgACAAIAAgACAAIAAgACAAIAAgACAAIAAgACAAIAAgACAAIAAgACAAIAAgACAAIAAgACAAIAAgACAAIAAgACAAIAAgACAAIAAgACAAIAAgAFwAIgCSIT0AbgBhAGIAbABhAC4AZgAuAFYARABCALsDKAAxADAAMAAwACwAIAAxADAAMAAsACAANQAsACAAMQAuADUALAAgAFQAUgBVAEUAKQC2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MAMAAwAC4AMAAwACwAMgAxADAALgAwADAALAAxADQANwAuADAAMAAsADEAMgAxAC4ANQAwACwAMQAyADEALgA1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TAGEAbAB2AGEAZwBlACkALABcAG4AIAAgACAAIAAgACAAIAAgACAAIAAgACAAIAAgACAAIAAgACAAIAAgACAAIAAgACAAIAAgACAAIABJAFMATwBNAEkAVABUAEUARAAoACAATABpAGYAZQApAFwAbgAgACAAIAAgACAAIAAgACAAIAAgACAAIAAgACAAIAAgACAAIAAgACAAIAAgACAAIAApACwAXABuACAAIAAgACAALwAvACAAIABTAGUAdAAgAGQAZQBmAGEAdQBsAHQAcwAgAGYAbwByACAAbwBwAHQAaQBvAG4AYQBsACAAdgBhAGwAdQBlAHMAXABuACAAIAAgACAAIAAgACAAIABGAGEAYwB0AG8AcgAsACAAIAAgACAAIAAgACAAIAAgAEkARgAoACAASQBTAE8ATQBJAFQAVABFAEQAKAAgAEYAYQBjAHQAbwByACkALAAgADIALAAgAEYAYQBjAHQAbwByACkALABcAG4AIAAgACAAIAAgACAAIAAgAE4AbwBfAFMAdwBpAHQAYwBoACwAIAAgACAAIAAgACAASQBGACgAIABJAFMATwBNAEkAVABUAEUARAAoACAATgBvAF8AUwB3AGkAdABjAGgAKQAsACAARgBBAEwAUwBFACwAIABOAG8AXwBTAHcAaQB0AGMAaAApACwAXABuACAAIAAgACAALwAvACAAIABQAHIAbwBjAGUAZAB1AHIAZQBcAG4AIAAgACAAIAAgACAAIAAgAFIAZQBzAHUAbAB0ACwAIAAgACAAIAAgACAAIAAgACAAVgBEAEIAKAAgAEMAbwBzAHQALAAgAFMAYQBsAHYAYQBnAGUALAAgAEwAaQBmAGUALAAgAFMARQBRAFUARQBOAEMARQAoACAALAAgAEwAaQBmAGUALAAgADAAKQAsACAAUwBFAFEAVQBFAE4AQwBFACgAIAAsACAATABpAGYAZQApACwAIABGAGEAYwB0AG8AcgApACwAIAAgACA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BAG0AbwByAHQAaQBzAGUAuwNEAFYAXABuACAAIAAgACAARABFAFMAQwBSAEkAUABUAEkATwBOADoAKgAvAC8AKgAqAFAAcgBvAHYAaQBkAGUAcwAgAGUAeAB0AGUAbgBkAGUAZAAgAGQAYQB0AGEAIAB2AGEAbABpAGQAYQB0AGkAbwBuACAAbwBmACAAYQByAGcAdQBtAGUAbgB0AHMAIABmAG8AcgAgAEEAbQBvAHIAdABpAHMAZQC7AygAKQAqAC8AXABuAEEAbQBvAHIAdABpAHMAZQC7A0QAVgAgAD0AIABMAEEATQBCAEQAQQAoAFwAbgAvAC8AIAAgAFAAYQByAGEAbQBlAHQAZQByACAARABlAGMAbABhAHIAYQB0AGkAbwBuAHMAXABuACAAIAAgACAAWwBQAHIAaQBuAGMAaQBwAGEAbABdACwAXABuACAAIAAgACAAWwBBAFAAUgBdACwAXABuACAAIAAgACAAWwBUAGUAcgBtAF0ALAAgAFwAbgAgACAAIAAgAFsAUwB0AGEAcgB0AEQAYQB0AGUAXQAsAFwAbgAgACAAIAAgAFsAVABpAG0AZQBsAGkAbgBlAF0ALAAgAFwAbgBcAG4AIAAgACAAIABMAEUAVAAoAFwAbgAgACAAIAAgAC8ALwAgACAAQwBoAGUAYwBrACAAaQBuAHAAdQB0AHMAIAAtACAARQByAHIAbwByAHMAIABpAG4AIABhAHIAZwB1AG0AZQBuAHQAIAB2AGEAbAB1AGUAcwBcAG4AIAAgACAAIAAgACAAIAAgAEUAcgByAG8AcgBzAEkAbgBBAHIAZwBzACwAIAAgACAAVgBTAFQAQQBDAEsAKAAgAFwAbgAgACAAIAAgACAAIAAgACAAIAAgACAAIAAgACAAIAAgACAAIAAgACAAIAAgACAAIAAgACAAIAAgAE8AUgAoACAASQBTAEUAUgBSAE8AUgAoACAAUAByAGkAbgBjAGkAcABhAGwAKQApACwAXABuACAAIAAgACAAIAAgACAAIAAgACAAIAAgACAAIAAgACAAIAAgACAAIAAgACAAIAAgACAAIAAgACAATwBSACgAIABJAFMARQBSAFIATwBSACgAIABBAFAAUgApACkALABcAG4AIAAgACAAIAAgACAAIAAgACAAIAAgACAAIAAgACAAIAAgACAAIAAgACAAIAAgACAAIAAgACAAIABPAFIAKAAgAEkAUwBFAFIAUgBPAFIAKAAgAFQAZQByAG0AKQApACwAXABuACAAIAAgACAAIAAgACAAIAAgACAAIAAgACAAIAAgACAAIAAgACAAIAAgACAAIAAgACAAIAAgACAATwBSACgAIABJAFMARQBSAFIATwBSACgAIABTAHQAYQByAHQARABhAHQAZQApACkALABcAG4AIAAgACAAIAAgACAAIAAgACAAIAAgACAAIAAgACAAIAAgACAAIAAgACAAIAAgACAAIAAgACAAIABPAFIAKAAgAEkAUwBFAFIAUgBPAFIAKAAgAFQAaQBtAGUAbABpAG4AZQApACkAXABuACAAIAAgACAAIAAgACAAIAAgACAAIAAgACAAIAAgACAAIAAgACAAIAAgACAAIAAgACkALABcAG4AXABuACAAIAAgACAALwAvACAAIABDAGgAZQBjAGsAIABpAG4AcAB1AHQAcwAgAC0AIABEAGEAdABhACAAdgBhAGwAaQBkAGEAdABpAG8AbgAgAGUAcgByAG8AcgBzAFwAbgAgACAAIAAgACAAIAAgACAARABWAEEAcgBnADEALAAgACAAIAAgACAAIAAgACAAIABJAEYAKAAgAE8AUgAoACAASQBTAE8ATQBJAFQAVABFAEQAKAAgAFAAcgBpAG4AYwBpAHAAYQBsACkALAAgAEkAUwBFAFIAUgBPAFIAKAAgAFAAcgBpAG4AYwBpAHAAYQBsACkAKQAsACAAXABuACAAIAAgACAAIAAgACAAIAAgACAAIAAgACAAIAAgACAAIAAgACAAIAAgACAAIAAgACAAIAAgACAARgBBAEwAUwBFACwAIABcAG4AIAAgACAAIAAgACAAIAAgACAAIAAgACAAIAAgACAAIAAgACAAIAAgACAAIAAgACAAIAAgACAAIABPAFIAKAAgAEkARgBFAFIAUgBPAFIAKAAgAFYAQQBMAFUARQAoAFAAcgBpAG4AYwBpAHAAYQBsACkAIAA8ACAAMQAsACAAVABSAFUARQApACkAKQAsAFwAbgAgACAAIAAgACAAIAAgACAARABWAEEAcgBnADIALAAgACAAIAAgACAAIAAgACAAIABJAEYAKAAgAE8AUgAoACAASQBTAE8ATQBJAFQAVABFAEQAKAAgAEEAUABSACkALAAgAEkAUwBFAFIAUgBPAFIAKAAgAEEAUABSACkAKQAsACAAXABuACAAIAAgACAAIAAgACAAIAAgACAAIAAgACAAIAAgACAAIAAgACAAIAAgACAAIAAgACAAIAAgACAARgBBAEwAUwBFACwAIABcAG4AIAAgACAAIAAgACAAIAAgACAAIAAgACAAIAAgACAAIAAgACAAIAAgACAAIAAgACAAIAAgACAAIABPAFIAKAAgAEkARgBFAFIAUgBPAFIAKAAgAFYAQQBMAFUARQAoAEEAUABSACkAIAA8AD0AIAAwACwAIABUAFIAVQBFACkAKQApACwAXABuACAAIAAgACAAIAAgACAAIABEAFYAQQByAGcAMwAsACAAIAAgACAAIAAgACAAIAAgAEkARgAoACAATwBSACgAIABJAFMATwBNAEkAVABUAEUARAAoACAAVABlAHIAbQApACwAIABJAFMARQBSAFIATwBSACgAIABUAGUAcgBtACkAKQAsACAAXABuACAAIAAgACAAIAAgACAAIAAgACAAIAAgACAAIAAgACAAIAAgACAAIAAgACAAIAAgACAAIAAgACAARgBBAEwAUwBFACwAIABcAG4AIAAgACAAIAAgACAAIAAgACAAIAAgACAAIAAgACAAIAAgACAAIAAgACAAIAAgACAAIAAgACAAIABPAFIAKAAgAEkARgBFAFIAUgBPAFIAKAAgAFYAQQBMAFUARQAoAFQAZQByAG0AKQAgADwAIAAxACwAIABUAFIAVQBFACkAKQApACwAXABuACAAIAAgACAAIAAgACAAIABEAFYAQQByAGcANAAsACAAIAAgACAAIAAgACAAIAAgAEkARgAoACAATwBSACgAIABJAFMATwBNAEkAVABUAEUARAAoACAAUwB0AGEAcgB0AEQAYQB0AGUAKQAsACAASQBTAEUAUgBSAE8AUgAoACAAUwB0AGEAcgB0AEQAYQB0AGUAKQApACwAIABcAG4AIAAgACAAIAAgACAAIAAgACAAIAAgACAAIAAgACAAIAAgACAAIAAgACAAIAAgACAAIAAgACAAIABGAEEATABTAEUALAAgAFwAbgAgACAAIAAgACAAIAAgACAAIAAgACAAIAAgACAAIAAgACAAIAAgACAAIAAgACAAIAAgACAAIAAgAE8AUgAoACAASQBGAEUAUgBSAE8AUgAoACAAVgBBAEwAVQBFACgAUwB0AGEAcgB0AEQAYQB0AGUAKQAgADwAIABNAEkATgAoACAAVABpAG0AZQBsAGkAbgBlACkALAAgAFQAUgBVAEUAKQApACkALABcAG4AIAAgACAAIAAgACAAIAAgAEQAVgBBAHIAZwA1ACwAIAAgACAAIAAgACAAIAAgACAASQBGACgAIABPAFIAKAAgAEkAUwBPAE0ASQBUAFQARQBEACgAIABUAGkAbQBlAGwAaQBuAGUAKQAsACAASQBTAEUAUgBSAE8AUgAoACAAVABpAG0AZQBsAGkAbgBlACkAKQAsACAAXABuACAAIAAgACAAIAAgACAAIAAgACAAIAAgACAAIAAgACAAIAAgACAAIAAgACAAIAAgACAAIAAgACAARgBBAEwAUwBFACwAIABcAG4AIAAgACAAIAAgACAAIAAgACAAIAAgACAAIAAgACAAIAAgACAAIAAgACAAIAAgACAAIAAgACAAIABPAFIAKAAgAEkARgBFAFIAUgBPAFIAKAAgAFYAQQBMAFUARQAoAFQAaQBtAGUAbABpAG4AZQApACAAPAAgADEALAAgAFQAUgBVAEUAKQApACkALABcAG4AIAAgACAAIAAgACAAIAAgAEQAVgBBAHIAZwA2ACwAIAAgACAAIAAgACAAIAAgACAASQBGACgAIABPAFIAKAAgAEkAUwBPAE0ASQBUAFQARQBEACgAIABUAGkAbQBlAGwAaQBuAGUAKQAsACAASQBTAEUAUgBSAE8AUgAoACAAVABpAG0AZQBsAGkAbgBlACkALAAgAEQAVgBBAHIAZwA1ACkALAAgAFwAbgAgACAAIAAgACAAIAAgACAAIAAgACAAIAAgACAAIAAgACAAIAAgACAAIAAgACAAIAAgACAAIAAgAEYAQQBMAFMARQAsACAAXABuACAAIAAgACAAIAAgACAAIAAgACAAIAAgACAAIAAgACAAIAAgACAAIAAgACAAIAAgACAAIAAgACAAQwBPAFUATgBUAEEAKABUAGkAbQBlAGwAaQBuAGUAKQAgADwAIAAyACkALABcAG4AIAAgACAAIAAgACAAIAAgAEQAVgBBAHIAZwA3ACwAIAAgACAAIAAgACAAIAAgACAASQBGACgAIABPAFIAKAAgAEkAUwBPAE0ASQBUAFQARQBEACgAIABUAGkAbQBlAGwAaQBuAGUAKQAsACAASQBTAEUAUgBSAE8AUgAoACAAVABpAG0AZQBsAGkAbgBlACkALAAgAEQAVgBBAHIAZwA1ACwAIABEAFYAQQByAGcANgApACwAIABcAG4AIAAgACAAIAAgACAAIAAgACAAIAAgACAAIAAgACAAIAAgACAAIAAgACAAIAAgACAAIAAgACAAIABGAEEATABTAEUALAAgAFwAbgAgACAAIAAgACAAIAAgACAAIAAgACAAIAAgACAAIAAgACAAIAAgACAAIAAgACAAIAAgACAAIAAgACgASQBOAEQARQBYACgAVABpAG0AZQBsAGkAbgBlACwAIAAyACkAIAAtACAASQBOAEQARQBYACgAVABpAG0AZQBsAGkAbgBlACwAIAAxACkAKQAgADwAIAAzADAAIAApACwAXABuACAAIAAgACAAIAAgACAAIABEAFYARQByAHIAbwByAHMALAAgACAAIAAgACAAIAAgAFYAUwBUAEEAQwBLACgAIABEAFYAQQByAGcAMQAsACAARABWAEEAcgBnADIALAAgAEQAVgBBAHIAZwAzACwAIABEAFYAQQByAGcANAAsACAARABWAEEAcgBnADUALAAgAEQAVgBBAHIAZwA2ACwAIABEAFYAQQByAGcANwApACwAXABuACAAIAAgACAAIAAgACAAIABcAG4AIAAgACAAIAAvAC8AIAAgAEEAbgB5ACAAaQBuAHAAdQB0ACAAZQByAHIAbwByAHMAIABkAGUAdABlAGMAdABlAGQAPwBcAG4AIAAgACAAIAAgACAAIAAgAEEAbgB5AEUAcgByAG8AcgBzAD8ALAAgACAAIAAgACAATwBSACgARQByAHIAbwByAHMASQBuAEEAcgBnAHMALAAgAEQAVgBFAHIAcgBvAHIAcwApACwAXABuAFwAbgAgACAAIAAgAC8ALwAgACAAQQBzAHMAZQBtAGIAbABlACAARQByAHIAbwByACAATQBlAHMAcwBhAGcAZQBzACAAQQByAHIAYQB5ACAAKABpAGYAIABlAHIAcgBvAHIAcwAgAGYAbwB1AG4AZAApAFwAbgAgACAAIAAgACAAIAAgACAARQByAHIAbwByAHMAMgBTAGgAbwB3ACwAIAAgACAAIABWAFMAVABBAEMASwAoACAARQByAHIAbwByAHMASQBuAEEAcgBnAHMALAAgAEQAVgBFAHIAcgBvAHIAcwApACwAIABcAG4AIAAgACAAIAAgACAAIAAgAEUAcgByAE0AcwBnAHMALAAgACAAIAAgACAAIAAgACAAewBcAG4AIAAgACAAIAAgACAAIAAgACAAIAAgACAAIAAgACAAIAAgACAAIAAgAC8ALwAgACAARQByAHIAbwByAHMAIABpAG4AIABhAHIAZwB1AG0AZQBuAHQAcwBcAG4AIAAgACAAIAAgACAAIAAgACAAIAAgACAAIAAgACAAIAAgACAAIAAgACAAIAAgACAAXAAiAEEAbQBvAHUAbgB0ACAAYwBvAG4AdABhAGkAbgBzACAAZQByAHIAbwByAHMAIABpAG4AIABjAGUAbABsAHMALgAgAFIAZQBzAG8AbAB2AGUAIABlAHIAcgBvAHIAcwAgAGYAaQByAHMAdAAuAFwAIgA7AFwAbgAgACAAIAAgACAAIAAgACAAIAAgACAAIAAgACAAIAAgACAAIAAgACAAIAAgACAAIABcACIAQQBQAFIAIABjAG8AbgB0AGEAaQBuAHMAIABlAHIAcgBvAHIAcwAgAGkAbgAgAGMAZQBsAGwAcwAuACAAUgBlAHMAbwBsAHYAZQAgAGUAcgByAG8AcgBzACAAZgBpAHIAcwB0AC4AXAAiADsAXABuACAAIAAgACAAIAAgACAAIAAgACAAIAAgACAAIAAgACAAIAAgACAAIAAgACAAIAAgAFwAIgBUAGUAcgBtACAAYwBvAG4AdABhAGkAbgBzACAAZQByAHIAbwByAHMAIABpAG4AIABjAGUAbABsAHMALgAgAFIAZQBzAG8AbAB2AGUAIABlAHIAcgBvAHIAcwAgAGYAaQByAHMAdAAuAFwAIgA7AFwAbgAgACAAIAAgACAAIAAgACAAIAAgACAAIAAgACAAIAAgACAAIAAgACAAIAAgACAAIABcACIAUwB0AGEAcgB0AEQAYQB0AGUAIABjAG8AbgB0AGEAaQBuAHMAIABlAHIAcgBvAHIAcwAgAGkAbgAgAGMAZQBsAGwAcwAuACAAUgBlAHMAbwBsAHYAZQAgAGUAcgByAG8AcgBzACAAZgBpAHIAcwB0AC4AXAAiADsAXABuACAAIAAgACAAIAAgACAAIAAgACAAIAAgACAAIAAgACAAIAAgACAAIAAgACAAIAAgAFwAIgBUAGkAbQBlAGwAaQBuAGUAIABjAG8AbgB0AGEAaQBuAHMAIABlAHIAcgBvAHIAcwAgAGkAbgAgAGMAZQBsAGwAcwAuACAAUgBlAHMAbwBsAHYAZQAgAGUAcgByAG8AcgBzACAAZgBpAHIAcwB0AC4AXAAiADsAXABuACAAIAAgACAAIAAgACAAIAAgACAAIAAgACAAIAAgACAAIAAgACAAIABcAG4AIAAgACAAIAAgACAAIAAgACAAIAAgACAAIAAgACAAIAAgACAAIAAgAC8ALwAgACAARABhAHQAYQAgAHYAYQBsAGkAZABhAHQAaQBvAG4AIABlAHIAcgBvAHIAcwBcAG4AIAAgACAAIAAgACAAIAAgACAAIAAgACAAIAAgACAAIAAgACAAIAAgACAAIAAgACAAXAAiAEEAbQBvAHUAbgB0ACAAbQB1AHMAdAAgAGIAZQAgAGcAcgBlAGEAdABlAHIAIAB0AGgAYQBuACAAMABcACIAOwBcAG4AIAAgACAAIAAgACAAIAAgACAAIAAgACAAIAAgACAAIAAgACAAIAAgACAAIAAgACAAXAAiAEEAUABSACAAbQB1AHMAdAAgAGIAZQAgAGEAIABwAGUAcgBjAGUAbgB0AGEAZwBlACAAZwByAGUAYQB0AGUAcgAgAHQAaABhAG4AIAAwAFwAIgA7AFwAbgAgACAAIAAgACAAIAAgACAAIAAgACAAIAAgACAAIAAgACAAIAAgACAAIAAgACAAIABcACIAVABlAHIAbQAgAG0AdQBzAHQAIABiAGUAIAB0AGgAZQAgAG4AdQBtAGIAZQByACAAbwBmACAAdABpAG0AZQBsAGkAbgBlACAAcABlAHIAaQBvAGQAcwAgAHUAbgB0AGkAbAAgAHQAaABlACAAZABlAGIAdAAgAGkAcwAgAHMAYQB0AGkAcwBmAGkAZQBkAC4AXAAiADsAXABuACAAIAAgACAAIAAgACAAIAAgACAAIAAgACAAIAAgACAAIAAgACAAIAAgACAAIAAgAFwAIgBTAHQAYQByAHQARABhAHQAZQAgAG0AdQBzAHQAIABiAGUAIABhACAAdgBhAGwAaQBkACAAZABhAHQAZQAuAFwAIgA7AFwAbgAgACAAIAAgACAAIAAgACAAIAAgACAAIAAgACAAIAAgACAAIAAgACAAIAAgACAAIABcACIAVABpAG0AZQBsAGkAbgBlACAAbQB1AHMAdAAgAGEAIAByAG8AdwAgAG8AZgAgAHAAZQByAGkAbwBkACAAcwB0AGEAcgB0ACAAZABhAHQAZQBzACAAdwBpAHQAaAAgAGUAdgBlAHIAeQAgAHAAZQByAGkAbwBkACAAcwBwAGEAbgBuAGkAbgBnACAAYQAgAG0AbwBuAHQAaAAsACAAcQB1AGEAcgB0AGUAcgAgAG8AcgAgAHkAZQBhAHIALgBcACIAOwBcAG4AIAAgACAAIAAgACAAIAAgACAAIAAgACAAIAAgACAAIAAgACAAIAAgACAAIAAgACAAXAAiAFQAaQBtAGUAbABpAG4AZQAgAG0AdQBzAHQAIABhACAAcgBvAHcAIABvAGYAIABwAGUAcgBpAG8AZAAgAHMAdABhAHIAdAAgAGQAYQB0AGUAcwAgAHcAaQB0AGgAIABtAG8AcgBlACAAdABoAGEAbgAgADEAIABlAG4AdAByAHkALgBcACIAOwBcAG4AIAAgACAAIAAgACAAIAAgACAAIAAgACAAIAAgACAAIAAgACAAIAAgACAAIAAgACAAXAAiAFQAaQBtAGUAbABpAG4AZQAgAG0AdQBzAHQAIABhACAAcgBvAHcAIABvAGYAIABwAGUAcgBpAG8AZAAgAHMAdABhAHIAdAAgAGQAYQB0AGUAcwAgAHMAcABhAG4AbgBpAG4AZwAgAG4AbwAgAGwAZQBzAHMAIAB0AGgAYQBuACAAYQAgAG0AbwBuAHQAaAAuAFwAIgB9ACwAXABuACAAIAAgACAAIAAgACAAIABNAGUAcwBzAGEAZwBlAHMALAAgACAAIAAgACAAIAAgAEYASQBMAFQARQBSACgARQByAHIATQBzAGcAcwAsACAARQByAHIAbwByAHMAMgBTAGgAbwB3ACwAIABcACIAXAAiACkALAAgACAAIAAgACAAIAAgACAAXABuAFwAbgAgACAAIAAgAC8ALwAgACAASABhAG4AZABsAGUAIABFAHIAcgBvAHIAXABuACAAIAAgACAAIAAgACAAIABSAGUAdAB1AHIAbgAsACAAIAAgACAAIAAgACAAIAAgAEkARgAoACAATwBSACgAIABFAHIAcgBvAHIAcwAyAFMAaABvAHcAKQAsACAAMgAsACAASQBGACgAIABBAG4AeQBFAHIAcgBvAHIAcwA/ACwAIAAzACwAIAAxACkAKQAsACAAIAAgACAAIAAgAFwAbgAgACAAIAAgAC8ALwAgACAAUgBlAHQAdQByAG4AIABSAGUAcwB1AGwAdABcAG4AIAAgACAAIAAgACAAIAAgAEMASABPAE8AUwBFACgAUgBlAHQAdQByAG4ALAAgAFQAUgBVAEUALAAgAE0AZQBzAHMAYQBnAGUAcwAsACAAIwBWAEEATABVAEUAIQApAFwAbgAgACAAIAAgACkAIAAgACAAIABcAG4AKQA7AFwAbgBcAG4AXABuAFwAbgAvACoAIAAgAEYAVQBOAEMAVABJAE8ATgAgAE4AQQBNAEUAOgAgACAAQwBvAHIAawBzAGMAcgBlAHcAuwNEAFYAXABuACAAIAAgACAARABFAFMAQwBSAEkAUABUAEkATwBOADoAKgAvAC8AKgAqAFAAcgBvAHYAaQBkAGUAcwAgAGUAeAB0AGUAbgBkAGUAZAAgAGQAYQB0AGEAIAB2AGEAbABpAGQAYQB0AGkAbwBuACAAbwBmACAAYQByAGcAdQBtAGUAbgB0AHMAIABmAG8AcgAgAEQAZQBwAHIAZQBjAGkAYQB0AGUAuwMuACoALwBcAG4AQwBvAHIAawBzAGMAcgBlAHcAuwNEAFYAIAA9ACAATABBAE0AQgBEAEEAKABcAG4ALwAvACAAIABQAGEAcgBhAG0AZQB0AGUAcgAgAEQAZQBjAGwAYQByAGEAdABpAG8AbgBzAFwAbgAgACAAIAAgAFsATwBwAGUAbgBpAG4AZwBdACwAXABuACAAIAAgACAAWwBGAGwAbwB3ADEAXQAsAFwAbgAgACAAIAAgAFsARgBsAG8AdwAyAF0ALABcAG4AIAAgACAAIABbAEYAbABvAHcAMwBdACwAXABuACAAIAAgACAAWwBGAGwAbwB3ADQAXQAsAFwAbgAgACAAIAAgAFsARABpAGEAZwBuAG8AcwB0AGkAYwBzAF0ALABcAG4AXABuACAAIAAgACAATABFAFQAKABcAG4AIAAgACAAIAAvAC8AIAAgAEMAaABlAGMAawAgAGkAbgBwAHUAdABzACAALQAgAEUAcgByAG8AcgBzACAAaQBuACAAYQByAGcAdQBtAGUAbgB0ACAAdgBhAGwAdQBlAHMAXABuACAAIAAgACAAIAAgACAAIABFAHIAcgBvAHIAcwBJAG4AQQByAGcAcwAsACAAIAAgAFYAUwBUAEEAQwBLACgAIABcAG4AIAAgACAAIAAgACAAIAAgACAAIAAgACAAIAAgACAAIAAgACAAIAAgACAAIAAgACAAIAAgACAAIABPAFIAKAAgAEkAUwBFAFIAUgBPAFIAKAAgAE8AcABlAG4AaQBuAGcAKQApACwAXABuACAAIAAgACAAIAAgACAAIAAgACAAIAAgACAAIAAgACAAIAAgACAAIAAgACAAIAAgACAAIAAgACAATwBSACgAIABJAFMARQBSAFIATwBSACgAIABGAGwAbwB3ADEAKQApACwAXABuACAAIAAgACAAIAAgACAAIAAgACAAIAAgACAAIAAgACAAIAAgACAAIAAgACAAIAAgACAAIAAgACAATwBSACgAIABJAFMARQBSAFIATwBSACgAIABGAGwAbwB3ADIAKQApACwAXABuACAAIAAgACAAIAAgACAAIAAgACAAIAAgACAAIAAgACAAIAAgACAAIAAgACAAIAAgACAAIAAgACAATwBSACgAIABJAFMARQBSAFIATwBSACgAIABGAGwAbwB3ADMAKQApACwAXABuACAAIAAgACAAIAAgACAAIAAgACAAIAAgACAAIAAgACAAIAAgACAAIAAgACAAIAAgACAAIAAgACAATwBSACgAIABJAFMARQBSAFIATwBSACgAIABGAGwAbwB3ADQAKQApAFwAbgAgACAAIAAgACAAIAAgACAAIAAgACAAIAAgACAAIAAgACAAIAAgACAAIAAgACAAIAApACwAXABuAFwAbgAgACAAIAAgAC8ALwAgACAAQwBoAGUAYwBrACAAaQBuAHAAdQB0AHMAIAAtACAARABhAHQAYQAgAHYAYQBsAGkAZABhAHQAaQBvAG4AIABlAHIAcgBvAHIAcwBcAG4AIAAgACAAIAAgACAAIAAgAEQAVgBBAHIAZwAxACwAIAAgACAAIAAgACAAIAAgACAASQBGACgAIABPAFIAKAAgAEkAUwBPAE0ASQBUAFQARQBEACgAIABPAHAAZQBuAGkAbgBnACkALAAgAEkAUwBFAFIAUgBPAFIAKAAgAE8AcABlAG4AaQBuAGcAKQApACwAIABcAG4AIAAgACAAIAAgACAAIAAgACAAIAAgACAAIAAgACAAIAAgACAAIAAgACAAIAAgACAAIAAgACAAIABGAEEATABTAEUALAAgAFwAbgAgACAAIAAgACAAIAAgACAAIAAgACAAIAAgACAAIAAgACAAIAAgACAAIAAgACAAIAAgACAAIAAgAE4ATwBUACgAIABJAFMATgBVAE0AQgBFAFIAKAAgAE8AcABlAG4AaQBuAGcAIAApACkAKQAsAFwAbgAgACAAIAAgACAAIAAgACAARABWAEEAcgBnADIALAAgACAAIAAgACAAIAAgACAAIABJAEYAKAAgAE8AUgAoACAASQBTAE8ATQBJAFQAVABFAEQAKAAgAEYAbABvAHcAMQApACwAIABJAFMARQBSAFIATwBSACgAIABGAGwAbwB3ADEAKQApACwAIABcAG4AIAAgACAAIAAgACAAIAAgACAAIAAgACAAIAAgACAAIAAgACAAIAAgACAAIAAgACAAIAAgACAAIABGAEEATABTAEUALAAgAFwAbgAgACAAIAAgACAAIAAgACAAIAAgACAAIAAgACAAIAAgACAAIAAgACAAIAAgACAAIAAgACAAIAAgAE4ATwBUACgAIABBAE4ARAAoAEkAUwBOAFUATQBCAEUAUgAoACAARgBsAG8AdwAxACAAKQApACkAKQAsAFwAbgAgACAAIAAgACAAIAAgACAARABWAEEAcgBnADMALAAgACAAIAAgACAAIAAgACAAIABJAEYAKAAgAE8AUgAoACAASQBTAE8ATQBJAFQAVABFAEQAKAAgAEYAbABvAHcAMgApACwAIABJAFMARQBSAFIATwBSACgAIABGAGwAbwB3ADIAKQApACwAIABcAG4AIAAgACAAIAAgACAAIAAgACAAIAAgACAAIAAgACAAIAAgACAAIAAgACAAIAAgACAAIAAgACAAIABGAEEATABTAEUALAAgAFwAbgAgACAAIAAgACAAIAAgACAAIAAgACAAIAAgACAAIAAgACAAIAAgACAAIAAgACAAIAAgACAAIAAgAE4ATwBUACgAIABBAE4ARAAoAEkAUwBOAFUATQBCAEUAUgAoACAARgBsAG8AdwAyACAAKQApACkAKQAsAFwAbgAgACAAIAAgACAAIAAgACAARABWAEEAcgBnADQALAAgACAAIAAgACAAIAAgACAAIABJAEYAKAAgAE8AUgAoACAASQBTAE8ATQBJAFQAVABFAEQAKAAgAEYAbABvAHcAMwApACwAIABJAFMARQBSAFIATwBSACgAIABGAGwAbwB3ADMAKQApACwAIABcAG4AIAAgACAAIAAgACAAIAAgACAAIAAgACAAIAAgACAAIAAgACAAIAAgACAAIAAgACAAIAAgACAAIABGAEEATABTAEUALAAgAFwAbgAgACAAIAAgACAAIAAgACAAIAAgACAAIAAgACAAIAAgACAAIAAgACAAIAAgACAAIAAgACAAIAAgAE4ATwBUACgAIABBAE4ARAAoAEkAUwBOAFUATQBCAEUAUgAoACAARgBsAG8AdwAzACAAKQApACkAKQAsAFwAbgAgACAAIAAgACAAIAAgACAARABWAEEAcgBnADUALAAgACAAIAAgACAAIAAgACAAIABJAEYAKAAgAE8AUgAoACAASQBTAE8ATQBJAFQAVABFAEQAKAAgAEYAbABvAHcANAApACwAIABJAFMARQBSAFIATwBSACgAIABGAGwAbwB3ADQAKQApACwAIABcAG4AIAAgACAAIAAgACAAIAAgACAAIAAgACAAIAAgACAAIAAgACAAIAAgACAAIAAgACAAIAAgACAAIABGAEEATABTAEUALAAgAFwAbgAgACAAIAAgACAAIAAgACAAIAAgACAAIAAgACAAIAAgACAAIAAgACAAIAAgACAAIAAgACAAIAAgAE4ATwBUACgAIABBAE4ARAAoAEkAUwBOAFUATQBCAEUAUgAoACAARgBsAG8AdwA0ACAAKQApACkAKQAsAFwAbgAgACAAIAAgACAAIAAgACAARABWAEUAcgByAG8AcgBzACwAIAAgACAAIAAgACAAIABWAFMAVABBAEMASwAoACAARABWAEEAcgBnADEALAAgAEQAVgBBAHIAZwAyACwAIABEAFYAQQByAGcAMwAsACAARABWAEEAcgBnADQALAAgAEQAVgBBAHIAZwA1ACkALABcAG4AIAAgACAAIAAgACAAIAAgAFwAbgAgACAAIAAgAC8ALwAgACAAQQBuAHkAIABpAG4AcAB1AHQAIABlAHIAcgBvAHIAcwAgAGQAZQB0AGUAYwB0AGUAZAA/AFwAbgAgACAAIAAgACAAIAAgACAAQQBuAHkARQByAHIAbwByAHMAPwAsACAAIAAgACAAIABPAFIAKABFAHIAcgBvAHIAcwBJAG4AQQByAGcAcwAsACAARABWAEUAcgByAG8AcgBzACkALABcAG4AXABuACAAIAAgACAALwAvACAAIABBAHMAcwBlAG0AYgBsAGUAIABFAHIAcgBvAHIAIABNAGUAcwBzAGEAZwBlAHMAIABBAHIAcgBhAHkAIAAoAGkAZgAgAGUAcgByAG8AcgBzACAAZgBvAHUAbgBkACkAXABuACAAIAAgACAAIAAgACAAIABFAHIAcgBvAHIAcwAyAFMAaABvAHcALAAgACAAIAAgAFYAUwBUAEEAQwBLACgAIABEAGkAYQBnAG4AbwBzAHQAaQBjAHMAIAAqACAARQByAHIAbwByAHMASQBuAEEAcgBnAHMALAAgAEQAaQBhAGcAbgBvAHMAdABpAGMAcwAgACoAIABEAFYARQByAHIAbwByAHMAKQAsACAAXABuACAAIAAgACAAIAAgACAAIABFAHIAcgBNAHMAZwBzACwAIAAgACAAIAAgACAAIAAgAHsAXAAiAE8AcABlAG4AaQBuAGcAIABjAG8AbgB0AGEAaQBuAHMAIABlAHIAcgBvAHIAcwAgAGkAbgAgAGMAZQBsAGwAcwAuACAAUgBlAHMAbwBsAHYAZQAgAGUAcgByAG8AcgBzACAAZgBpAHIAcwB0AC4AXAAiADsAXABuACAAIAAgACAAIAAgACAAIAAgACAAIAAgACAAIAAgACAAIAAgACAAIAAgACAAIAAgACAAXAAiAEYAbABvAHcAMQAgAGMAbwBuAHQAYQBpAG4AcwAgAGUAcgByAG8AcgBzACAAaQBuACAAYwBlAGwAbABzAC4AIABSAGUAcwBvAGwAdgBlACAAZQByAHIAbwByAHMAIABmAGkAcgBzAHQALgBcACIAOwBcAG4AIAAgACAAIAAgACAAIAAgACAAIAAgACAAIAAgACAAIAAgACAAIAAgACAAIAAgACAAIABcACIARgBsAG8AdwAyACAAYwBvAG4AdABhAGkAbgBzACAAZQByAHIAbwByAHMAIABpAG4AIABjAGUAbABsAHMALgAgAFIAZQBzAG8AbAB2AGUAIABlAHIAcgBvAHIAcwAgAGYAaQByAHMAdAAuAFwAIgA7AFwAbgAgACAAIAAgACAAIAAgACAAIAAgACAAIAAgACAAIAAgACAAIAAgACAAIAAgACAAIAAgAFwAIgBGAGwAbwB3ADMAIABjAG8AbgB0AGEAaQBuAHMAIABlAHIAcgBvAHIAcwAgAGkAbgAgAGMAZQBsAGwAcwAuACAAUgBlAHMAbwBsAHYAZQAgAGUAcgByAG8AcgBzACAAZgBpAHIAcwB0AC4AXAAiADsAXABuACAAIAAgACAAIAAgACAAIAAgACAAIAAgACAAIAAgACAAIAAgACAAIAAgACAAIAAgACAAXAAiAEYAbABvAHcANAAgAGMAbwBuAHQAYQBpAG4AcwAgAGUAcgByAG8AcgBzACAAaQBuACAAYwBlAGwAbABzAC4AIABSAGUAcwBvAGwAdgBlACAAZQByAHIAbwByAHMAIABmAGkAcgBzAHQALgBcACIAOwBcAG4AIAAgACAAIAAgACAAIAAgACAAIAAgACAAIAAgACAAIAAgACAAIAAgACAAIAAgACAAIABcAG4AIAAgACAAIAAgACAAIAAgACAAIAAgACAAIAAgACAAIAAgACAAIAAgACAAIAAgACAAIABcACIAUwBlAHQAIABPAHAAZQBuAGkAbgBnACAAbQB1AHMAdAAgAHQAbwAgAGMAbwBuAHQAYQBpAG4AIABvAG4AbAB5ACAAbgB1AG0AZQByAGkAYwAgAHYAYQBsAHUAZQBzAC4AXAAiADsAXABuACAAIAAgACAAIAAgACAAIAAgACAAIAAgACAAIAAgACAAIAAgACAAIAAgACAAIAAgACAAXAAiAFMAZQB0ACAARgBsAG8AdwAxACAAdABvACAAYwBvAG4AdABhAGkAbgAgAG8AbgBsAHkAIABuAHUAbQBlAHIAaQBjACAAdgBhAGwAdQBlAHMALgBcACIAOwBcAG4AIAAgACAAIAAgACAAIAAgACAAIAAgACAAIAAgACAAIAAgACAAIAAgACAAIAAgACAAIABcACIAUwBlAHQAIABGAGwAbwB3ADIAIAB0AG8AIABjAG8AbgB0AGEAaQBuACAAbwBuAGwAeQAgAG4AdQBtAGUAcgBpAGMAIAB2AGEAbAB1AGUAcwAuAFwAIgA7AFwAbgAgACAAIAAgACAAIAAgACAAIAAgACAAIAAgACAAIAAgACAAIAAgACAAIAAgACAAIAAgAFwAIgBTAGUAdAAgAEYAbABvAHcAMwAgAHQAbwAgAGMAbwBuAHQAYQBpAG4AIABvAG4AbAB5ACAAbgB1AG0AZQByAGkAYwAgAHYAYQBsAHUAZQBzAC4AXAAiADsAXABuACAAIAAgACAAIAAgACAAIAAgACAAIAAgACAAIAAgACAAIAAgACAAIAAgACAAIAAgACAAXAAiAFMAZQB0ACAARgBsAG8AdwA0ACAAdABvACAAYwBvAG4AdABhAGkAbgAgAG8AbgBsAHkAIABuAHUAbQBlAHIAaQBjACAAdgBhAGwAdQBlAHMALgBcACIAfQAsAFwAbgAgACAAIAAgACAAIAAgACAATQBlAHMAcwBhAGcAZQBzACwAIAAgACAAIAAgACAAIABGAEkATABUAEUAUgAoAEUAcgByAE0AcwBnAHMALAAgAEUAcgByAG8AcgBzADIAUwBoAG8AdwAsACAAXAAiAFwAIgApACwAIAAgACAAIAAgACAAIAAgAFwAbgBcAG4AIAAgACAAIAAvAC8AIAAgAEgAYQBuAGQAbABlACAARQByAHIAbwByAFwAbgAgACAAIAAgACAAIAAgACAAUgBlAHQAdQByAG4ALAAgACAAIAAgACAAIAAgACAAIABJAEYAKAAgAE8AUgAoACAARQByAHIAbwByAHMAMgBTAGgAbwB3ACkALAAgADIALAAgAEkARgAoACAAQQBuAHkARQByAHIAbwByAHMAPwAsACAAMwAsACAAMQApACkALAAgACAAIAAgACAAIAAgACAAXABuACAAIAAgACAALwAvACAAIABSAGUAdAB1AHIAbgAgAFIAZQBzAHUAbAB0AFwAbgAgACAAIAAgACAAIAAgACAAQwBIAE8ATwBTAEUAKABSAGUAdAB1AHIAbgAsACAAVABSAFUARQAsACAATQBlAHMAcwBhAGcAZQBzACwAIAAjAFYAQQBMAFUARQAhACkAXABuACAAIAAgACAAKQAgACAAIAAgAFwAbgApADsAXABuAFwAbgBcAG4AXABuAC8AKgAgACAARgBVAE4AQwBUAEkATwBOACAATgBBAE0ARQA6ACAAIABEAGUAcAByAGUAYwBpAGEAdABlALsDRABWAFwAbgAgACAAIAAgAEQARQBTAEMAUgBJAFAAVABJAE8ATgA6ACoALwAvACoAKgBQAHIAbwB2AGkAZABlAHMAIABlAHgAdABlAG4AZABlAGQAIABkAGEAdABhACAAdgBhAGwAaQBkAGEAdABpAG8AbgAgAG8AZgAgAGEAcgBnAHUAbQBlAG4AdABzACAAZgBvAHIAIABEAGUAcAByAGUAYwBpAGEAdABlALsDKgAvAFwAbgBEAGUAcAByAGUAYwBpAGEAdABlALsDRABWACAAPQAgAEwAQQBNAEIARABBACgAXABuAC8ALwAgACAAUABhAHIAYQBtAGUAdABlAHIAIABEAGUAYwBsAGEAcgBhAHQAaQBvAG4AcwBcAG4AIAAgACAAIABbAEkAbgBpAHQAaQBhAGwAVgBhAGwAdQBlAHMAXQAsAFwAbgAgACAAIAAgAFsASQBuAFMAZQByAHYAaQBjAGUARABhAHQAZQBzAF0ALAAgAFwAbgAgACAAIAAgAFsATABpAGYAZQBJAG4AWQBlAGEAcgBzAF0ALAAgAFwAbgAgACAAIAAgAFsAVABpAG0AZQBsAGkAbgBlAF0ALABcAG4AIAAgACAAIABbAFMAYQBsAHYAYQBnAGUAVgBhAGwAdQBlAHMAXQAsAFwAbgAgACAAIAAgAFsARABpAHMAcABvAHMAYQBsAEQAYQB0AGUAcwBdACwAXABuACAAIAAgACAAWwBEAGkAcwBwAG8AcwBhAGwAQwBvAHMAdABzAF0ALABcAG4AIAAgACAAIABbAE0AZQB0AGgAbwBkAHMAXQAsACAAXABuACAAIAAgACAAWwBGAGEAYwB0AG8AcgBzAF0ALAAgAFwAbgBcAG4AIAAgACAAIABMAEUAVAAoAFwAbgAgACAAIAAgAC8ALwAgACAAQwBoAGUAYwBrACAAaQBuAHAAdQB0AHMAIAAtACAARQByAHIAbwByAHMAIABpAG4AIABhAHIAZwB1AG0AZQBuAHQAIAB2AGEAbAB1AGUAcwBcAG4AIAAgACAAIAAgACAAIAAgAEUAcgByAG8AcgBzAEkAbgBBAHIAZwBzACwAIAAgACAAVgBTAFQAQQBDAEsAKAAgAFwAbgAgACAAIAAgACAAIAAgACAAIAAgACAAIAAgACAAIAAgACAAIAAgACAAIAAgACAAIAAgACAAIAAgAE8AUgAoACAASQBTAEUAUgBSAE8AUgAoACAASQBuAGkAdABpAGEAbABWAGEAbAB1AGUAcwApACkALABcAG4AIAAgACAAIAAgACAAIAAgACAAIAAgACAAIAAgACAAIAAgACAAIAAgACAAIAAgACAAIAAgACAAIABPAFIAKAAgAEkAUwBFAFIAUgBPAFIAKAAgAEkAbgBTAGUAcgB2AGkAYwBlAEQAYQB0AGUAcwApACkALABcAG4AIAAgACAAIAAgACAAIAAgACAAIAAgACAAIAAgACAAIAAgACAAIAAgACAAIAAgACAAIAAgACAAIABPAFIAKAAgAEkAUwBFAFIAUgBPAFIAKAAgAEwAaQBmAGUASQBuAFkAZQBhAHIAcwApACkALABcAG4AIAAgACAAIAAgACAAIAAgACAAIAAgACAAIAAgACAAIAAgACAAIAAgACAAIAAgACAAIAAgACAAIABPAFIAKAAgAEkAUwBFAFIAUgBPAFIAKAAgAFQAaQBtAGUAbABpAG4AZQApACkALABcAG4AIAAgACAAIAAgACAAIAAgACAAIAAgACAAIAAgACAAIAAgACAAIAAgACAAIAAgACAAIAAgACAAIABPAFIAKAAgAEkAUwBFAFIAUgBPAFIAKAAgAFMAYQBsAHYAYQBnAGUAVgBhAGwAdQBlAHMAKQApACwAXABuACAAIAAgACAAIAAgACAAIAAgACAAIAAgACAAIAAgACAAIAAgACAAIAAgACAAIAAgACAAIAAgACAATwBSACgAIABJAFMARQBSAFIATwBSACgAIABEAGkAcwBwAG8AcwBhAGwARABhAHQAZQBzACkAKQAsAFwAbgAgACAAIAAgACAAIAAgACAAIAAgACAAIAAgACAAIAAgACAAIAAgACAAIAAgACAAIAAgACAAIAAgAE8AUgAoACAASQBTAEUAUgBSAE8AUgAoACAARABpAHMAcABvAHMAYQBsAEMAbwBzAHQAcwApACkALABcAG4AIAAgACAAIAAgACAAIAAgACAAIAAgACAAIAAgACAAIAAgACAAIAAgACAAIAAgACAAIAAgACAAIABPAFIAKAAgAEkAUwBFAFIAUgBPAFIAKAAgAE0AZQB0AGgAbwBkAHMAKQApACwAXABuACAAIAAgACAAIAAgACAAIAAgACAAIAAgACAAIAAgACAAIAAgACAAIAAgACAAIAAgACAAIAAgACAATwBSACgAIABJAFMARQBSAFIATwBSACgAIABGAGEAYwB0AG8AcgBzACkAKQBcAG4AIAAgACAAIAAgACAAIAAgACAAIAAgACAAIAAgACAAIAAgACAAIAAgACAAIAAgACAAKQAsAFwAbgBcAG4AIAAgACAAIAAvAC8AIAAgAEMAaABlAGMAawAgAGkAbgBwAHUAdABzACAALQAgAEQAYQB0AGEAIAB2AGEAbABpAGQAYQB0AGkAbwBuACAAZQByAHIAbwByAHMAXABuACAAIAAgACAAIAAgACAAIABEAFYAQQByAGcAMQAsACAAIAAgACAAIAAgACAAIAAgAEkARgAoACAATwBSACgAIABJAFMARQBSAFIATwBSACgASQBuAGkAdABpAGEAbABWAGEAbAB1AGUAcwApACkALAAgAFwAbgAgACAAIAAgACAAIAAgACAAIAAgACAAIAAgACAAIAAgACAAIAAgACAAIAAgACAAIAAgACAAIAAgAEYAQQBMAFMARQAsACAAXABuACAAIAAgACAAIAAgACAAIAAgACAAIAAgACAAIAAgACAAIAAgACAAIAAgACAAIAAgACAAIAAgACAATwBSACgAIABJAEYARQBSAFIATwBSACgAIABWAEEATABVAEUAKABJAG4AaQB0AGkAYQBsAFYAYQBsAHUAZQBzACkAIAA8ACAAMQAsACAAVABSAFUARQApACkAKQAsAFwAbgAgACAAIAAgACAAIAAgACAARABWAEEAcgBnADIALAAgACAAIAAgACAAIAAgACAAIABJAEYAKAAgAE8AUgAoACAASQBTAEUAUgBSAE8AUgAoACAASQBuAFMAZQByAHYAaQBjAGUARABhAHQAZQBzACkALAAgAEkAUwBFAFIAUgBPAFIAKAAgAFQAaQBtAGUAbABpAG4AZQApACkALAAgAFwAbgAgACAAIAAgACAAIAAgACAAIAAgACAAIAAgACAAIAAgACAAIAAgACAAIAAgACAAIAAgACAAIAAgAEYAQQBMAFMARQAsACAAXABuACAAIAAgACAAIAAgACAAIAAgACAAIAAgACAAIAAgACAAIAAgACAAIAAgACAAIAAgACAAIAAgACAATwBSACgAIABJAEYARQBSAFIATwBSACgAIABWAEEATABVAEUAKABJAG4AUwBlAHIAdgBpAGMAZQBEAGEAdABlAHMAKQAgADwAIABNAEkATgAoACAAVABpAG0AZQBsAGkAbgBlACkALAAgAFQAUgBVAEUAKQApACkALABcAG4AIAAgACAAIAAgACAAIAAgAEQAVgBBAHIAZwAzACwAIAAgACAAIAAgACAAIAAgACAASQBGACgAIABPAFIAKAAgAEkAUwBFAFIAUgBPAFIAKAAgAEwAaQBmAGUASQBuAFkAZQBhAHIAcwApACkALAAgAFwAbgAgACAAIAAgACAAIAAgACAAIAAgACAAIAAgACAAIAAgACAAIAAgACAAIAAgACAAIAAgACAAIAAgAEYAQQBMAFMARQAsACAAXABuACAAIAAgACAAIAAgACAAIAAgACAAIAAgACAAIAAgACAAIAAgACAAIAAgACAAIAAgACAAIAAgACAATwBSACgAIABJAEYARQBSAFIATwBSACgAIABWAEEATABVAEUAKABMAGkAZgBlAEkAbgBZAGUAYQByAHMAKQAgADwAIAAxACwAIABUAFIAVQBFACkAKQApACwAXABuACAAIAAgACAAIAAgACAAIABEAFYAQQByAGcANAAsACAAIAAgACAAIAAgACAAIAAgAEkARgAoACAATwBSACgAIABJAFMARQBSAFIATwBSACgAIABUAGkAbQBlAGwAaQBuAGUAKQApACwAIABcAG4AIAAgACAAIAAgACAAIAAgACAAIAAgACAAIAAgACAAIAAgACAAIAAgACAAIAAgACAAIAAgACAAIABGAEEATABTAEUALAAgAFwAbgAgACAAIAAgACAAIAAgACAAIAAgACAAIAAgACAAIAAgACAAIAAgACAAIAAgACAAIAAgACAAIAAgAEMATwBVAE4AVABBACgAIABUAGkAbQBlAGwAaQBuAGUAKQAgADwAIAAyACkALABcAG4AIAAgACAAIAAgACAAIAAgAEQAVgBBAHIAZwA0AGIALAAgACAAIAAgACAAIAAgACAASQBGACgAIABPAFIAKAAgAE8AUgAoAEUAcgByAG8AcgBzAEkAbgBBAHIAZwBzACkALAAgAEQAVgBBAHIAZwA0ACkALAAgAFwAbgAgACAAIAAgACAAIAAgACAAIAAgACAAIAAgACAAIAAgACAAIAAgACAAIAAgACAAIAAgACAAIAAgAEYAQQBMAFMARQAsACAAXABuACAAIAAgACAAIAAgACAAIAAgACAAIAAgACAAIAAgACAAIAAgACAAIAAgACAAIAAgACAAIAAgACAAKABJAE4ARABFAFgAKABUAGkAbQBlAGwAaQBuAGUALAAgADIAKQAgAC0AIABJAE4ARABFAFgAKABUAGkAbQBlAGwAaQBuAGUALAAgADEAKQApACAAPAAgADIAOAAgACkALABcAG4AIAAgACAAIAAgACAAIAAgAEQAVgBBAHIAZwA1ACwAIAAgACAAIAAgACAAIAAgACAASQBGACgAIABPAFIAKAAgAEkAUwBPAE0ASQBUAFQARQBEACgAIABTAGEAbAB2AGEAZwBlAFYAYQBsAHUAZQBzACkALAAgAE8AUgAoAEkAUwBFAFIAUgBPAFIAKABTAGEAbAB2AGEAZwBlAFYAYQBsAHUAZQBzACkAKQApACwAIABcAG4AIAAgACAAIAAgACAAIAAgACAAIAAgACAAIAAgACAAIAAgACAAIAAgACAAIAAgACAAIAAgACAAIABGAEEATABTAEUALAAgAFwAbgAgACAAIAAgACAAIAAgACAAIAAgACAAIAAgACAAIAAgACAAIAAgACAAIAAgACAAIAAgACAAIAAgAE8AUgAoACAASQBGAEUAUgBSAE8AUgAoACAAVgBBAEwAVQBFACgAUwBhAGwAdgBhAGcAZQBWAGEAbAB1AGUAcwApACAAPAAgADAALAAgAFQAUgBVAEUAKQApACkALABcAG4AIAAgACAAIAAgACAAIAAgAEQAVgBBAHIAZwA2ACwAIAAgACAAIAAgACAAIAAgACAASQBGACgAIABPAFIAKAAgAEkAUwBPAE0ASQBUAFQARQBEACgAIABEAGkAcwBwAG8AcwBhAGwARABhAHQAZQBzACkALAAgAE8AUgAoAEUAcgByAG8AcgBzAEkAbgBBAHIAZwBzACkAKQAsAFwAbgAgACAAIAAgACAAIAAgACAAIAAgACAAIAAgACAAIAAgACAAIAAgACAAIAAgACAAIAAgACAAIAAgAEYAQQBMAFMARQAsACAAXABuACAAIAAgACAAIAAgACAAIAAgACAAIAAgACAAIAAgACAAIAAgACAAIAAgACAAIAAgACAAIAAgACAATwBSACgAIABEAGkAcwBwAG8AcwBhAGwARABhAHQAZQBzACAAPAAgAEkAbgBTAGUAcgB2AGkAYwBlAEQAYQB0AGUAcwApACkALABcAG4AIAAgACAAIAAgACAAIAAgACAAIAAgACAAIAAgACAAIAAgACAAIAAgACAAIAAgACAAIAAgACAAIAAvAC8ATwBSACgAIABJAEYARQBSAFIATwBSACgAIABWAEEATABVAEUAKABEAGkAcwBwAG8AcwBhAGwARABhAHQAZQBzACkAIAA8ACAASQBuAFMAZQByAHYAaQBjAGUARABhAHQAZQBzACwAIABUAFIAVQBFACkAKQApACwAXABuACAAIAAgACAAIAAgACAAIABEAFYAQQByAGcANwAsACAAIAAgACAAIAAgACAAIAAgAEkARgAoACAATwBSACgAIABJAFMATwBNAEkAVABUAEUARAAoACAARABpAHMAcABvAHMAYQBsAEMAbwBzAHQAcwApACwAIABPAFIAKABJAFMARQBSAFIATwBSACgARABpAHMAcABvAHMAYQBsAEMAbwBzAHQAcwApACkAKQAsACAAXABuACAAIAAgACAAIAAgACAAIAAgACAAIAAgACAAIAAgACAAIAAgACAAIAAgACAAIAAgACAAIAAgACAARgBBAEwAUwBFACwAIABcAG4AIAAgACAAIAAgACAAIAAgACAAIAAgACAAIAAgACAAIAAgACAAIAAgACAAIAAgACAAIAAgACAAIABPAFIAKAAgAEkARgBFAFIAUgBPAFIAKAAgAFYAQQBMAFUARQAoAEQAaQBzAHAAbwBzAGEAbABDAG8AcwB0AHMAKQAgADwAIAAwACwAIABUAFIAVQBFACkAKQApACwAXABuACAAIAAgACAAIAAgACAAIABEAFYAQQByAGcAOAAsACAAIAAgACAAIAAgACAAIAAgAEkARgAoACAATwBSACgAIABJAFMATwBNAEkAVABUAEUARAAoACAATQBlAHQAaABvAGQAcwApACwAIAAgAEkAUwBFAFIAUgBPAFIAKAAgAE0AZQB0AGgAbwBkAHMAKQApACwAIABcAG4AIAAgACAAIAAgACAAIAAgACAAIAAgACAAIAAgACAAIAAgACAAIAAgACAAIAAgACAAIAAgACAAIABGAEEATABTAEUALAAgAFwAbgAgACAAIAAgACAAIAAgACAAIAAgACAAIAAgACAAIAAgACAAIAAgACAAIAAgACAAIAAgACAAIAAgAE8AUgAoAEkAUwBFAFIAUgBPAFIAKAAgAFMARQBBAFIAQwBIACgAIABNAGUAdABoAG8AZABzACwAIABcACIAUwBMAE4ALABTAFkARAAsAEQAQgAsAEQARABCACwAVgBEAEIALABEAFYALABQAEMAXAAiACkAKQApACkALABcAG4AIAAgACAAIAAgACAAIAAgAEQAVgBBAHIAZwA5ACwAIAAgACAAIAAgACAAIAAgACAASQBGACgAIABPAFIAKAAgAEkAUwBPAE0ASQBUAFQARQBEACgAIABGAGEAYwB0AG8AcgBzACkALAAgACAASQBTAEUAUgBSAE8AUgAoACAARgBhAGMAdABvAHIAcwApACkALAAgAFwAbgAgACAAIAAgACAAIAAgACAAIAAgACAAIAAgACAAIAAgACAAIAAgACAAIAAgACAAIAAgACAAIAAgAEYAQQBMAFMARQAsACAAXABuACAAIAAgACAAIAAgACAAIAAgACAAIAAgACAAIAAgACAAIAAgACAAIAAgACAAIAAgACAAIAAgACAATwBSACgASQBGAEUAUgBSAE8AUgAoACAAVgBBAEwAVQBFACgAIABGAGEAYwB0AG8AcgBzACkAIAA8ACAAMAAsACAAVABSAFUARQAgACkAKQApACwAXABuACAAIAAgACAAIAAgACAAIABEAFYARQByAHIAbwByAHMALAAgACAAIAAgACAAIAAgAFYAUwBUAEEAQwBLACgAIABEAFYAQQByAGcAMQAsACAARABWAEEAcgBnADIALAAgAEQAVgBBAHIAZwAzACwAIABEAFYAQQByAGcANAAsACAARABWAEEAcgBnADQAYgAsACAARABWAEEAcgBnADUALAAgAEQAVgBBAHIAZwA2ACwAIABEAFYAQQByAGcANwAsACAARABWAEEAcgBnADgALAAgAEQAVgBBAHIAZwA5ACAAKQAsAFwAbgAgACAAIAAgACAAIAAgACAAXABuACAAIAAgACAALwAvACAAIABBAG4AeQAgAGkAbgBwAHUAdAAgAGUAcgByAG8AcgBzACAAZABlAHQAZQBjAHQAZQBkAD8AXABuACAAIAAgACAAIAAgACAAIABBAG4AeQBFAHIAcgBvAHIAcwA/ACwAIAAgACAAIAAgAE8AUgAoAEUAcgByAG8AcgBzAEkAbgBBAHIAZwBzACwAIABEAFYARQByAHIAbwByAHMAKQAsAFwAbgBcAG4AIAAgACAAIAAvAC8AIAAgAEEAcwBzAGUAbQBiAGwAZQAgAEUAcgByAG8AcgAgAE0AZQBzAHMAYQBnAGUAcwAgAEEAcgByAGEAeQAgACgAaQBmACAAZQByAHIAbwByAHMAIABmAG8AdQBuAGQAKQBcAG4AIAAgACAAIAAgACAAIAAgAEUAcgByAG8AcgBzADIAUwBoAG8AdwAsACAAIAAgACAAVgBTAFQAQQBDAEsAKAAgAEUAcgByAG8AcgBzAEkAbgBBAHIAZwBzACwAIABEAFYARQByAHIAbwByAHMAKQAsACAAXABuACAAIAAgACAAIAAgACAAIABFAHIAcgBNAHMAZwBzACwAIAAgACAAIAAgACAAIAAgAHsAXABuACAAIAAgACAAIAAgACAAIAAgACAAIAAgACAAIAAgACAAIAAgACAAIAAvAC8AIAAgAEUAcgByAG8AcgBzACAAaQBuACAAYQByAGcAdQBtAGUAbgB0AHMAXABuACAAIAAgACAAIAAgACAAIAAgACAAIAAgACAAIAAgACAAIAAgACAAIAAgACAAIAAgACAAXAAiAEkAbgBpAHQAaQBhAGwAVgBhAGwAdQBlAHMAIABjAG8AbgB0AGEAaQBuAHMAIABlAHIAcgBvAHIAcwAgAGkAbgAgAGMAZQBsAGwAcwAuACAAUgBlAHMAbwBsAHYAZQAgAGUAcgByAG8AcgBzACAAZgBpAHIAcwB0AC4AXAAiADsAXABuACAAIAAgACAAIAAgACAAIAAgACAAIAAgACAAIAAgACAAIAAgACAAIAAgACAAIAAgACAAXAAiAEkAbgBTAGUAcgB2AGkAYwBlAEQAYQB0AGUAcwAgAGMAbwBuAHQAYQBpAG4AcwAgAGUAcgByAG8AcgBzACAAaQBuACAAYwBlAGwAbABzAC4AIABSAGUAcwBvAGwAdgBlACAAZQByAHIAbwByAHMAIABmAGkAcgBzAHQALgBcACIAOwBcAG4AIAAgACAAIAAgACAAIAAgACAAIAAgACAAIAAgACAAIAAgACAAIAAgACAAIAAgACAAIABcACIATABpAGYAZQBJAG4AWQBlAGEAcgBzACAAYwBvAG4AdABhAGkAbgBzACAAZQByAHIAbwByAHMAIABpAG4AIABjAGUAbABsAHMALgAgAFIAZQBzAG8AbAB2AGUAIABlAHIAcgBvAHIAcwAgAGYAaQByAHMAdAAuAFwAIgA7AFwAbgAgACAAIAAgACAAIAAgACAAIAAgACAAIAAgACAAIAAgACAAIAAgACAAIAAgACAAIAAgAFwAIgBUAGkAbQBlAGwAaQBuAGUAIABjAG8AbgB0AGEAaQBuAHMAIABlAHIAcgBvAHIAcwAgAGkAbgAgAGMAZQBsAGwAcwAuACAAUgBlAHMAbwBsAHYAZQAgAGUAcgByAG8AcgBzACAAZgBpAHIAcwB0AC4AXAAiADsAXABuACAAIAAgACAAIAAgACAAIAAgACAAIAAgACAAIAAgACAAIAAgACAAIAAgACAAIAAgACAAXAAiAFMAYQBsAHYAYQBnAGUAVgBhAGwAdQBlAHMAIABjAG8AbgB0AGEAaQBuAHMAIABlAHIAcgBvAHIAcwAgAGkAbgAgAGMAZQBsAGwAcwAuACAAUgBlAHMAbwBsAHYAZQAgAGUAcgByAG8AcgBzACAAZgBpAHIAcwB0AC4AXAAiADsAXABuACAAIAAgACAAIAAgACAAIAAgACAAIAAgACAAIAAgACAAIAAgACAAIAAgACAAIAAgACAAXAAiAEQAaQBzAHAAbwBzAGEAbABEAGEAdABlAHMAIABjAG8AbgB0AGEAaQBuAHMAIABlAHIAcgBvAHIAcwAgAGkAbgAgAGMAZQBsAGwAcwAuACAAUgBlAHMAbwBsAHYAZQAgAGUAcgByAG8AcgBzACAAZgBpAHIAcwB0AC4AXAAiADsAXABuACAAIAAgACAAIAAgACAAIAAgACAAIAAgACAAIAAgACAAIAAgACAAIAAgACAAIAAgACAAXAAiAEQAaQBzAHAAbwBzAGEAbABDAG8AcwB0AHMAIABjAG8AbgB0AGEAaQBuAHMAIABlAHIAcgBvAHIAcwAgAGkAbgAgAGMAZQBsAGwAcwAuACAAUgBlAHMAbwBsAHYAZQAgAGUAcgByAG8AcgBzACAAZgBpAHIAcwB0AC4AXAAiADsAXABuACAAIAAgACAAIAAgACAAIAAgACAAIAAgACAAIAAgACAAIAAgACAAIAAgACAAIAAgACAAXAAiAE0AZQB0AGgAbwBkAHMAIABjAG8AbgB0AGEAaQBuAHMAIABlAHIAcgBvAHIAcwAgAGkAbgAgAGMAZQBsAGwAcwAuACAAUgBlAHMAbwBsAHYAZQAgAGUAcgByAG8AcgBzACAAZgBpAHIAcwB0AC4AXAAiADsAXABuACAAIAAgACAAIAAgACAAIAAgACAAIAAgACAAIAAgACAAIAAgACAAIAAgACAAIAAgACAAXAAiAEYAYQBjAHQAbwByAHMAIABjAG8AbgB0AGEAaQBuAHMAIABlAHIAcgBvAHIAcwAgAGkAbgAgAGMAZQBsAGwAcwAuACAAUgBlAHMAbwBsAHYAZQAgAGUAcgByAG8AcgBzACAAZgBpAHIAcwB0AC4AXAAiADsAXABuACAAIAAgACAAIAAgACAAIAAgACAAIAAgACAAIAAgACAAIAAgACAAIABcAG4AIAAgACAAIAAgACAAIAAgACAAIAAgACAAIAAgACAAIAAgACAAIAAgAC8ALwAgACAARABhAHQAYQAgAHYAYQBsAGkAZABhAHQAaQBvAG4AIABlAHIAcgBvAHIAcwBcAG4AIAAgACAAIAAgACAAIAAgACAAIAAgACAAIAAgACAAIAAgACAAIAAgACAAIAAgACAAIABcACIASQBuAGkAdABpAGEAbABWAGEAbAB1AGUAcwAgAG0AdQBzAHQAIABiAGUAIABhAG4AIABhAG0AbwB1AG4AdAAgAGcAcgBlAGEAdABlAHIAIAB0AGgAYQBuACAAMABcACIAOwBcAG4AIAAgACAAIAAgACAAIAAgACAAIAAgACAAIAAgACAAIAAgACAAIAAgACAAIAAgACAAIABcACIASQBuAFMAZQByAHYAaQBjAGUARABhAHQAZQBzACAAbQB1AHMAdAAgAGIAZQAgAHYAYQBsAGkAZAAgAGQAYQB0AGUAcwBcACIAOwBcAG4AIAAgACAAIAAgACAAIAAgACAAIAAgACAAIAAgACAAIAAgACAAIAAgACAAIAAgACAAIABcACIATABpAGYAZQBJAG4AWQBlAGEAcgBzACAAbQB1AHMAdAAgAGIAZQAgAGEAIABuAHUAbQBiAGUAcgAgAGcAcgBlAGEAdABlAHIAIAB0AGgAYQBuACAAMABcACIAOwBcAG4AIAAgACAAIAAgACAAIAAgACAAIAAgACAAIAAgACAAIAAgACAAIAAgACAAIAAgACAAIABcACIAVABpAG0AZQBsAGkAbgBlACAAbQB1AHMAdAAgAGIAZQAgAGEAIAByAG8AdwAgAG8AZgAgAHAAZQByAGkAbwBkACAAcwB0AGEAcgB0ACAAZABhAHQAZQBzACAAdwBpAHQAaAAgAGUAdgBlAHIAeQAgAHAAZQByAGkAbwBkACAAcwBwAGEAbgBuAGkAbgBnACAAbwBuAGUAIABtAG8AbgB0AGgALAAgAHEAdQBhAHIAdABlAHIAIABvAHIAIAB5AGUAYQByAC4AXAAiADsAXABuACAAIAAgACAAIAAgACAAIAAgACAAIAAgACAAIAAgACAAIAAgACAAIAAgACAAIAAgACAAXAAiAEUAYQBjAGgAIABwAGUAcgBpAG8AZAAgAGkAbgAgAHQAaABlACAAdABpAG0AZQBsAGkAbgBlACAAbQB1AHMAdAAgAHMAcABhAG4AIABvAG4AZQAgAG0AbwBuAHQAaAAsACAAcQB1AGEAcgB0AGUAcgAgAG8AcgAgAHkAZQBhAHIALgBcACIAOwBcAG4AIAAgACAAIAAgACAAIAAgACAAIAAgACAAIAAgACAAIAAgACAAIAAgACAAIAAgACAAIABcACIAUwBhAGwAdgBhAGcAZQBWAGEAbAB1AGUAcwAgAG0AdQBzAHQAIABiAGUAIABhAG4AIABhAG0AbwB1AG4AdAAgAG4AbwB0ACAAbABlAHMAcwAgAHQAaABhAG4AIAAwACAAbwByACAAbwBtAGkAdAB0AGUAZABcACIAOwBcAG4AIAAgACAAIAAgACAAIAAgACAAIAAgACAAIAAgACAAIAAgACAAIAAgACAAIAAgACAAIABcACIARABpAHMAcABvAHMAYQBsAEQAYQB0AGUAcwAgAG0AdQBzAHQAIABiAGUAIABhACAAZABhAHQAZQAgAGcAcgBlAGEAdABlAHIAIAB0AGgAYQBuACAASQBuAFMAZQByAHYAaQBjAGUARABhAHQAZQBzACAAbwByACAAbwBtAGkAdAB0AGUAZABcACIAOwBcAG4AIAAgACAAIAAgACAAIAAgACAAIAAgACAAIAAgACAAIAAgACAAIAAgACAAIAAgACAAIABcACIARABpAHMAcABvAHMAYQBsAEMAbwBzAHQAcwAgAG0AdQBzAHQAIABiAGUAIABhAG4AIABhAG0AbwB1AG4AdAAgAG4AbwB0ACAAbABlAHMAcwAgAHQAaABhAG4AIAAwACAAbwByACAAbwBtAGkAdAB0AGUAZABcACIAOwBcAG4AIAAgACAAIAAgACAAIAAgACAAIAAgACAAIAAgACAAIAAgACAAIAAgACAAIAAgACAAIABcACIATQBlAHQAaABvAGQAcwAgAG0AdQBzAHQAIABiAGUAIABvAG0AaQB0AHQAZQBkACAAbwByACAAbwBuAGUAIABvAGYAOgAgAFMATABOACwAIABTAFkARAAsACAARABCACwAIABEAEQAQgAsACAAVgBEAEIALAAgAEQAVgAsACAAbwByACAAUABDAC4AXAAiADsAXABuACAAIAAgACAAIAAgACAAIAAgACAAIAAgACAAIAAgACAAIAAgACAAIAAgACAAIAAgACAAXAAiAEYAYQBjAHQAbwByAHMAIABtAHUAcwB0ACAAYgBlACAAYQAgAHYAYQBsAHUAZQAgAGcAcgBlAGEAdABlAHIAIAB0AGgAYQBuACAAMABcACIAfQAsAFwAbgAgACAAIAAgACAAIAAgACAATQBlAHMAcwBhAGcAZQBzACwAIAAgACAAIAAgACAAIABGAEkATABUAEUAUgAoAEUAcgByAE0AcwBnAHMALAAgAEUAcgByAG8AcgBzADIAUwBoAG8AdwAsACAAXAAiAFwAIgApACwAIAAgACAAIAAgACAAIAAgAFwAbgBcAG4AIAAgACAAIAAvAC8AIAAgAEgAYQBuAGQAbABlACAARQByAHIAbwByAFwAbgAgACAAIAAgACAAIAAgACAAUgBlAHQAdQByAG4ALAAgACAAIAAgACAAIAAgACAAIABJAEYAKAAgAE8AUgAoACAARQByAHIAbwByAHMAMgBTAGgAbwB3ACkALAAgADIALAAgAEkARgAoACAAQQBuAHkARQByAHIAbwByAHMAPwAsACAAMwAsACAAMQApACkALAAgACAAIAAgACAAIAAgACAAXABuACAAIAAgACAALwAvACAAIABSAGUAdAB1AHIAbgAgAFIAZQBzAHUAbAB0AFwAbgAgACAAIAAgACAAIAAgACAAQwBIAE8ATwBTAEUAKABSAGUAdAB1AHIAbgAsACAAVABSAFUARQAsACAATQBlAHMAcwBhAGcAZQBzACwAIAAjAFYAQQBMAFUARQAhACkAXABuACAAIAAgACAAKQAgACAAIAAgAFwAbgApADsAXABuAFwAbgBcAG4AXABuAC8ALwAgACAAUwB1AGIAUgBvAHUAdABpAG4AZQBzAFwAbgBcAG4AXABuAC8AKgAgACAARgBVAE4AQwBUAEkATwBOACAATgBBAE0ARQA6ACAAIABUAGkAbQBlAGwAaQBuAGUATwBmAGYAcwBlAHQAuwNcAG4AIAAgACAAIABEAEUAUwBDAFIASQBQAFQASQBPAE4AOgAqAC8ALwAqACoARABlAHQAZQByAG0AaQBuAGUAcwAgAGgAbwB3ACAAbQBhAG4AeQAgAHAAZQByAGkAbwBkAHMAIABvAG4AZQAgAGEAcgByAGEAeQAgAGkAcwAgAG8AZgBmAHMAZQB0ACAAZgByAG8AbQAgAHQAaABlACAAdABpAG0AZQBsAGkAbgBlACoALwBcAG4ALwAqACAAIABEAEkAUwBDAFUAUwBTAEkATwBOADoAIAAgACAAIAAgAFQAaABlACAAcABvAHMAcwBpAGIAaQBsAGkAdAB5ACAAZQB4AGkAcwB0AHMAIAByAGUAcQB1AGkAcgBpAG4AZwAgAGMAYQBsAGMAdQBsAGEAdABpAG8AbgBzACAAYgBlAGYAbwByAGUAIABhACAAbQBvAGQAZQBsACcAcwAgAHQAaQBtAGUAbABpAG4AZQAuACAAQQBuACAAZQB4AGEAbQBwAGwAZQAgAGkAcwBcAG4AIAAgACAAIAAgACAAIAAgACAAIAAgACAAIAAgACAAIAAgACAAIAAgAGQAZQBwAHIAZQBjAGkAYQB0AGkAbwBuACAAbwBmACAAYQBzAHMAZQB0AHMAIABpAG4AIABhAG4AIABlAHgAaQBzAHQAaQBuAGcAIABjAG8AbQBwAGEAbgB5ACAAdwBhAG4AdABpAG4AZwAgAHQAbwAgAGYAbwByAGUAYwBhAHMAdAAgAHMAbwBtAGUAIABhAGMAdABpAHYAaQB0AHkALgAgAFwAbgAgACAAIAAgACAAIAAgACAAIAAgACAAIAAgACAAIAAgACAAIAAgACAASQBuACAAcwB1AGMAaAAgAGMAYQBzAGUAcwAsACAAaQB0ACAAYwBhAG4AIABiAGUAIABhAGQAdgBhAG4AdABhAGcAZQBvAHUAcwAgAHQAbwAgAHAAZQByAGYAbwByAG0AIAB0AGgAZQAgAGMAYQBsAGMAdQBsAGEAdABpAG8AbgBzACAAdwBpAHQAaABpAG4AIAB0AGgAZQBpAHIAIABvAHcAbgAgAHQAaQBtAGUAbABpAG4AZQBcAG4AIAAgACAAIAAgACAAIAAgACAAIAAgACAAIAAgACAAIAAgACAAIAAgAGEAbgBkACAAdABoAGUAbgAgAHAAbABhAGMAZQAgAHQAaABlACAAcgBlAHMAdQBsAHQAcwAgAHAAcgBvAHAAZQByAGwAeQAgAHcAaQB0AGgAaQBuACAAdABoAGUAIABtAG8AZABlAGwAJwBzACAAdABpAG0AZQBsAGkAbgBlAC4AIABcAG4AIAAgACAAIAAgACAAIAAgACAAIAAgACAAIAAgACAAIAAgACAAIAAgAFQAaABpAHMAIAByAG8AdQB0AGkAbgBlACAAZABlAHQAZQByAG0AaQBuAGUAIAB3AGgAZQByAGUAIABzAHUAYwBoACAAYwBhAGwAYwB1AGwAYQB0AGkAbwBuACAAcgBlAHMAdQBsAHQAcwAgAGYAaQB0ACAAdwBpAHQAaABpAG4AIAB0AGgAZQAgAG0AbwBkAGUAbAAnAHMAIAB0AGkAbQBlAGwAaQBuAGUAIABhAG4AZAAgAFwAbgAgACAAIAAgACAAIAAgACAAIAAgACAAIAAgACAAIAAgACAAIAAgACAAYwByAG8AcABzACAAdABoAG8AcwBlACAAcgBlAHMAdQBsAHQAcwAgAHQAaABhAHQAIABkAG8AIABuAG8AdAAgAGIAZQBsAG8AbgBnAC4AIAAqAC8AXABuAFQAaQBtAGUAbABpAG4AZQBPAGYAZgBzAGUAdAC7AyAAPQAgAEwAQQBNAEIARABBACgAXABuAC8ALwAgACAAUABhAHIAYQBtAGUAdABlAHIAIABEAGUAYwBsAGEAcgBhAHQAaQBvAG4AcwBcAG4AIAAgACAAIABbAEQAYQB0AGUAXQAsACAAIAAgACAAXABuACAAIAAgACAAWwBUAGkAbQBlAGwAaQBuAGUAXQAsACAAIAAgACAAI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QAaQBtAGUAbABpAG4AZQBPAGYAZgBzAGUAdAC7AygAQQByAHIAYQB5AFMAdABhAHIAdAAsACAAVABpAG0AZQBsAGkAbgBlACkAtgBcACIAIAAmAFwAbgAgACAAIAAgACAAIAAgACAAIAAgACAAIAAgACAAIAAgACAAIAAgACAAIAAgACAAIAAgACAAIAAgAFwAIgBEAEUAUwBDAFIASQBQAFQASQBPAE4AOgAgACAAIACSIUQAZQB0AGUAcgBtAGkAbgBlAHMAIABpAG4AIAB3AGgAaQBjAGgAIABwAGUAcgBpAG8AZAAsACAAcgBlAGwAYQB0AGkAdgBlACAAdABvACAAdABoAGUAIAB0AGkAbQBlAGwAaQBuAGUAJwBzACAAcwB0AGEAcgB0ACAAYQBuAGQAIABpAG4AdABlAHIAdgBhAGwALAC2AFwAIgAgACYAXABuACAAIAAgACAAIAAgACAAIAAgACAAIAAgACAAIAAgACAAIAAgACAAIAAgACAAIAAgACAAIAAgACAAIAAgACAAIAAgACAAIAAgACAAIAAgACAAIAAgACAAXAAiAJIhYQAgAGQAYQB0AGUAIABmAGEAbABsAHMAIAB3AGkAdABoAGkAbgAuALYAXAAiACAAJgAgAFwAbgAgACAAIAAgACAAIAAgACAAIAAgACAAIAAgACAAIAAgACAAIAAgACAAIAAgACAAIAAgACAAIAAgAFwAIgBXAEUAQgBQAEEARwBFADoAIAAgACAAIAAgACAAIACSIWgAdAB0AHAAcwA6AC8ALwBnAGkAdABoAHUAYgAuAGMAbwBtAC8AcgB5AGEAbgBkAHUAZwB1AGkAZAAvAE4AYQBiAGwAYQC2AFwAIgAgACYAIA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EAGEAdABlACAAIAAgACAAIAAgACAAIAAgACAAIACSISgAUgBlAHEAdQBpAHIAZQBkACkAIABBACAAcwB0AGEAcgB0AGkAbgBnACAAZABhAHQAZQC2AFwAIgAgACYAIABcAG4AIAAgACAAIAAgACAAIAAgACAAIAAgACAAIAAgACAAIAAgACAAIAAgACAAIAAgACAAIAAgACAAIABcACIAVABpAG0AZQBsAGkAbgBlACAAIAAgACAAIAAgACAAkiEoAFIAZQBxAHUAaQByAGUAZAApACAAQQAgAG0AbwBkAGUAbAAnAHMAIAB0AGkAbQBsAGkAbgBlACAAKABSAG8AdwAgAG8AZgAgAHAAZQByAGkAbwBkACAAcwB0AGEAcgB0ACAAZABhAHQAZQBzACkAtgBcACIAIAAmACA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4AYQBiAGwAYQAuAGYAIABpAHMAIABhAHMAcwB1AG0AZQBkACAAdABvACAAYgBlACAAdABoAGUAIABtAG8AZAB1AGwAZQAnAHMAIABuAGEAbQBlACkAtgBcACIAIAAmAFwAbgAgACAAIAAgACAAIAAgACAAIAAgACAAIAAgACAAIAAgACAAIAAgACAAIAAgACAAIAAgACAAIAAgACAAIAAgACAAIAAgACAAIAAgACAAIAAgACAAIAAgAFwAIgCSIT0AbgBhAGIAbABhAC4AZgAuAFQAaQBtAGUAbABpAG4AZQBPAGYAZgBzAGUAdAC7AygAXAAiAFwAIgAxADUALwAyAC8AMgAwADIANABcACIAXAAiACwAIABFAEQAQQBUAEUAKABcACIAXAAiADEALwAxAC8AMgAwADIANQBcACIAXAAiACwAIABTAEUAUQBVAEUATgBDAEUAKAAgACwAIAAxADIALAAgADA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RABhAHQAZQApACwAXABuACAAIAAgACAAIAAgACAAIAAgACAAIAAgACAAIAAgACAAIAAgACAAIAAgACAAIAAgACAAIAAgACAASQBTAE8ATQBJAFQAVABFAEQAKAAgAFQAaQBtAGUAbABpAG4AZQApAFwAbgAgACAAIAAgACAAIAAgACAAIAAgACAAIAAgACAAIAAgACAAIAAgACAAIAAgACAAIAApACwAXABuACAAIAAgACAALwAvACAAIABDAGgAZQBjAGsAIABpAG4AcAB1AHQAcwAgAC0AIABJAGYAIABkAGEAdABlACAAaQBzACAAaQBuACAAdABlAHgAdAAsACAAYwBvAG4AdgBlAHIAdAAgAHQAbwAgAHYAYQBsAHUAZQBcAG4AIAAgACAAIAAgACAAIAAgAEQAYQB0AGUALAAgACAAIAAgACAAIAAgACAAIAAgACAAQABJAEYAKAAgAEkAUwBUAEUAWABUACgAIABEAGEAdABlACkALAAgAEQAQQBUAEUAVgBBAEwAVQBFACgAIABEAGEAdABlACkALAAgAEQAYQB0AGUAKQAsAFwAbgAgACAAIAAgAC8AKgAgACAAUAByAGUAbQBpAHMAZQA6ACAAIAAgACAAIAAgACAAIABDAHIAZQBhAHQAZQAgAGEAIABzAGgAbwByAHQAIAB0AGkAbQBlAGwAaQBuAGUAIAB0AGgAYQB0ACAAaQBzACAAaQBuACAAcwB5AG4AYwAgAHcAaQB0AGgAIAB0AGgAZQAgAG0AbwBkAGUAbAAnAHMAIAB0AGkAbQBlAGwAaQBuAGUAIAB0AGgAYQB0ACAAcwBwAGEAbgBzACAAXABuACAAIAAgACAAIAAgACAAIAAgACAAIAAgACAAIAAgACAAIAAgACAAIAAgACAAIAAgAGYAcgBvAG0AIAB0AGgAZQAgAHQAaQBtAGUAbABpAG4AZQAgAHMAdABhAHIAdAAgAHQAbwAgAHQAaABlACAAZABhAHQAZQAgAGkAbgAgAHEAdQBlAHMAdABpAG8AbgAgAHAAbAB1AHMAIABvAG4AZQAgAHAAZQByAGkAbwBkACAAbwBuACAAZQBpAHQAaABlAHIAIABzAGkAZABlAC4AXABuACAAIAAgACAAIAAgACAAIAAgACAAIAAgACAAIAAgACAAIAAgACAAIAAgACAAIAAgAE4AbwAgAHcAZQAgAGMAYQBuACAAdQBzAGUAIABNAEEAVABDAEgAKAApACAAdABvACAAZgBpAG4AZAAgAHcAaABpAGMAaAAgAHQAaQBtAGUAbABpAG4AZQAgAHAAZQByAGkAbwBkACAAIAAgACAAKgAvAFwAbgAgACAAIAAgAC8ALwAgACAARABlAHQAZQByAG0AaQBuAGUAIAB0AGkAbQBlAGwAaQBuAGUAJwBzACAAaQBuAHQAZQByAHYAYQBsACAAKABsAGUAbgBnAHQAaAAgAG8AZgAgAHAAZQByAGkAbwBkAHMAKQBcAG4AIAAgACAAIAAgACAAIAAgAFAAZQByAGkAbwBkADEALAAgACAAIAAgACAAIAAgACAASQBOAEQARQBYACgAIABUAGkAbQBlAGwAaQBuAGUALAAgADEAKQAsAFwAbgAgACAAIAAgACAAIAAgACAAUABlAHIAaQBvAGQAMgAsACAAIAAgACAAIAAgACAAIABJAE4ARABFAFgAKAAgAFQAaQBtAGUAbABpAG4AZQAsACAAMgApACwAIABcAG4AIAAgACAAIAAgACAAIAAgAE0AcABQACwAIAAgACAAIAAgACAAIAAgACAAIAAgACAAUgBPAFUATgBEACgAIAAoAFAAZQByAGkAbwBkADIAIAAtACAAUABlAHIAaQBvAGQAMQApAC8AMwAwAC4ANQAsACAAMAApACwAIAAvAC8ATQBvAG4AdABoAHMAIABQAGUAcgAgAFAAZQByAGkAbwBkAFwAbgAgACAAIAAgAC8ALwAgACAARABlAHQAZQByAG0AaQBuAGUAIABpAGYAIABQAHIAaQBvAHIAIAB0AG8AIAB0AGkAbQBlAGwAaQBuAGUAIABvAHIAIABhAGYAdABlAHIAXABuACAAIAAgACAAIAAgACAAIABEAGkAcgBlAGMAdABpAG8AbgAsACAAIAAgACAAIAAgAEkARgAoAEQAYQB0AGUAIAA8ACAAUABlAHIAaQBvAGQAMQAsACAALQAxACwAIAAxACkALABcAG4AIAAgACAAIAAvAC8AIAAgAEQAZQB0AGUAcgBtAGkAbgBlACAAdABoAGUAIABuAHUAbQBiAGUAcgAgAG8AZgAgAG0AbwBuAHQAaABzACAAYgBlAHQAdwBlAGUAbgAgAHQAaQBtAGUAbABpAG4AZQAnAHMAIABzAHQAYQByAHQAIABhAG4AZAAgAHQAaABlACAAZABhAHQAZQAnAHMAIABwAGUAcgBpAG8AZAAgAHMAdABhAHIAdABcAG4AIAAgACAAIAAgACAAIAAgAE0AbwBuAHQAaABEAGkAZgBmACwAIAAgACAAIAAgACAAQABEAEEAVABFAEQASQBGACgAIABNAEkATgAoACAAUABlAHIAaQBvAGQAMQAsACAARABhAHQAZQApACwAIABNAEEAWAAoACAAUABlAHIAaQBvAGQAMQAsACAARABhAHQAZQApACwAIABcACIATQBcACIAKQAsAFwAbgAgACAAIAAgAC8ALwAgACAAQwBvAG4AdgBlAHIAdAAgAHQAbwAgAG4AdQBtAGIAZQByACAAbwBmACAAcABlAHIAaQBvAGQAcwBcAG4AIAAgACAAIAAgACAAIAAgAFAAZQByAGkAbwBkAEQAaQBmAGYALAAgACAAIAAgACAAUQBVAE8AVABJAEUATgBUACgAIABNAG8AbgB0AGgARABpAGYAZgAsACAATQBwAFAAKQAsAFwAbgAgACAAIAAgACAAIAAgACAAUABlAHIAaQBvAGQAUwBlAHEALAAgACAAIAAgACAAIABTAEUAUQBVAEUATgBDAEUAKAAgADEALAAgAFAAZQByAGkAbwBkAEQAaQBmAGYAIAArACAAMgAsACAASQBGACgAIABEAGkAcgBlAGMAdABpAG8AbgAgAD0AIAAxACwAIAAwACwAIAAtACgAIABQAGUAcgBpAG8AZABEAGkAZgBmACAAKwAgADEAKQApACkALABcAG4AIAAgACAAIAAgACAAIAAgAFMAZQBhAHIAYwBoAFQAaQBtAGUAbABpAG4AZQAsACAARQBEAEEAVABFACgAIABQAGUAcgBpAG8AZAAxACwAIABQAGUAcgBpAG8AZABTAGUAcQAgACoAIABNAHAAUAApACwAXABuACAAIAAgACAAIAAgACAAIABSAGUAcwB1AGwAdAAsACAAIAAgACAAIAAgACAAIAAgAE0AQQBUAEMASAAoACAARABhAHQAZQAsACAAUwBlAGEAcgBjAGgAVABpAG0AZQBsAGkAbgBlACwAIAAxACkAIAAtACAASQBGACgAIABEAGkAcgBlAGMAdABpAG8AbgAgAD0AIAAxACwAIAAxACwAIABQAGUAcgBpAG8AZABEAGkAZgBmACAAKwAgADIAKQAsACAAIAAgACAAIAAgACAAI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FQAaQBtAGUAbABpAG4AZQBQAG8AcwBpAHQAaQBvAG4AuwNcAG4AIAAgACAAIABEAEUAUwBDAFIASQBQAFQASQBPAE4AOgAqAC8ALwAqACoAQwByAG8AcABzACAAYQBuACAAYQByAHIAYQB5ACAAYgBhAHMAZQBkACAAbwBuACAAYQAgAG0AbwBkAGUAbAAnAHMAIAB0AGkAbQBlAGwAaQBuAGUAKgAvAFwAbgBUAGkAbQBlAGwAaQBuAGUAUABvAHMAaQB0AGkAbwBuALsDIAA9ACAATABBAE0AQgBEAEEAKABcAG4AIAAgACAAIABbAEEAcgByAGEAeQBdACwAIAAgACAAIAAgACAAIAAgACAAIAAgACAAXABuACAAIAAgACAAWwBUAGkAbQBlAGwAaQBuAGUAXQAsACAAIAAgACAAIAAgACAAIAAgAFwAbgAgACAAIAAgAFsATwBmAGYAcwBlAHQAXQAsACAAIAAgACAAIAAgACAAIAAgACA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UAGkAbQBlAGwAaQBuAGUAUABvAHMAaQB0AGkAbwBuALsDKABBAHIAcgBhAHkALAAgAFQAaQBtAGUAbABpAG4AZQAsACAATwBmAGYAcwBlAHQAKQC2AFwAIgAgACYAXABuACAAIAAgACAAIAAgACAAIAAgACAAIAAgACAAIAAgACAAIAAgACAAIAAgACAAIAAgACAAIAAgACAAXAAiAEQARQBTAEMAUgBJAFAAVABJAE8ATgA6ACAAIAAgAJIhUABvAHMAaQB0AGkAbwBuACAAYQBuACAAYQByAHIAYQB5ACAAcgBlAGwAYQB0AGkAdgBlACAAdABvACAAdABoAGUAIABtAG8AZABlAGwAJwBzACAAdABpAG0AZQBsAGkAbgBlALYAXAAiACAAJg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VABoAGUAIABhAHIAcgBhAHkAIAB0AG8AIABiAGUAIABwAG8AcwBpAHQAaQBvAG4AZQBkACAAcgBlAGwAYQB0AGkAdgBlACAAdABvACAAYQAgAG0AbwBkAGUAbAAnAHMAIAB0AGkAbQBlAGwAaQBuAGUAtgBcACIAIAAmACAAXABuACAAIAAgACAAIAAgACAAIAAgACAAIAAgACAAIAAgACAAIAAgACAAIAAgACAAIAAgACAAIAAgACAAXAAiAFQAaQBtAGUAbABpAG4AZQAgACAAIAAgACAAIAAgAJIhKABSAGUAcQB1AGkAcgBlAGQAKQAgAEEAIABtAG8AZABlAGwAJwBzACAAdABpAG0AbABpAG4AZQC2AFwAIgAgACYAIABcAG4AIAAgACAAIAAgACAAIAAgACAAIAAgACAAIAAgACAAIAAgACAAIAAgACAAIAAgACAAIAAgACAAIABcACIATwBmAGYAcwBlAHQAIAAgACAAIAAgACAAIAAgACAAkiEoAFIAZQBxAHUAaQByAGUAZAApACAAVABoAGUAIABuAHUAbQBiAGUAcgAgAG8AZgAgAHIAbwB3AHMAIABvAHIAIABjAG8AbAB1AG0AbgBzACAAdABvACAAcwB0AGEAcgB0ACAAcABsAGEAYwBpAG4AZwAgAHQAaABlACAAYQByAHIAYQB5ACAAdwBpAHQAaABpAG4AIAB0AGgAZQAgAHQAaQBtAGUAbABpAG4AZQC2AFwAIgAgACYAIAAgACAAIAAgACAAIAAgACAAIAAgACAAIAAgACAAIAAgACAAIAAgACAAXABuACAAIAAgACAAIAAgACAAIAAgACAAIAAgACAAIAAgACAAIAAgACAAIAAgACAAIAAgACAAIAAgACAAXAAiAE4ATwBUAEUAUwAhACAAIAAgACAAIAAgACAAIAAgAJIhtgBcACIAIAAmACAAXABuACAAIAAgACAAIAAgACAAIAAgACAAIAAgACAAIAAgACAAIAAgACAAIAAgACAAIAAgACAAIAAgACAAIAAgACAAIAAgACAAIAAgACAAIAAgACAAIAAgACAAXAAiAJIhVABpAG0AZQBsAGkAbgBlAHMAIABjAGEAbgAgAGIAZQAgAHYAZQByAHQAaQBjAGEAbAAgAG8AcgAgAGgAbwByAGkAegBvAG4AdABhAGwALgAgAFcAaABpAGMAaABlAHYAZQByACAAdwBhAHkAIAB0AGgAZQAgAHQAaQBtAGUAbABpAG4AZQAgAGcAbwBlAHMALAAgAHQAaABlACAAYQByAHIAYQB5ACAAbQB1AHMAdAAgAG0AYQB0AGMAaAAuALYAXAAiACAAJgAgACAAIAAgACAAIAAgACAAIAAgACAAIAAgACAAIAAgACAAIAAgACA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IAAgACAAIAAgACAAIAAgACAAIAAgACAAIAAgACAAXAAiAJIhPQBuAGEAYgBsAGEALgBmAC4AVABpAG0AZQBsAGkAbgBlAFAAbwBzAGkAdABpAG8AbgC7AygAUwBFAFEAVQBFAE4AQwBFACgAMwAsADMAKQAsACAARQBEAEEAVABFACgAXAAiAFwAIgAxAC8AMQAvADIAMAAyADUAXAAiAFwAIgAsACAAUwBFAFEAVQBFAE4AQwBFACgAIAAsACAAMQAyACwAIAAwACkAKQAsACAAMQAyACk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EAcgByAGEAeQApACwAXABuACAAIAAgACAAIAAgACAAIAAgACAAIAAgACAAIAAgACAAIAAgACAAIAAgACAAIAAgACAAIAAgACAASQBTAE8ATQBJAFQAVABFAEQAKAAgAFQAaQBtAGUAbABpAG4AZQApACwAXABuACAAIAAgACAAIAAgACAAIAAgACAAIAAgACAAIAAgACAAIAAgACAAIAAgACAAIAAgACAAIAAgACAASQBTAE8ATQBJAFQAVABFAEQAKAAgAE8AZgBmAHMAZQB0ACkAXABuACAAIAAgACAAIAAgACAAIAAgACAAIAAgACAAIAAgACAAIAAgACAAIAAgACAAIAAgACkALABcAG4AIAAgACAAIAAvAC8AIAAgAEMAaABlAGMAawAgAGkAbgBwAHUAdABzACAALQAgAE0AYQBrAGUAIABzAHUAcgBlACAAcwBjAGEAbABhAHIAcwAgAGEAcgBlACAAbgBvAHQAIABhAHIAcgBhAHkAcwBcAG4AIAAgACAAIAAgACAAIAAgAE8AZgBmAHMAZQB0ACwAIAAgACAAIAAgACAAIAAgACAAQABPAGYAZgBzAGUAdAAsAFwAbgAgACAAIAAgAC8ALwAgACAAUAByAGUAYwBlAGQAdQByAGUAXABuACAAIAAgACAAIAAgACAAIABSAG8AdwBzACwAIAAgACAAIAAgACAAIAAgACAAIAAgAFIATwBXAFMAKABBAHIAcgBhAHkAKQAsAFwAbgAgACAAIAAgACAAIAAgACAAQwBvAGwAcwAsACAAIAAgACAAIAAgACAAIAAgACAAIABDAE8ATABVAE0ATgBTACgAQQByAHIAYQB5ACkALABcAG4AIAAgACAAIAAgACAAIAAgAFIAZQBzAHUAbAB0ACwAIAAgACAAIAAgACAAIAAgACAASQBGACgAIABDAE8ATABVAE0ATgBTACgAVABJAE0ARQBMAEkATgBFACkAIAA+ACAAMQAsACAAXABuACAAIAAgACAAIAAgACAAIAAgACAAIAAgACAAIAAgACAAIAAgACAAIAAgACAAIAAgAC8ALwAgACAASABvAHIAaQB6AG8AbgB0AGEAbAAgAFQAaQBtAGUAbABpAG4AZQBcAG4AIAAgACAAIAAgACAAIAAgACAAIAAgACAAIAAgACAAIAAgACAAIAAgACAAIAAgACAAIAAgACAAIABNAEEASwBFAEEAUgBSAEEAWQAoACAAUgBvAHcAcwAsACAAQwBPAEwAVQBNAE4AUwAoACAAVABpAG0AZQBsAGkAbgBlACkALABcAG4AIAAgACAAIAAgACAAIAAgACAAIAAgACAAIAAgACAAIAAgACAAIAAgACAAIAAgACAAIAAgACAAIAAgACAAIAAgAEwAQQBNAEIARABBACgAUgAsACAAQwAsAFwAbgAgACAAIAAgACAAIAAgACAAIAAgACAAIAAgACAAIAAgACAAIAAgACAAIAAgACAAIAAgACAAIAAgACAAIAAgACAAIAAgACAAIABJAEYAKAAgACgAKABDACAALQAgAE8AZgBmAHMAZQB0ACkAIAA+AD0AIAAxACkAIAAqACAAKAAoACAAQwAgAC0AIABPAGYAZgBzAGUAdAApACAAPAA9ACAAQwBvAGwAcwApACAAPQAgADEALABcAG4AIAAgACAAIAAgACAAIAAgACAAIAAgACAAIAAgACAAIAAgACAAIAAgACAAIAAgACAAIAAgACAAIAAgACAAIAAgACAAIAAgACAAIAAgACAAIABJAE4ARABFAFgAKAAgAEEAcgByAGEAeQAsACAAUgAsACAAQwAgAC0AIABPAGYAZgBzAGUAdAApACwAXABuACAAIAAgACAAIAAgACAAIAAgACAAIAAgACAAIAAgACAAIAAgACAAIAAgACAAIAAgACAAIAAgACAAIAAgACAAIAAgACAAIAAgACAAIAAgACAAMAApAFwAbgAgACAAIAAgACAAIAAgACAAIAAgACAAIAAgACAAIAAgACAAIAAgACAAIAAgACAAIAAgACAAIAAgACAAIAAgACAAKQBcAG4AIAAgACAAIAAgACAAIAAgACAAIAAgACAAIAAgACAAIAAgACAAIAAgACAAIAAgACAAIAAgACAAIAApACwAXABuACAAIAAgACAAIAAgACAAIAAgACAAIAAgACAAIAAgACAAIAAgACAAIAAgACAAIAAgAC8ALwAgACAAVgBlAHIAdABpAGMAYQBsACAAVABpAG0AZQBsAGkAbgBlAFwAbgAgACAAIAAgACAAIAAgACAAIAAgACAAIAAgACAAIAAgACAAIAAgACAAIAAgACAAIAAgACAAIAAgAE0AQQBLAEUAQQBSAFIAQQBZACgAIABSAE8AVwBTACgAIABUAGkAbQBlAGwAaQBuAGUAKQAsACAAQwBvAGwAcwAsAFwAbgAgACAAIAAgACAAIAAgACAAIAAgACAAIAAgACAAIAAgACAAIAAgACAAIAAgACAAIAAgACAAIAAgACAAIAAgACAATABBAE0AQgBEAEEAKABSACwAIABDACwAXABuACAAIAAgACAAIAAgACAAIAAgACAAIAAgACAAIAAgACAAIAAgACAAIAAgACAAIAAgACAAIAAgACAAIAAgACAAIAAgACAAIAAgAEkARgAoACAAKAAoAFIAIAAtACAATwBmAGYAcwBlAHQAKQAgAD4APQAgADEAKQAgACoAIAAoACgAIABSACAALQAgAE8AZgBmAHMAZQB0ACkAIAA8AD0AIABSAG8AdwBzACkAIAA9ACAAMQAsAFwAbgAgACAAIAAgACAAIAAgACAAIAAgACAAIAAgACAAIAAgACAAIAAgACAAIAAgACAAIAAgACAAIAAgACAAIAAgACAAIAAgACAAIAAgACAAIAAgAEkATgBEAEUAWAAoACAAQQByAHIAYQB5ACwAIABSACAALQAgAE8AZgBmAHMAZQB0ACwAIABDACkALABcAG4AIAAgACAAIAAgACAAIAAgACAAIAAgACAAIAAgACAAIAAgACAAIAAgACAAIAAgACAAIAAgACAAIAAgACAAIAAgACAAIAAgACAAIAAgACAAIAAw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EYAaQBsAHQAZQByAEMAbwBuAHQAYQBpAG4AcwC7A1wAbgAgACAAIAAgAEQARQBTAEMAUgBJAFAAVABJAE8ATgA6ACoALwAvACoAKgBGAGkAbAB0AGUAcgAgAGEAbgAgAGEAcgByAGEAeQAgAGIAeQAgAGEAbgBvAHQAaABlAHIAIABhAHIAcgBhAHkAIAB0AGgAYQB0ACAAYwBvAG4AdABhAGkAbgBzACAAcwBwAGUAYwBpAGYAaQBjACAAdABlAHgAdAAqAC8AXABuAEYAaQBsAHQAZQByAEMAbwBuAHQAYQBpAG4AcwC7AyAAPQAgAEwAQQBNAEIARABBACgAXABuAC8ALwAgACAAUABhAHIAYQBtAGUAdABlAHIAIABEAGUAYwBsAGEAcgBhAHQAaQBvAG4AcwBcAG4AIAAgACAAIABbAEEAcgByAGEAeQBUAG8ARgBpAGwAdABlAHIAXQAsAFwAbgAgACAAIAAgAFsARgBpAGwAdABlAHIAQgB5AEEAcgByAGEAeQBdACwAXABuACAAIAAgACAAWwBGAGkAbAB0AGUAcgBCAHkAVABlAHgAdABdACwAXABuACAAIAAgACAAWwBJAGcAbgBvAHIAZQBDAGEAcwBlAD8AXQAsAFwAbg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RgBpAGwAdABlAHIAQwBvAG4AdABhAGkAbgBzALsDKAAgAEEAcgByAGEAeQBUAG8ARgBpAGwAdABlAHIALAAgAEYAaQBsAHQAZQByAEIAeQBBAHIAcgBhAHkALAAgAFQAZQB4AHQALAAgAFsASQBnAG4AbwByAGUAQwBhAHMAZQA/AF0AIAApALYAXAAiACAAJgBcAG4AIAAgACAAIAAgACAAIAAgACAAIAAgACAAIAAgACAAIAAgACAAIAAgACAAIAAgACAAIAAgACAAIABcACIARABFAFMAQwBSAEkAUABUAEkATwBOADoAIAAgACAAkiFGAGkAbAB0AGUAcgAgAGEAbgAgAGEAcgByAGEAeQAgAGIAeQAgAGEAbgBvAHQAaABlAHIAIABhAHIAcgBhAHkAIAB0AGgAYQB0ACAAYwBvAG4AdABhAGkAbgBzACAAcwBwAGUAYwBpAGYAaQBjACAAdABlAHgAdAAuALYAXAAiACAAJgAgAFwAbgAgACAAIAAgACAAIAAgACAAIAAgACAAIAAgACAAIAAgACAAIAAgACAAIAAgACAAIAAgACAAIAAgAFwAIgBXAEUAQgBQAEEARwBFADoAIAAgACAAIAAgACAAIACSIWgAdAB0AHAAcwA6AC8ALwBnAGkAdABoAHUAYgAuAGMAbwBtAC8AcgB5AGEAbgBkAHUAZwB1AGkAZAAvAE4AYQBiAGwAYQC2AFwAIgAgACYAIA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VABvAEYAaQBsAHQAZQByACAAIACSISgAUgBlAHEAdQBpAHIAZQBkACkAIABBAG4AIABhAHIAcgBhAHkAIAB0AG8AIABiAGUAIABmAGkAbAB0AGUAcgBlAGQAtgBcACIAIAAmACAAIAAgACAAIAAgACAAIAAgACAAIAAgACAAIAAgACAAIAAgACAAXABuACAAIAAgACAAIAAgACAAIAAgACAAIAAgACAAIAAgACAAIAAgACAAIAAgACAAIAAgACAAIAAgACAAXAAiAEYAaQBsAHQAZQByAEIAeQBBAHIAcgBhAHkAIAAgAJIhKABSAGUAcQB1AGkAcgBlAGQAKQAgAEEAbgAgAGEAcgByAGEAeQAgAGMAbwBuAHQAYQBpAG4AaQBuAGcAIAB0AGUAeAB0ACAAdABvACAAdQBzAGUAIABhAHMAIABhACAAZgBpAGwAdABlAHIAtgBcACIAIAAmACAAIAAgACAAIAAgACAAIAAgACAAIAAgACAAIAAgACAAIAAgACAAXABuACAAIAAgACAAIAAgACAAIAAgACAAIAAgACAAIAAgACAAIAAgACAAIAAgACAAIAAgACAAIAAgACAAXAAiAEYAaQBsAHQAZQByAEIAeQBUAGUAeAB0ACAAIAAgAJIhKABSAGUAcQB1AGkAcgBlAGQAKQAgAEEAIAB0AGUAeAB0ACAAcwB0AHIAaQBuAGcAIAB0AG8AIABmAGkAbgBkACAAaQBuACAARgBpAGwAdABlAHIAQgB5AEEAcgByAGEAeQC2AFwAIgAgACYAIAAgACAAIAAgACAAIAAgACAAIAAgACAAIAAgACAAIAAgACAAIABcAG4AIAAgACAAIAAgACAAIAAgACAAIAAgACAAIAAgACAAIAAgACAAIAAgACAAIAAgACAAIAAgACAAIABcACIASQBnAG4AbwByAGUAQwBhAHMAZQA/ACAAIAAgACAAkiEoAE8AcAB0AGkAbwBuAGEAbAApACAAQQAgAGYAbABhAGcAIAB0AG8AIABkAGUAdABlAHIAbQBpAG4AZQAgAGkAZgAgAFQAZQB4AHQAJwBzACAAYwBhAHMAZQAgAGkAcwAgAGkAbQBwAG8AcgB0AGEAbgB0AC4AIABEAGUAZgBhAHUAbAB0ACAAaQBzACAAVABSAFUARQC2AFwAIgAgACYAIAAgACAAIAAgACAAIAAgACAAIAAgACAAIAAgACAAIAAgACA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FwAIgBcACIAQwBhAHQAXAAiAFwAIgAgACAAIAAgACAAIAAgACAAkiE9AG4AYQBiAGwAYQAuAGYALgBGAGkAbAB0AGUAcgBDAG8AbgB0AGEAaQBuAHMAuwMoACAAewBcACIAXAAiAEoAbwBlAFwAIgBcACIALAAgAFwAIgBcACIAUwBhAGwAbAB5AFwAIgBcACIALAAgAFwAIgBcACIAQwBhAHQAXAAiAFwAIgB9ACwAIAB7AFwAIgBcACIASAAxAFwAIgBcACIALAAgAFwAIgBcACIASAAyAFwAIgBcACIALAAgAFwAIgBcACIAQQAxAFwAIgBcACIAfQAsACAAXAAiAFwAIgBBAFwAIgBcACIAIA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QByAHIAYQB5AFQAbwBGAGkAbAB0AGUAcgApACwAIABcAG4AIAAgACAAIAAgACAAIAAgACAAIAAgACAAIAAgACAAIAAgACAAIAAgACAAIAAgACAAIAAgACAAIABJAFMATwBNAEkAVABUAEUARAAoACAARgBpAGwAdABlAHIAQgB5AEEAcgByAGEAeQApACwAIABcAG4AIAAgACAAIAAgACAAIAAgACAAIAAgACAAIAAgACAAIAAgACAAIAAgACAAIAAgACAAIAAgACAAIABJAFMATwBNAEkAVABUAEUARAAoACAARgBpAGwAdABlAHIAQgB5AFQAZQB4AHQAKQBcAG4AIAAgACAAIAAgACAAIAAgACAAIAAgACAAIAAgACAAIAAgACAAIAAgACAAIAAgACAAKQAsAFwAbgAgACAAIAAgAC8ALwAgACAAQwBoAGUAYwBrACAAaQBuAHAAdQB0AHMAIAAtACAAUwBlAHQAIABkAGUAZgBhAHUAbAB0AHMAXABuACAAIAAgACAAIAAgACAAIABJAGcAbgBvAHIAZQBDAGEAcwBlAD8ALAAgACAAIAAgAEkARgAoACAASQBTAEwATwBHAEkAQwBBAEwAKAAgAEkAZwBuAG8AcgBlAEMAYQBzAGUAPwApACwAIABJAGcAbgBvAHIAZQBDAGEAcwBlAD8ALAAgAFQAUgBVAEUAKQAsAFwAbgAgACAAIAAgAC8ALwAgACAAUAByAG8AYwBlAGQAdQByAGUAXABuACAAIAAgACAAIAAgACAAIABNAGEAdABjAGgAZQBzACwAIAAgACAAIAAgACAAIAAgAEkARgAoACAASQBnAG4AbwByAGUAQwBhAHMAZQA/ACwAIABcAG4AIAAgACAAIAAgACAAIAAgACAAIAAgACAAIAAgACAAIAAgACAAIAAgACAAIAAgACAAIAAgACAAIABTAEUAQQBSAEMASAAoACAARgBpAGwAdABlAHIAQgB5AFQAZQB4AHQALAAgAEYAaQBsAHQAZQByAEIAeQBBAHIAcgBhAHkAKQAsAFwAbgAgACAAIAAgACAAIAAgACAAIAAgACAAIAAgACAAIAAgACAAIAAgACAAIAAgACAAIAAgACAAIAAgAEYASQBOAEQAKAAgAEYAaQBsAHQAZQByAEIAeQBUAGUAeAB0ACwAIABGAGkAbAB0AGUAcgBCAHkAQQByAHIAYQB5ACkAXABuACAAIAAgACAAIAAgACAAIAAgACAAIAAgACAAIAAgACAAIAAgACAAIAAgACAAIAAgACkALABcAG4AIAAgACAAIAAgACAAIAAgAFIAZQBzAHUAbAB0ACwAIAAgACAAIAAgACAAIAAgACAARgBJAEwAVABFAFIAKAAgAEEAcgByAGEAeQBUAG8ARgBpAGwAdABlAHIALAAgAEkAUwBOAFUATQBCAEUAUgAoACAATQBhAHQAYwBoAGUAcwApACk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SAGEAbgBnAGUAVABvAEQAQQC7A1wAbgAgACAAIAAgAEQARQBTAEMAUgBJAFAAVABJAE8ATgA6ACoALwAvACoAKgBDAHIAZQBhAHQAZQAgAGEAIABkAHkAbgBhAG0AaQBjACAAYQByAHIAYQB5ACAAZgByAG8AbQAgAGEAIABzAHQAYQB0AGkAYwAgAHIAYQBuAGcAZQAqAC8AXABuAFIAYQBuAGcAZQBUAG8ARABBALsDIAA9ACAATABBAE0AQgBEAEEAKABcAG4ALwAvACAAIABQAGEAcgBhAG0AZQB0AGUAcgAgAEQAZQBjAGwAYQByAGEAdABpAG8AbgBzAFwAbgAgACAAIAAgAFsAQwBlAGwAbABdACwAXABuACAAIAAgACAAWwBSAG8AdwBzAF0ALAAgACAAIAAgAFwAbgAgACAAIAAgAFsAQwBvAGwAdQBtAG4AcwBdACwAIAAgACAAIABcAG4ALwAvACAAIABIAGUAbABwAFwAbgAgACAAIAAgAEwARQBUACgASABlAGwAcAAsACAAIAAgACAAIAAgACAAVABSAEkATQAoAFQARQBYAFQAUwBQAEwASQBUACgAIABcAG4AIAAgACAAIAAgACAAIAAgACAAIAAgACAAIAAgACAAIAAgACAAIAAgACAAIAAgACAAIAAgACAAIABcACIARgBVAE4AQwBUAEkATwBOADoAIAAgACAAIAAgACAAkiFSAGEAbgBnAGUAVABvAEQAQQC7AygAIABDAGUAbABsACwAIABbAFIAbwB3AHMAXQAsACAAWwBDAG8AbAB1AG0AbgBzAF0AKQC2AFwAIgAgACYAXABuACAAIAAgACAAIAAgACAAIAAgACAAIAAgACAAIAAgACAAIAAgACAAIAAgACAAIAAgACAAIAAgACAAXAAiAEQARQBTAEMAUgBJAFAAVABJAE8ATgA6ACAAIAAgAJIhQwByAGUAYQB0AGUAIABhACAAZAB5AG4AYQBtAGkAYwAgAGEAcgByAGEAeQAgAGYAcgBvAG0AIABhACAAcwB0AGEAdABpAGMAIAByAGEAbgBnAGU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DAGUAbABsACAAIAAgACAAIAAgACAAIAAgACAAIACSISgAUgBlAHEAdQBpAHIAZQBkACkAIABUAGgAZQAgAHUAcABwAGUAcgAgAGwAZQBmAHQAIABjAGUAbABsACAAbwBmACAAYQAgAHIAYQBuAGcAZQAgAHQAbwAgAGMAbwBuAHYAZQByAHQAtgBcACIAIAAmACAAXABuACAAIAAgACAAIAAgACAAIAAgACAAIAAgACAAIAAgACAAIAAgACAAIAAgACAAIAAgACAAIAAgACAAXAAiAFIAbwB3AHMAIAAgACAAIAAgACAAIAAgACAAIAAgAJIhKABPAHAAdABpAG8AbgBhAGwAKQAgAFQAaABlACAAbgB1AG0AYgBlAHIAIABvAGYAIAByAG8AdwBzACAAZgBvAHIAIABkAHkAbgBhAG0AaQBjACAAYQByAHIAYQB5AC4AIABEAGUAZgBhAHUAbAB0AHMAIAB0AG8AIAAxAC4AtgBcACIAIAAmACAAXABuACAAIAAgACAAIAAgACAAIAAgACAAIAAgACAAIAAgACAAIAAgACAAIAAgACAAIAAgACAAIAAgACAAXAAiAEMAbwBsAHUAbQBuAHMAIAAgACAAIAAgACAAIAAgAJIhKABPAHAAdABpAG8AbgBhAGwAKQAgAFQAaABlACAAbgB1AG0AYgBlAHIAIABvAGYAIABjAG8AbAB1AG0AbgBzACAAZgBvAHIAIABkAHkAbgBhAG0AaQBjACAAYQByAHIAYQB5AC4AIABEAGUAZgBhAHUAbAB0AHMAIAB0AG8AIAAxAC4AtgBcACIAIAAmACA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CAAIAAgACAAIAAgACAAIAAgACAAIAAgACAAIAAgAJIhPQBuAGEAYgBsAGEALgBmAC4AUgBhAG4AZwBlAFQAbwBEAEEAuwMoACAAQQAxACwAIAAsACAAMQAyACkA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ACwAIAAgACAAIAAgACAAIAAgACAAIABJAFMATwBNAEkAVABUAEUARAAoACAAQwBlAGwAbAApACwAXABuACAAIAAgACAALwAvACAAIABTAGUAdAAgAEQAZQBmAGEAdQBsAHQAcwBcAG4AIAAgACAAIAAgACAAIAAgAFIAbwB3AHMALAAgACAAIAAgACAAIAAgACAAIAAgACAASQBGACgASQBTAE8ATQBJAFQAVABFAEQAKABSAG8AdwBzACkALAAgADEALAAgAEkARgAoAFIAbwB3AHMAIAA9ACAAMAAsACAAMQAsACAAUgBvAHcAcwApACkALABcAG4AIAAgACAAIAAgACAAIAAgAEMAbwBsAHUAbQBuAHMALAAgACAAIAAgACAAIAAgACAASQBGACgASQBTAE8ATQBJAFQAVABFAEQAKABDAG8AbAB1AG0AbgBzACkALAAgADEALAAgAEkARgAoAEMAbwBsAHUAbQBuAHMAIAA9ACAAMAAsACAAMQAsACAAQwBvAGwAdQBtAG4AcwApACkALABcAG4AIAAgACAAIAAvAC8AIAAgAFAAcgBvAGMAZQBkAHUAcgBlAFwAbgAgACAAIAAgACAAIAAgACAAUgBlAHMAdQBsAHQALAAgACAAIAAgACAAIAAgACAAIABPAEYARgBTAEUAVAAoAEMAZQBsAGwALAAgADAALAAgADAALAAgAFIAbwB3AHMALAAgAEMAbwBsAHUAbQBuAHMAKQAs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FAAZQByAGkAbwBkAFMAdABhAHIAdAC7A1wAbgAgACAAIAAgAEQARQBTAEMAUgBJAFAAVABJAE8ATgA6ACoALwAvACoAKgBEAGUAdABlAHIAbQBpAG4AZQAgAHcAaABlAG4AIAB0AGgAZQAgAHAAZQByAGkAbwBkACAAYwBvAG4AdABhAGkAbgBpAG4AZwAgAGEAIABkAGEAdABlACAAbwBmACAAaQBuAHQAZQByAGUAcwB0ACAAcwB0AGEAcgB0AHMAKgAvAFwAbgBQAGUAcgBpAG8AZABTAHQAYQByAHQAuwMgAD0AIABMAEEATQBCAEQAQQAoAFwAbgAvAC8AIAAgAFAAYQByAGEAbQBlAHQAZQByACAARABlAGMAbABhAHIAYQB0AGkAbwBuAFwAbgAgACAAIAAgAFsAQQBuAHkAUABlAHIAaQBvAGQAUwB0AGEAcgB0AF0ALABcAG4AIAAgACAAIABbAE0AbwBuAHQAaABzAFAAZQByAFAAZQByAGkAbwBkAF0ALAAgAFwAbgAgACAAIAAgAFsARABhAHQAZQBPAGYASQBuAHQAZQByAGUAcwB0AF0AL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AAZQByAGkAbwBkAFMAdABhAHIAdAC7AygAQQBuAHkAUABlAHIAaQBvAGQAUwB0AGEAcgB0ACwAIABNAG8AbgB0AGgAcwBQAGUAcgBQAGUAcgBpAG8AZAAsACAARABhAHQAZQBPAGYASQBuAHQAZQByAGUAcwB0ACkAtgBcACIAIAAmAFwAbgAgACAAIAAgACAAIAAgACAAIAAgACAAIAAgACAAIAAgACAAIAAgACAAIAAgACAAIAAgACAAIAAgAFwAIgBEAEUAUwBDAFIASQBQAFQASQBPAE4AOgAgACAAIACSIUQAZQB0AGUAcgBtAGkAbgBlACAAdwBoAGUAbgAgAHQAaABlACAAcABlAHIAaQBvAGQAIABjAG8AbgB0AGEAaQBuAGkAbgBnACAAYQAgAGQAYQB0AGUAIABvAGYAIABpAG4AdABlAHIAZQBzAHQAIABzAHQAYQByAHQAcwAuALYAXAAiACAAJgBcAG4AIAAgACAAIAAgACAAIAAgACAAIAAgACAAIAAgACAAIAAgACAAIAAgACAAIAAgACAAIAAgACAAIABcACIAVwBFAEIAUABBAEcARQA6ACAAIAAgACAAIAAgACAAkiFoAHQAdABwAHMAOgAvAC8AZwBpAHQAaAB1AGIALgBjAG8AbQAvAHIAeQBhAG4AZAB1AGcAdQBpAGQALwBOAGEAYgBsAGEAtgBcACIAIAAmACA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uAHkAUABlAHIAaQBvAGQAUwB0AGEAcgB0ACAAkiEoAFIAZQBxAHUAaQByAGUAZAApACAAQQBuAHkAIABzAHQAYQByAHQAIABkAGEAdABlACAAdwBpAHQAaABpAG4AIABhACAAdABpAG0AZQBsAGkAbgBlAC4AtgBcACIAIAAmACAAIAAgACAAIAAgACAAIAAgACAAIAAgACAAIAAgACAAIAAgACAAXABuACAAIAAgACAAIAAgACAAIAAgACAAIAAgACAAIAAgACAAIAAgACAAIAAgACAAIAAgACAAIAAgACAAXAAiAE0AbwBuAHQAaABzAFAAZQByAFAAZQByAGkAbwBkAJIhKABSAGUAcQB1AGkAcgBlAGQAKQAgAE4AdQBtAGIAZQByACAAbwBmACAAbQBvAG4AdABoAHMAIABpAG4AIABlAGEAYwBoACAAcABlAHIAaQBvAGQAtgBcACIAIAAmACAAXABuACAAIAAgACAAIAAgACAAIAAgACAAIAAgACAAIAAgACAAIAAgACAAIAAgACAAIAAgACAAIAAgACAAXAAiAEQAYQB0AGUATwBmAEkAbgB0AGUAcgBlAHMAdAAgAJIhKABSAGUAcQB1AGkAcgBlAGQAKQAgAEEAIABkAGEAdABlACAAZgBvAHIAIAB3AGgAaQBjAGgAIAB3AGUAIAB3AGEAbgB0ACAAdABvACAAawBuAG8AdwAgAHQAaABlACAAcwB0AGEAcgB0ACAAbwBmACAAdABoAGUAIABwAGUAcgBpAG8AZAAgAGMAbwBuAHQAYQBpAG4AaQBuAGcAIABpAHQALgC2AFwAIgAgACY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gBhAGIAbABhAC4AZgAgAGkAcwAgAGEAcwBzAHUAbQBlAGQAIAB0AG8AIABiAGUAIAB0AGgAZQAgAG0AbwBkAHUAbABlACcAcwAgAG4AYQBtAGUAKQC2AFwAIgAgACYAXABuACAAIAAgACAAIAAgACAAIAAgACAAIAAgACAAIAAgACAAIAAgACAAIAAgACAAIAAgACAAIAAgACAAXAAiADIAMAAyADYALQAwADQALQAwADEAIAAgACAAIAAgAJIhPQBuAGEAYgBsAGEALgBmAC4AUABlAHIAaQBvAGQAUwB0AGEAcgB0ALsDKABcACIAXAAiADIAMAAyADYALQAwADEALQAwADEAXAAiAFwAIgAsACAAMwAsACAAXAAiAFwAIgAyADAAMgA2AC0AMAA0AC0AMQA1AFwAIgBcACI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QBuAHkAUABlAHIAaQBvAGQAUwB0AGEAcgB0ACkALABcAG4AIAAgACAAIAAgACAAIAAgACAAIAAgACAAIAAgACAAIAAgACAAIAAgACAAIAAgACAAIAAgACAAIABJAFMATwBNAEkAVABUAEUARAAoACAATQBvAG4AdABoAHMAUABlAHIAUABlAHIAaQBvAGQAKQAsAFwAbgAgACAAIAAgACAAIAAgACAAIAAgACAAIAAgACAAIAAgACAAIAAgACAAIAAgACAAIAAgACAAIAAgAEkAUwBPAE0ASQBUAFQARQBEACgAIABEAGEAdABlAE8AZgBJAG4AdABlAHIAZQBzAHQAKQBcAG4AIAAgACAAIAAgACAAIAAgACAAIAAgACAAIAAgACAAIAAgACAAIAAgACAAIAAgACAAKQAsAFwAbgAgACAAIAAgAC8ALwAgACAAQwBvAG4AcwB0AGEAbgB0AHMAXABuACAAIAAgACAAIAAgACAAIABNAHAAWQAsACAAIAAgACAAIAAgACAAIAAgACAAIAAgACAAIAAgACAAMQAyACwAIAAvAC8ATQBvAG4AdABoAHMAIABQAGUAcgAgAFkAZQBhAHIAXABuACAAIAAgACAAIAAgACAAIABNAHAAUAAsACAAIAAgACAAIAAgACAAIAAgACAAIAAgACAAIAAgACAATQBvAG4AdABoAHMAUABlAHIAUABlAHIAaQBvAGQALABcAG4AIAAgACAAIAAvAC8AIAAgAFAAcgBvAGMAZQBkAHUAcgBlAFwAbgAgACAAIAAgACAAIAAgACAARABhAHQAZQBEAGEAeQAsACAAIAAgACAAIAAgACAAIAAgACAAIAAgAEQAQQBZACgARABhAHQAZQBPAGYASQBuAHQAZQByAGUAcwB0ACkALAAgAFwAbgAgACAAIAAgACAAIAAgACAAUABlAHIAaQBvAGQARABhAHkALAAgACAAIAAgACAAIAAgACAAIAAgAEQAYQB5ACgAQQBuAHkAUABlAHIAaQBvAGQAUwB0AGEAcgB0ACkALABcAG4AIAAgACAAIAAgACAAIAAgAEQAYQB0AGUATQBvAG4AdABoACwAIAAgACAAIAAgACAAIAAgACAAIABNAE8ATgBUAEgAKABEAGEAdABlAE8AZgBJAG4AdABlAHIAZQBzAHQAKQAsACAAXABuACAAIAAgACAAIAAgACAAIABQAGUAcgBpAG8AZABNAG8AbgB0AGgALAAgACAAIAAgACAAIAAgACAATQBPAE4AVABIACgAQQBuAHkAUABlAHIAaQBvAGQAUwB0AGEAcgB0ACkALABcAG4AIAAgACAAIAAgACAAIAAgAE0AbwBuAHQAaABNAG8AZABEAGkAZgBmAGUAcgBlAG4AYwBlACwAIABNAE8ARAAoAEQAYQB0AGUATQBvAG4AdABoACAALQAgAFAAZQByAGkAbwBkAE0AbwBuAHQAaAAsACAATQBwAFAAKQAsAFwAbgAgACAAIAAgACAAIAAgACAATgBlAGUAZABQAHIAaQBvAHIAUABlAHIAaQBvAGQAPwAsACAAIAAgAEEATgBEACgAIABNAG8AbgB0AGgATQBvAGQARABpAGYAZgBlAHIAZQBuAGMAZQAgAD0AIAAwACwAIABEAGEAdABlAEQAYQB5ACAAPAAgAFAAZQByAGkAbwBkAEQAYQB5ACkAIAAqACAALQAgAE0AcABQACwAXABuACAAIAAgACAAIAAgACAAIABOAGUAdwBQAGUAcgBpAG8AZABNAG8AbgB0AGgALAAgACAAIAAgACAATQBPAEQAKABEAGEAdABlAE0AbwBuAHQAaAAgAC0AIABNAG8AbgB0AGgATQBvAGQARABpAGYAZgBlAHIAZQBuAGMAZQAgACsAIABOAGUAZQBkAFAAcgBpAG8AcgBQAGUAcgBpAG8AZAA/ACAALQAxACwAIABNAHAAWQAgACkAIAArACAAMQAsAFwAbgAgACAAIAAgACAAIAAgACAAWQBlAGEAcgBDAG8AcgByAGUAYwB0AGkAbwBuACwAIAAgACAAIAAgAC0AKAAoAEQAYQB0AGUATQBvAG4AdABoACAAKgAgADEAMAAwACAAKwAgAEQAYQB0AGUARABhAHkAKQAgADwAIAAoAE4AZQB3AFAAZQByAGkAbwBkAE0AbwBuAHQAaAAgACoAIAAxADAAMAAgACsAIABQAGUAcgBpAG8AZABEAGEAeQAgACkAKQAsAFwAbgAgACAAIAAgACAAIAAgACAAUABlAHIAaQBvAGQARABhAHQAZQAsACAAIAAgACAAIAAgACAAIAAgAEQAQQBUAEUAKABZAEUAQQBSACgARABhAHQAZQBPAGYASQBuAHQAZQByAGUAcwB0ACkAIAArACAAWQBlAGEAcgBDAG8AcgByAGUAYwB0AGkAbwBuACwAIAAgAE4AZQB3AFAAZQByAGkAbwBkAE0AbwBuAHQAaAAsACAAUABlAHIAaQBvAGQARABhAHkAKQAsAFwAbgAgACAAIAAgACAAIAAgACAATABhAHMAdABEAGEAeQBPAGYATQBvAG4AdABoAEEAZABqACwAIAAgAFAAZQByAGkAbwBkAEQAYQB0AGUAIAAtACAAKABNAE8ATgBUAEgAKABQAGUAcgBpAG8AZABEAGEAdABlACkAIAA8AD4AIABOAGUAdwBQAGUAcgBpAG8AZABNAG8AbgB0AGgAKQAsAFwAbgAgACAAIAAgACAAIAAgACAAUgBlAHMAdQBsAHQALAAgACAAIAAgACAAIAAgACAAIAAgACAAIAAgAEwAYQBzAHQARABhAHkATwBmAE0AbwBuAHQAaABBAGQAag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RABpAG0AaQBuAGkAcwBoAGkAbgBnAFYAYQBsAHUAZQC7A1wAbgAgACAAIAAgAEQARQBTAEMAUgBJAFAAVABJAE8ATgA6ACoALwAvACoAKgBEAGkAbQBpAG4AaQBzAGgAaQBuAGcAIAB2AGEAbAB1AGUAIABkAGUAcAByAGUAYwBpAGEAdABpAG8AbgAgACgAQQBUAE8AIAAyADAAMAAlACAAbQBlAHQAaABvAGQAKQAgAGYAbwByACAAbwBuAGUAIABhAHMAcwBlAHQAIABvAHIAIABhAHMAcwBlAHQAIABjAGwAYQBzAHMAKgAvAFwAbgBcAG4ARABpAG0AaQBuAGkAcwBoAGkAbgBnAFYAYQBsAHUAZQC7AyAAPQAgAEwAQQBNAEIARABBACgAXABuAC8ALwAgACAAUABhAHIAYQBtAGUAdABlAHIAIABEAGUAYwBsAGEAcgBhAHQAaQBvAG4AXABuACAAIAAgACAAWwBDAG8AcwB0AF0ALABcAG4AIAAgACAAIABbAEwAaQBmAGU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EAGkAbQBpAG4AaQBzAGgAaQBuAGcAVgBhAGwAdQBlALsDKABDAG8AcwB0ACwAIABMAGkAZgBlACkAtgBcACIAIAAmAFwAbgAgACAAIAAgACAAIAAgACAAIAAgACAAIAAgACAAIAAgACAAIAAgACAAIAAgACAAIAAgACAAIAAgAFwAIgBEAEUAUwBDAFIASQBQAFQASQBPAE4AOgAgACAAIACSIUQAaQBtAGkAbgBpAHMAaABpAG4AZwAgAHYAYQBsAHUAZQAgAGQAZQBwAHIAZQBjAGkAYQB0AGkAbwBuACAAKABBAFQATwAgADIAMAAwACUAIABtAGUAdABoAG8AZAApACAAZgBvAHIAIABvAG4AZQAgAGEAcwBzAGUAdAAgAG8AcgAgAGEAcwBzAGUAdAAgAGMAbABhAHMAcwAuALYAXAAiACAAJg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FwAbgAgACAAIAAgACAAIAAgACAAIAAgACAAIAAgACAAIAAgACAAIAAgACAAIAAgACAAIAAgACAAIAAgAFwAIgBDAG8AcwB0ACAAIAAgACAAIAAgACAAIAAgACAAIACSISgAUgBlAHEAdQBpAHIAZQBkACkAIABBAHMAcwBlAHQAJwBzACAAYwBvAHMAdAAuALYAXAAiACAAJgBcAG4AIAAgACAAIAAgACAAIAAgACAAIAAgACAAIAAgACAAIAAgACAAIAAgACAAIAAgACAAIAAgACAAIABcACIATABpAGYAZQAgACAAIAAgACAAIAAgACAAIAAgACAAkiEoAFIAZQBxAHUAaQByAGUAZAApACAAQQBzAHMAZQB0ACcAcwAgAGUAZgBmAGUAYwB0AGkAdgBlACAAbABpAGYAZQAgAGkAbgAgAHkAZQBhAHIAcwAuALYAXAAiACAAJgBcAG4AIAAgACAAIAAgACAAIAAgACAAIAAgACAAIAAgACAAIAAgACAAIAAgACAAIAAgACAAIAAgACAAIABcACIARQBYAEEATQBQAEwARQBTADoAIAAgACAAIAAgACAAkiG2AFwAIgAgACYAXABuACAAIAAgACAAIAAgACAAIAAgACAAIAAgACAAIAAgACAAIAAgACAAIAAgACAAIAAgACAAIAAgACAAXAAiAJIhRgBvAHIAbQB1AGwAYQAgACgAbgBhAGIAbABhAC4AZgAgAGkAcwAgAGEAcwBzAHUAbQBlAGQAIAB0AG8AIABiAGUAIAB0AGgAZQAgAG0AbwBkAHUAbABlACcAcwAgAG4AYQBtAGUAKQC2AFwAIgAgACYAXABuACAAIAAgACAAIAAgACAAIAAgACAAIAAgACAAIAAgACAAIAAgACAAIAAgACAAIAAgACAAIAAgACAAXAAiAJIhPQBuAGEAYgBsAGEALgBmAC4ARABpAG0AaQBuAGkAcwBoAGkAbgBnAFYAYQBsAHUAZQC7AygAMQAwADAAMAAsACAANQApALYAXAAiACAAJgBcAG4AIAAgACAAIAAgACAAIAAgACAAIAAgACAAIAAgACAAIAAgACAAIAAgACAAIAAgACAAIAAgACAAIABcACIAkiFSAGUAcwB1AGwAdAC2AFwAIgAgACYAXABuACAAIAAgACAAIAAgACAAIAAgACAAIAAgACAAIAAgACAAIAAgACAAIAAgACAAIAAgACAAIAAgACAAXAAiAJIhNAAwADAALgAwADAALAAyADQAMAAuADAAMAAsADEANAA0AC4AMAAwACwAOAA2AC4ANAAwACwANQAxAC4AOAA0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TwBSACgAIABJAFMATwBNAEkAVABUAEUARAAoACAAQwBvAHMAdAApACwAIABJAFMATwBNAEkAVABUAEUARAAoACAATABpAGYAZQApACkALABcAG4AIAAgACAAIAAvAC8AIAAgAFMAZQB0ACAAQwBvAG4AcwB0AGEAbgB0AHMAXABuACAAIAAgACAAIAAgACAAIABSAGEAdABlACwAIAAgACAAIAAgACAAIAAgACAAIAAgADIAIAAvACAATABpAGYAZQAsAFwAbgAgACAAIAAgAC8ALwAgACAAUAByAG8AYwBlAGQAdQByAGUAXABuACAAIAAgACAAIAAgACAAIABSAGUAcwB1AGwAdAAsACAAIAAgACAAIAAgACAAIAAgAEMAbwBzAHQAIAAqACAAUgBhAHQAZQAgACoAIAAoADEAIAAtACAAUgBhAHQAZQApAF4AKABTAEUAUQBVAEUATgBDAEUAKAAgACwAIABMAGkAZgBlACkAIAAtACAAMQApACwAI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FAAcgBpAG0AZQBDAG8AcwB0ALsDXABuACAAIAAgACAARABFAFMAQwBSAEkAUABUAEkATwBOADoAKgAvAC8AKgAqAFAAcgBpAG0AZQAgAGMAbwBzAHQAIAAoAHMAdAByAGEAaQBnAGgAdAAgAGwAaQBuAGUAKQAgAGQAZQBwAHIAZQBjAGkAYQB0AGkAbwBuACwAIABBAFQATwAgAG0AZQB0AGgAbwBkACwAIABmAG8AcgAgAG8AbgBlACAAYQBzAHMAZQB0ACAAbwByACAAYQBzAHMAZQB0ACAAYwBsAGEAcwBzACoALwBcAG4AXABuAFAAcgBpAG0AZQBDAG8AcwB0ALsDIAA9ACAATABBAE0AQgBEAEEAKABcAG4ALwAvACAAIABQAGEAcgBhAG0AZQB0AGUAcgAgAEQAZQBjAGwAYQByAGEAdABpAG8AbgBcAG4AIAAgACAAIABbAEMAbwBzAHQAXQAsAFwAbgAgACAAIAAgAFsATABpAGYAZQ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VAAcgBpAG0AZQBDAG8AcwB0ALsDKABDAG8AcwB0ACwAIABMAGkAZgBlACkAtgBcACIAIAAmAFwAbgAgACAAIAAgACAAIAAgACAAIAAgACAAIAAgACAAIAAgACAAIAAgACAAIAAgACAAIAAgACAAIAAgAFwAIgBEAEUAUwBDAFIASQBQAFQASQBPAE4AOgAgACAAIACSIVAAcgBpAG0AZQAgAGMAbwBzAHQAIAAoAHMAdAByAGEAaQBnAGgAdAAgAGwAaQBuAGUAKQAgAGQAZQBwAHIAZQBjAGkAYQB0AGkAbwBuACwAIABBAFQATwAgAG0AZQB0AGgAbwBkACwAIABmAG8AcgAgAG8AbgBlACAAYQBzAHMAZQB0ACAAbwByACAAYQBzAHMAZQB0ACAAYwBsAGEAcwBzAC4AtgBcACIAIAAm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XABuACAAIAAgACAAIAAgACAAIAAgACAAIAAgACAAIAAgACAAIAAgACAAIAAgACAAIAAgACAAIAAgACAAXAAiAEMAbwBzAHQAIAAgACAAIAAgACAAIAAgACAAIAAgAJIhKABSAGUAcQB1AGkAcgBlAGQAKQAgAEEAcwBzAGUAdAAnAHMAIABjAG8AcwB0AC4AtgBcACIAIAAmAFwAbgAgACAAIAAgACAAIAAgACAAIAAgACAAIAAgACAAIAAgACAAIAAgACAAIAAgACAAIAAgACAAIAAgAFwAIgBMAGkAZgBlACAAIAAgACAAIAAgACAAIAAgACAAIACSISgAUgBlAHEAdQBpAHIAZQBkACkAIABBAHMAcwBlAHQAJwBzACAAZQBmAGYAZQBjAHQAaQB2AGUAIABsAGkAZgBlACAAaQBuACAAeQBlAGEAcgBzAC4AtgBcACIAIAAmAFwAbgAgACAAIAAgACAAIAAgACAAIAAgACAAIAAgACAAIAAgACAAIAAgACAAIAAgACAAIAAgACAAIAAgAFwAIgBFAFgAQQBNAFAATABFAFMAOgAgACAAIAAgACAAIACSIbYAXAAiACAAJgBcAG4AIAAgACAAIAAgACAAIAAgACAAIAAgACAAIAAgACAAIAAgACAAIAAgACAAIAAgACAAIAAgACAAIABcACIAkiFGAG8AcgBtAHUAbABhACAAKABuAGEAYgBsAGEALgBmACAAaQBzACAAYQBzAHMAdQBtAGUAZAAgAHQAbwAgAGIAZQAgAHQAaABlACAAbQBvAGQAdQBsAGUAJwBzACAAbgBhAG0AZQApALYAXAAiACAAJgBcAG4AIAAgACAAIAAgACAAIAAgACAAIAAgACAAIAAgACAAIAAgACAAIAAgACAAIAAgACAAIAAgACAAIABcACIAkiE9AG4AYQBiAGwAYQAuAGYALgBQAHIAaQBtAGUAQwBvAHMAdAC7AygAMQAwADAAMAAsACAANQApALYAXAAiACAAJgBcAG4AIAAgACAAIAAgACAAIAAgACAAIAAgACAAIAAgACAAIAAgACAAIAAgACAAIAAgACAAIAAgACAAIABcACIAkiFSAGUAcwB1AGwAdAC2AFwAIgAgACYAXABuACAAIAAgACAAIAAgACAAIAAgACAAIAAgACAAIAAgACAAIAAgACAAIAAgACAAIAAgACAAIAAgACAAXAAiAJIhMgAwADAALgAwADAALAAyADAAMAAuADAAMAAsADIAMAAwAC4AMAAwACwAMgAwADAALgAwADAALAAyADAAMAAuADAAMABcACIALABcAG4AIAAgACAAIAAgACAAIAAgACAAIAAgACAAIAAgACAAIAAgACAAIAAgACAAIAAgACAAIAAgACAAIABcACIAkiFcACIALAAgAFwAIgC2AFwAIgBcAG4AIAAgACAAIAAgACAAIAAgACAAIAAgACAAIAAgACAAIAAgACAAIAAgACAAIAAgACAAKQApACwAXABuACAAIAAgACAALwAvACAAIABDAGgAZQBjAGsAIABpAG4AcAB1AHQAcwAgAC0AIABPAG0AaQB0AHQAZQBkACAAcgBlAHEAdQBpAHIAZQBkACAAYQByAGcAdQBtAGUAbgB0AHMAXABuACAAIAAgACAAIAAgACAAIABIAGUAbABwAD8ALAAgACAAIAAgACAAIAAgACAAIAAgAE8AUgAoACAASQBTAE8ATQBJAFQAVABFAEQAKAAgAEMAbwBzAHQAKQAsACAASQBTAE8ATQBJAFQAVABFAEQAKAAgAEwAaQBmAGUAKQApACwAXABuACAAIAAgACAALwAvACAAIABTAGUAdAAgAEMAbwBuAHMAdABhAG4AdABzAFwAbgAgACAAIAAgACAAIAAgACAAQQBuAG4AdQBhAGwALAAgACAAIAAgACAAIAAgACAAIABDAG8AcwB0ACAALwAgAEwAaQBmAGUALABcAG4AIAAgACAAIAAvAC8AIAAgAFAAcgBvAGMAZQBkAHUAcgBlAFwAbgAgACAAIAAgACAAIAAgACAAUgBlAHMAdQBsAHQALAAgACAAIAAgACAAIAAgACAAIABFAFgAUABBAE4ARAAoACAAQQBuAG4AdQBhAGwALAAgADEALAAgAEwAaQBmAGUALAAgAEEAbgBuAHUAYQBsACkALAAg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RwBTAFQAQQBkAGQAuwNcAG4AIAAgACAAIABEAEUAUwBDAFIASQBQAFQASQBPAE4AOgAqAC8ALwAqACoAQQBkAGQAcwAgAEcAUwBUACAAdABvACAAbwBuAGUAIABvAHIAIABtAG8AcgBlACAARwBTAFQALQBlAHgAYwBsAHUAcwBpAHYAZQAgAGEAbQBvAHUAbgB0AHMAKgAvAFwAbgBcAG4ARwBTAFQAQQBkAGQAuwMgAD0AIABMAEEATQBCAEQAQQAoAFwAbgAvAC8AIAAgAFAAYQByAGEAbQBlAHQAZQByACAARABlAGMAbABhAHIAYQB0AGkAbwBuAFwAbgAgACAAIAAgAFsAQQBtAG8AdQBuAHQAcwBdACwAXABuACAAIAAgACAAWwBSAGEAdABl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RwBTAFQAQQBkAGQAuwMoAEEAbQBvAHUAbgB0AHMALAAgAFsAUgBhAHQAZQBdACkAtgBcACIAIAAmAFwAbgAgACAAIAAgACAAIAAgACAAIAAgACAAIAAgACAAIAAgACAAIAAgACAAIAAgACAAIAAgACAAIAAgAFwAIgBEAEUAUwBDAFIASQBQAFQASQBPAE4AOgAgACAAIACSIUEAZABkAHMAIABHAFMAVAAgAHQAbwAgAG8AbgBlACAAbwByACAAbQBvAHIAZQAgAEcAUwBUAC0AZQB4AGMAbAB1AHMAaQB2AGUAIABhAG0AbwB1AG4AdABzAC4AtgBcACIAIAAm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XABuACAAIAAgACAAIAAgACAAIAAgACAAIAAgACAAIAAgACAAIAAgACAAIAAgACAAIAAgACAAIAAgACAAXAAiAEEAbQBvAHUAbgB0AHMAIAAgACAAIAAgACAAIAAgAJIhKABSAGUAcQB1AGkAcgBlAGQAKQAgAE8AbgBlACAAbwByACAAbQBvAHIAZQAgAEcAUwBUAC0AZQB4AGMAbAB1AHMAaQB2AGUAIABhAG0AbwB1AG4AdABzAC4AtgBcACIAIAAmAFwAbgAgACAAIAAgACAAIAAgACAAIAAgACAAIAAgACAAIAAgACAAIAAgACAAIAAgACAAIAAgACAAIAAgAFwAIgBSAGEAdABlACAAIAAgACAAIAAgACAAIAAgACAAIACSISgATwBwAHQAaQBvAG4AYQBsADoAIABEAGUAZgBhAHUAbAB0ACAAPQAgADAALgAxACkAIABHAFMAVAAgAHIAYQB0AGUAIABhAHMAIABhACAAZgByAGEAYwB0AGkAbwBuAC4AtgBcACIAIAAmAFwAbgAgACAAIAAgACAAIAAgACAAIAAgACAAIAAgACAAIAAgACAAIAAgACAAIAAgACAAIAAgACAAIAAgAFwAIgBFAFgAQQBNAFAATABFAFMAOgAgACAAIAAgACAAIACSIbYAXAAiACAAJgBcAG4AIAAgACAAIAAgACAAIAAgACAAIAAgACAAIAAgACAAIAAgACAAIAAgACAAIAAgACAAIAAgACAAIABcACIAkiFGAG8AcgBtAHUAbABhACAAKABuAGEAYgBsAGEALgBmACAAaQBzACAAYQBzAHMAdQBtAGUAZAAgAHQAbwAgAGIAZQAgAHQAaABlACAAbQBvAGQAdQBsAGUAJwBzACAAbgBhAG0AZQApALYAXAAiACAAJgBcAG4AIAAgACAAIAAgACAAIAAgACAAIAAgACAAIAAgACAAIAAgACAAIAAgACAAIAAgACAAIAAgACAAIABcACIAkiE9AG4AYQBiAGwAYQAuAGYALgBHAFMAVABBAGQAZAC7AygAMQAwADAAKQC2AFwAIgAgACYAXABuACAAIAAgACAAIAAgACAAIAAgACAAIAAgACAAIAAgACAAIAAgACAAIAAgACAAIAAgACAAIAAgACAAXAAiAJIhUgBlAHMAdQBsAHQAtgBcACIAIAAmAFwAbgAgACAAIAAgACAAIAAgACAAIAAgACAAIAAgACAAIAAgACAAIAAgACAAIAAgACAAIAAgACAAIAAgAFwAIgCSITEAMQAw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SQBTAE8ATQBJAFQAVABFAEQAKAAgAEEAbQBvAHUAbgB0AHMAKQAsAFwAbgAgACAAIAAgAC8ALwAgACAAUwBlAHQAIABkAGUAZgBhAHUAbAB0AHMAXABuACAAIAAgACAAIAAgACAAIABHAFMAVABSAGEAdABlACwAIAAgACAAIAAgACAAIAAgAEkARgAoACAASQBTAE8ATQBJAFQAVABFAEQAKAAgAFIAYQB0AGUAKQAsACAAMAAuADEALAAgAFIAYQB0AGUAKQAsAFwAbgAgACAAIAAgAC8ALwAgACAAUAByAG8AYwBlAGQAdQByAGUAXABuACAAIAAgACAAIAAgACAAIABSAGUAcwB1AGwAdAAsACAAIAAgACAAIAAgACAAIAAgAEEAbQBvAHUAbgB0AHMAIAAqACAAKAAxACAAKwAgAEcAUwBUAFIAYQB0AGUAKQAsACA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HAFMAVABFAHgAdAByAGEAYwB0ALsDXABuACAAIAAgACAARABFAFMAQwBSAEkAUABUAEkATwBOADoAKgAvAC8AKgAqAFIAZQB0AHUAcgBuAHMAIAB0AGgAZQAgAEcAUwBUACAAYwBvAG4AdABhAGkAbgBlAGQAIABpAG4AIABvAG4AZQAgAG8AcgAgAG0AbwByAGUAIABHAFMAVAAtAGkAbgBjAGwAdQBzAGkAdgBlACAAYQBtAG8AdQBuAHQAcwAqAC8AXABuAFwAbgBHAFMAVABFAHgAdAByAGEAYwB0ALsDIAA9ACAATABBAE0AQgBEAEEAKABcAG4ALwAvACAAIABQAGEAcgBhAG0AZQB0AGUAcgAgAEQAZQBjAGwAYQByAGEAdABpAG8AbgBcAG4AIAAgACAAIABbAEEAbQBvAHUAbgB0AHMAXQAsAFwAbgAgACAAIAAgAFsAUgBhAHQAZQ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UcAUwBUAEUAeAB0AHIAYQBjAHQAuwMoAEEAbQBvAHUAbgB0AHMALAAgAFsAUgBhAHQAZQBdACkAtgBcACIAIAAmAFwAbgAgACAAIAAgACAAIAAgACAAIAAgACAAIAAgACAAIAAgACAAIAAgACAAIAAgACAAIAAgACAAIAAgAFwAIgBEAEUAUwBDAFIASQBQAFQASQBPAE4AOgAgACAAIACSIVIAZQB0AHUAcgBuAHMAIAB0AGgAZQAgAEcAUwBUACAAYwBvAG4AdABhAGkAbgBlAGQAIABpAG4AIABvAG4AZQAgAG8AcgAgAG0AbwByAGUAIABHAFMAVAAtAGkAbgBjAGwAdQBzAGkAdgBlACAAYQBtAG8AdQBuAHQAcwAuALYAXAAiACAAJg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FwAbgAgACAAIAAgACAAIAAgACAAIAAgACAAIAAgACAAIAAgACAAIAAgACAAIAAgACAAIAAgACAAIAAgAFwAIgBBAG0AbwB1AG4AdABzACAAIAAgACAAIAAgACAAIACSISgAUgBlAHEAdQBpAHIAZQBkACkAIABPAG4AZQAgAG8AcgAgAG0AbwByAGUAIABHAFMAVAAtAGkAbgBjAGwAdQBzAGkAdgBlACAAYQBtAG8AdQBuAHQAcwAuALYAXAAiACAAJgBcAG4AIAAgACAAIAAgACAAIAAgACAAIAAgACAAIAAgACAAIAAgACAAIAAgACAAIAAgACAAIAAgACAAIABcACIAUgBhAHQAZQAgACAAIAAgACAAIAAgACAAIAAgACAAkiEoAE8AcAB0AGkAbwBuAGEAbAA6ACAARABlAGYAYQB1AGwAdAAgAD0AIAAwAC4AMQApACAARwBTAFQAIAByAGEAdABlACAAYQBzACAAYQAgAGYAcgBhAGMAdABpAG8AbgAuALYAXAAiACAAJgBcAG4AIAAgACAAIAAgACAAIAAgACAAIAAgACAAIAAgACAAIAAgACAAIAAgACAAIAAgACAAIAAgACAAIABcACIARQBYAEEATQBQAEwARQBTADoAIAAgACAAIAAgACAAkiG2AFwAIgAgACYAXABuACAAIAAgACAAIAAgACAAIAAgACAAIAAgACAAIAAgACAAIAAgACAAIAAgACAAIAAgACAAIAAgACAAXAAiAJIhRgBvAHIAbQB1AGwAYQAgACgAbgBhAGIAbABhAC4AZgAgAGkAcwAgAGEAcwBzAHUAbQBlAGQAIAB0AG8AIABiAGUAIAB0AGgAZQAgAG0AbwBkAHUAbABlACcAcwAgAG4AYQBtAGUAKQC2AFwAIgAgACYAXABuACAAIAAgACAAIAAgACAAIAAgACAAIAAgACAAIAAgACAAIAAgACAAIAAgACAAIAAgACAAIAAgACAAXAAiAJIhPQBuAGEAYgBsAGEALgBmAC4ARwBTAFQARQB4AHQAcgBhAGMAdAC7AygAMQAxADAAKQC2AFwAIgAgACYAXABuACAAIAAgACAAIAAgACAAIAAgACAAIAAgACAAIAAgACAAIAAgACAAIAAgACAAIAAgACAAIAAgACAAXAAiAJIhUgBlAHMAdQBsAHQAtgBcACIAIAAmAFwAbgAgACAAIAAgACAAIAAgACAAIAAgACAAIAAgACAAIAAgACAAIAAgACAAIAAgACAAIAAgACAAIAAgAFwAIgCSITEAMABcACIALABcAG4AIAAgACAAIAAgACAAIAAgACAAIAAgACAAIAAgACAAIAAgACAAIAAgACAAIAAgACAAIAAgACAAIABcACIAkiFcACIALAAgAFwAIgC2AFwAIgBcAG4AIAAgACAAIAAgACAAIAAgACAAIAAgACAAIAAgACAAIAAgACAAIAAgACAAIAAgACAAKQApACwAXABuACAAIAAgACAALwAvACAAIABDAGgAZQBjAGsAIABpAG4AcAB1AHQAcwAgAC0AIABPAG0AaQB0AHQAZQBkACAAcgBlAHEAdQBpAHIAZQBkACAAYQByAGcAdQBtAGUAbgB0AHMAXABuACAAIAAgACAAIAAgACAAIABIAGUAbABwAD8ALAAgACAAIAAgACAAIAAgACAAIAAgAEkAUwBPAE0ASQBUAFQARQBEACgAIABBAG0AbwB1AG4AdABzACkALABcAG4AIAAgACAAIAAvAC8AIAAgAFMAZQB0ACAAZABlAGYAYQB1AGwAdABzAFwAbgAgACAAIAAgACAAIAAgACAARwBTAFQAUgBhAHQAZQAsACAAIAAgACAAIAAgACAAIABJAEYAKAAgAEkAUwBPAE0ASQBUAFQARQBEACgAIABSAGEAdABlACkALAAgADAALgAxACwAIABSAGEAdABlACkALABcAG4AIAAgACAAIAAvAC8AIAAgAFAAcgBvAGMAZQBkAHUAcgBlAFwAbgAgACAAIAAgACAAIAAgACAAUgBlAHMAdQBsAHQALAAgACAAIAAgACAAIAAgACAAIABBAG0AbwB1AG4AdABzACAAKgAgAEcAUwBUAFIAYQB0AGUAIAAvACAAKAAxACAAKwAgAEcAUwBUAFIAYQB0AGUAKQAsACAAXABuACAAIAAgACAALwAvACAAIABSAGUAdAB1AHIAbgAgAFIAZQBzAHUAbAB0ACAAbwByACAASABlAGwAcABcAG4AIAAgACAAIAAgACAAIAAgAEMASABPAE8AUwBFACgAIABIAGUAbABwAD8AIAArACAAMQAsACAAUgBlAHMAdQBsAHQALAAgAEgAZQBsAHAAKQBcAG4AIAAgACAAIAApAFwAbgApADsAXABuACIAfQAsAHsAIgBwAGEAdABoACIAOgAiAC8AcAByAG8AagBlAGMAdABzAC8AbgBhAGIAbABhAC4AcgAiACwAIgB0AGUAeAB0ACIAOgAiAC8AKgAgACAATQBvAGQAdQBsAGUAIABDAG8AbgB0AGEAaQBuAHMAIABhACAAbABpAGIAcgBhAHIAeQAgAG8AZgAgAEYAaQBuAGEAbgBjAGkAYQBsACAAUgBhAHQAaQBvAHMAIAAqAC8AXABuAFwAbgAvACoAIAAgAEYAVQBOAEMAVABJAE8ATgAgAE4AQQBNAEUAOgAgACAAQQBiAG8AdQB0ALsDXABuACAAIAAgACAARABFAFMAQwBSAEkAUABUAEkATwBOADoAKgAvAC8AKgAqAEQAaQBzAHAAbABhAHkAcwAgAHQAaABpAHMAIABtAG8AZAB1AGwAZQAnAHMAIAByAGUAcABvAHMAaQB0AG8AcgB5ACAAVQBSAEwAIABhAG4AZAAgAGYAdQBuAGMAdABpAG8AbgAgAGwAaQBzAHQAKgAvAFwAbgBBAGIAbwB1AHQAuwMgAD0AIABUAFIASQBNACgAXABuACAAIAAgACAAVABFAFgAVABTAFAATABJAFQAKABcAG4AIAAgACAAIAAgACAAIAAgAFwAIgBBAGIAbwB1AHQAOgAgACAAIAAgACAAIAAgACAAIAAgACAAIAAgACAAIAAgACAAIAAgACAAIACSIUEAIABsAGkAYgByAGEAcgB5ACAAbwBmACAARgBpAG4AYQBuAGMAaQBhAGwAIABSAGEAdABpAG8AcwC2AFwAIgAgACYAXABuACAAIAAgACAAIAAgACAAIABcACIAVgBlAHIAcwBpAG8AbgA6ACAAIAAgACAAIAAgACAAIAAgACAAIAAgACAAIAAgACAAIAAgACAAkiExADgAIABBAHUAZwAgADIAMAAyADYAtgBcACIAIAAmAFwAbgAgACAAIAAgACAAIAAgACAAXAAiAFIAZQBwAG8AcwBpAHQAbwByAHkAOgAgACAAIAAgACAAIAAgACAAIAAgACAAIAAgACAAIAAgACAAIACSIWgAdAB0AHAAcwA6AC8ALwBnAGkAdABoAHUAYgAuAGMAbwBtAC8AcgB5AGEAbgBkAHUAZwB1AGkAZAAvAE4AYQBiAGwAYQAgALYAXAAiACAAJgBcAG4AIAAgACAAIAAgACAAIAAgAFwAIgBOAG8AdABlAHMAOgAgACAAIAAgACAAIAAgACAAIAAgACAAIAAgACAAIAAgACAAIAAgACAAIACSIVMAbwB1AHIAYwBlAHMAIABpAG4AYwBsAHUAZABlACAASQBuAHYAZQBzAHQAbwBwAGUAZABpAGEALgBjAG8AbQAsACAAQwBvAHIAcABvAHIAYQB0AGUAIABGAGkAbgBhAG4AYwBlACAAYQBuAGQAIABXAGEAbABsAFMAdAByAGUAZQB0AFAAcgBlAHAALgBjAG8AbQAuALYAXAAiACAAJgBcAG4AIAAgACAAIAAgACAAIAAgACAAIAAgACAAIAAgACAAIAAgACAAIAAgACAAIAAgACAAIAAgACAAIAAgACAAIAAgACAAIAAgAFwAIgCSIUMAbwBwAHkAcgBpAGcAaAB0ACAAYQBwAHAAbABpAGUAcwAgAHQAbwAgAEwAQQBNAEIARABBACAAYwBvAGQAaQBuAGcAtgBcACIAIAAmAFwAbgAgACAAIAAgACAAIAAgACAAXAAiAJIhtgBcACIAIAAmACAAXABuACAAIAAgACAAIAAgACAAIABcACIARgB1AG4AYwB0AGkAbwBuACAAIAAgACAAIAAgACAAIAAgACAAIAAgACAAIAAgACAAIAAgACAAkiFEAGUAcwBjAHIAaQBwAHQAaQBvAG4AtgBcACIAIAAmACAAXABuACAAIAAgACAAIAAgACAAIABcACIAQQBiAG8AdQB0ALsDIAAgACAAIAAgACAAIAAgACAAIAAgACAAIAAgACAAIAAgACAAIAAgACAAkiFQAHIAbwBkAHUAYwBlAHMAIAB0AGgAaQBzACAAdABhAGIAbABlALYAXAAiACAAJgBcAG4AIAAgACAAIAAgACAAIAAgAFwAIgCSIbYAXAAiACAAJgAgAFwAbgAgACAAIAAgACAAIAAgACAAXAAiAEwAaQBxAHUAaQBkAGkAdAB5ACAAUgBhAHQAaQBvAHMAkiG2AFwAIgAgACYAXABuACAAIAAgACAAIAAgACAAIABcACIAQwB1AHIAcgBlAG4AdABSAGEAdABpAG8AuwMgACAAIAAgACAAIAAgACAAIAAgACAAIAAgACAAkiFNAGUAYQBzAHUAcgBlAHMAIABhAGIAaQBsAGkAdAB5ACAAdABvACAAcABhAHkAIABzAGgAbwByAHQALQB0AGUAcgBtACAAbwBiAGwAaQBnAGEAdABpAG8AbgBzALYAXAAiACAAJgBcAG4AIAAgACAAIAAgACAAIAAgAFwAIgBRAHUAaQBjAGsAUgBhAHQAaQBvALsDIAAgACAAIAAgACAAIAAgACAAIAAgACAAIAAgACAAIACSIU0AZQBhAHMAdQByAGUAcwAgAGEAYgBpAGwAaQB0AHkAIAB0AG8AIABtAGUAZQB0ACAAcwBoAG8AcgB0AC0AdABlAHIAbQAgAG8AYgBsAGkAZwBhAHQAaQBvAG4AcwC2AFwAIgAgACYAXABuACAAIAAgACAAIAAgACAAIABcACIAQwBhAHMAaABSAGEAdABpAG8AuwMgACAAIAAgACAAIAAgACAAIAAgACAAIAAgACAAIAAgACAAkiFFAHYAYQBsAHUAYQB0AGUAcwAgAGEAYgBpAGwAaQB0AHkAIAB0AG8AIAByAGUAcABhAHkAIABzAGgAbwByAHQALQB0AGUAcgBtACAAZABlAGIAdAAgAHcALwBjAGEAcwBoACAAbwByACAAbgBlAGEAcgAtAGMAYQBzAGgAIAByAGUAcwBvAHUAcgBjAGUAcwC2AFwAIgAgACYAXABuACAAIAAgACAAIAAgACAAIABcACIATwBwAGUAcgBhAHQAaQBuAGcAQwBhAHMAaABGAGwAbwB3AFIAYQB0AGkAbwC7AyAAIAAgACAAkiFNAGUAYQBzAHUAcgBlAHMAIABoAG8AdwAgAHIAZQBhAGQAaQBsAHkAIABjAHUAcgByAGUAbgB0ACAAbABpAGEAYgBpAGwAaQB0AGkAZQBzACAAYQByAGUAIABjAG8AdgBlAHIAZQBkACAAYgB5ACAAYwBhAHMAaAAgAGYAbABvAHcAcwAgAGcAZQBuAGUAcgBhAHQAZQBkACAAZgByAG8AbQAgAG8AcABlAHIAYQB0AGkAbwBuAHMALgAgALYAXAAiACAAJgBcAG4AIAAgACAAIAAgACAAIAAgAFwAIgBSAGUAYwBlAGkAdgBhAGIAbABlAHMAVAB1AHIAbgBvAHYAZQByAFIAYQB0AGkAbwC7AyAAIACSIUkAbgBkAGkAYwBhAHQAZQBzACAAZQBmAGYAZQBjAHQAaQB2AGUAbgBlAHMAcwAgAGkAbgAgAGMAbwBsAGwAZQBjAHQAaQBuAGcAIABvAHUAdABzAHQAYQBuAGQAaQBuAGcAIABiAGEAbABhAG4AYwBlAHMAIABmAHIAbwBtACAAYwBsAGkAZQBuAHQAcwAgAGEAbgBkACAAbQBhAG4AYQBnAGkAbgBnACAAbABpAG4AZQAgAG8AZgAgAGMAcgBlAGQAaQB0ACAAcAByAG8AYwBlAHMAcwC2AFwAIgAgACYAXABuACAAIAAgACAAIAAgACAAIABcACIASQBuAHYAZQBuAHQAbwByAHkAVAB1AHIAbgBvAHYAZQByAFIAYQB0AGkAbwC7AyAAIAAgACAAkiFTAGgAbwB3AHMAIABoAG8AdwAgAG0AYQBuAHkAIAB0AGkAbQBlAHMAIABhACAAYwBvAG0AcABhAG4AeQAgAHQAdQByAG4AZQBkACAAbwB2AGUAcgAgAGkAdABzACAAaQBuAHYAZQBuAHQAbwByAHkAIAByAGUAbABhAHQAaQB2AGUAIAAgAHQAbwAgAGkAdABzACAAYwBvAHMAdAAgAG8AZgAgAGcAbwBvAGQAcwAgAHMAbwBsAGQAtgBcACIAIAAmAFwAbgAgACAAIAAgACAAIAAgACAAXAAiAFcAbwByAGsAaQBuAGcAQwBhAHAAaQB0AGEAbABUAHUAcgBuAG8AdgBlAHIAUgBhAHQAaQBvALsDkiFXAG8AcgBrAGkAbgBnACAAQwBhAHAAaQB0AGEAbAAgAFQAdQByAG4AbwB2AGUAcgAgAFIAYQB0AGkAbwAgAG0AZQBhAHMAdQByAGUAcwAgAGgAbwB3ACAAZQBmAGYAaQBjAGkAZQBuAHQAbAB5ACAAYQAgAGMAbwBtAHAAYQBuAHkAIABpAHMAIAB1AHMAaQBuAGcAIABpAHQAcwAgAHcAbwByAGsAaQBuAGcAIABjAGEAcABpAHQAYQBsACAAdABvACAAcwB1AHAAcABvAHIAdAAgAHMAYQBsAGUAcwAgAGEAbgBkACAAZwByAG8AdwB0AGgAtgBcACIAIAAmAFwAbgAgACAAIAAgACAAIAAgACAAXAAiAJIhtgBcACIAIAAmACAAXABuACAAIAAgACAAIAAgACAAIABcACIATABlAHYAZQByAGEAZwBlACAAUgBhAHQAaQBvAHMAkiG2AFwAIgAgACYAXABuACAAIAAgACAAIAAgACAAIABcACIARABlAGIAdABSAGEAdABpAG8AuwMgACAAIAAgACAAIAAgACAAIAAgACAAIAAgACAAIAAgACAAkiFNAGUAYQBzAHUAcgBlAHMAIAB0AGgAZQAgAGUAeAB0AGUAbgB0ACAAbwBmACAAYQAgAGMAbwBtAHAAYQBuAHkAJwBzACAAbABlAHYAZQByAGEAZwBlALYAXAAiACAAJgBcAG4AIAAgACAAIAAgACAAIAAgAFwAIgBEAFMAQwBSALsDIAAgACAAIAAgACAAIAAgACAAIAAgACAAIAAgACAAIAAgACAAIAAgACAAIACSIUQAZQBiAHQAIABzAGUAcgB2AGkAYwBlACAAYwBvAHYAZQByAGEAZwBlACAAUgBhAHQAaQBvACAAbQBlAGEAcwB1AHIAZQBzACAAYQAgAGYAaQByAG0AGSBzACAAYQB2AGEAaQBsAGEAYgBsAGUAIABjAGEAcwBoACAAZgBsAG8AdwAgAHQAbwAgAHAAYQB5ACAAaQB0AHMAIABjAHUAcgByAGUAbgB0ACAAZABlAGIAdAAgAG8AYgBsAGkAZwBhAHQAaQBvAG4AcwC2AFwAIgAgACYAXABuACAAIAAgACAAIAAgACAAIABcACIARABlAGIAdABUAG8AQwBhAHAAaQB0AGEAbABSAGEAdABpAG8AuwMgACAAIAAgACAAIAAgACAAkiFHAGkAdgBlAHMAIABhAG4AYQBsAHkAcwB0AHMAIABhAG4AZAAgAGkAbgB2AGUAcwB0AG8AcgBzACAAYQAgAGIAZQB0AHQAZQByACAAaQBkAGUAYQAgAG8AZgAgAGEAIABjAG8AbQBwAGEAbgB5ACcAcwAgAGYAaQBuAGEAbgBjAGkAYQBsACAAcwB0AHIAdQBjAHQAdQByAGUAIABhAG4AZAAgAHcAaABlAHQAaABlAHIAIABvAHIAIABuAG8AdAAgAHQAaABlACAAYwBvAG0AcABhAG4AeQAgAGkAcwAgAGEAIABzAHUAaQB0AGEAYgBsAGUAIABpAG4AdgBlAHMAdABtAGUAbgB0ALYAXAAiACAAJgBcAG4AIAAgACAAIAAgACAAIAAgAFwAIgBFAHEAdQBpAHQAeQBNAHUAbAB0AGkAcABsAGkAZQByALsDIAAgACAAIAAgACAAIAAgACAAIACSIU0AZQBhAHMAdQByAGUAcwAgAHQAaABlACAAcABvAHIAdABpAG8AbgAgAG8AZgAgAGEAIABjAG8AbQBwAGEAbgB5ABkgcwAgAGEAcwBzAGUAdABzACAAZgBpAG4AYQBuAGMAZQBkACAAYgB5ACAAcwBoAGEAcgBlAGgAbwBsAGQAZQByAHMAJwBlAHEAdQBpAHQAeQAgAHIAYQB0AGgAZQByACAAdABoAGEAbgAgAGIAeQAgAGQAZQBiAHQAtgBcACIAIAAmAFwAbgAgACAAIAAgACAAIAAgACAAXAAiAJIhtgBcACIAIAAmACAAXABuACAAIAAgACAAIAAgACAAIABcACIAUwBvAGwAdgBlAG4AYwB5ACAAUgBhAHQAaQBvAHMAkiG2AFwAIgAgACYAXABuACAAIAAgACAAIAAgACAAIABcACIARABlAGIAdABUAG8ARQBxAHUAaQB0AHkAUgBhAHQAaQBvALsDIAAgACAAIAAgACAAIAAgACAAkiFNAGUAYQBzAHUAcgBlAHMAIAB0AGgAZQAgAGQAZQBnAHIAZQBlACAAdABvACAAdwBoAGkAYwBoACAAYQAgAGMAbwBtAHAAYQBuAHkAIABpAHMAIABmAGkAbgBhAG4AYwBpAG4AZwAgAG8AcABlAHIAYQB0AGkAbwBuAHMAIAB3AGkAdABoACAAZABlAGIAdAAgAHIAYQB0AGgAZQByACAAdABoAGEAbgAgAGkAdABzACAAbwB3AG4AIAByAGUAcwBvAHUAcgBjAGUAcwAuALYAXAAiACAAJgBcAG4AIAAgACAAIAAgACAAIAAgAFwAIgBEAGUAYgB0AFQAbwBBAHMAcwBlAHQAUgBhAHQAaQBvALsDIAAgACAAIAAgACAAIAAgACAAIACSIUEAbgBhAGwAeQBzAHQAcwAgAGMAYQBuACAAYwBvAG0AcABhAHIAZQAgAG8AbgBlACAAYwBvAG0AcABhAG4AeQAnAHMAIABsAGUAdgBlAHIAYQBnAGUAIAB3AGkAdABoACAAdABoAGEAdAAgAG8AZgAgAG8AdABoAGUAcgAgAGMAbwBtAHAAYQBuAGkAZQBzACAAaQBuACAAdABoAGUAIABzAGEAbQBlACAAaQBuAGQAdQBzAHQAcgB5AC4AtgBcACIAIAAmAFwAbgAgACAAIAAgACAAIAAgACAAXAAiAEkAbgB0AGUAcgBlAHMAdABDAG8AdgBlAHIAYQBnAGUAUgBhAHQAaQBvALsDIAAgACAAIAAgAJIhRABlAHQAZQByAG0AaQBuAGUAcwAgAGgAbwB3ACAAZQBhAHMAaQBsAHkAIABhACAAYwBvAG0AcABhAG4AeQAgAGMAYQBuACAAcABhAHkAIABpAG4AdABlAHIAZQBzAHQAIABvAG4AIABpAHQAcwAgAG8AdQB0AHMAdABhAG4AZABpAG4AZwAgAGQAZQBiAHQAtgBcACIAIAAmAFwAbgAgACAAIAAgACAAIAAgACAAXAAiAEUAcQB1AGkAdAB5AFIAYQB0AGkAbwC7AyAAIAAgACAAIAAgACAAIAAgACAAIAAgACAAIAAgAJIhTQBlAGEAcwB1AHIAZQBzACAAdABoAGUAIABsAG8AbgBnAC0AdABlAHIAbQAgAHMAbwBsAHYAZQBuAGMAeQAgAG8AZgAgAGEAIABjAG8AbQBwAGEAbgB5ACAAYgB5ACAAYwBvAG0AcABhAHIAaQBuAGcAIABpAHQAcwAgAHMAaABhAHIAZQBoAG8AbABkAGUAcgBzABkgIABlAHEAdQBpAHQAeQAgAHQAbwAgAGkAdABzACAAdABvAHQAYQBsACAAYQBzAHMAZQB0AHMAtgBcACIAIAAmAFwAbgAgACAAIAAgACAAIAAgACAAXAAiAJIhtgBcACIAIAAmACAAXABuACAAIAAgACAAIAAgACAAIABcACIARQBmAGYAaQBjAGkAZQBuAGMAeQAgAFIAYQB0AGkAbwBzAJIhtgBcACIAIAAmAFwAbgAgACAAIAAgACAAIAAgACAAXAAiAEEAcwBzAGUAdABUAHUAcgBuAG8AdgBlAHIAUgBhAHQAaQBvALsDIAAgACAAIAAgACAAIAAgAJIhTQBlAGEAcwB1AHIAZQBzACAAdABoAGUAIAB2AGEAbAB1AGUAIABvAGYAIABhACAAYwBvAG0AcABhAG4AeQAnAHMAIABzAGEAbABlAHMAIABvAHIAIAByAGUAdgBlAG4AdQBlAHMAIAByAGUAbABhAHQAaQB2AGUAIAB0AG8AIAB0AGgAZQAgAHYAYQBsAHUAZQAgAG8AZgAgAGkAdABzACAAYQBzAHMAZQB0AHMALgC2AFwAIgAgACYAXABuACAAIAAgACAAIAAgACAAIABcACIARABTAEkAUgBhAHQAaQBvALsDIAAgACAAIAAgACAAIAAgACAAIAAgACAAIAAgACAAIAAgACAAkiFEAGEAeQBzACAAUwBhAGwAZQBzACAAaQBuACAASQBuAHYAZQBuAHQAbwByAHkAIABSAGEAdABpAG8AIAAoAGEAawBhACAAQQB2AGUAcgBhAGcAZQAgAGEAZwBlACAAbwBmACAAaQBuAHYAZQBuAHQAbwByAHkAIABpAG4AZABpAGMAYQB0AGUAcwAgAHQAaABlACAAYQB2AGUAcgBhAGcAZQAgAHQAaQBtAGUAIABpAG4AIABkAGEAeQBzACAAdABoAGEAdAAgAGEAIABjAG8AbQBwAGEAbgB5ACAAdABhAGsAZQBzACAAdABvACAAdAB1AHIAbgAgAGkAdABzACAAaQBuAHYAZQBuAHQAbwByAHkAtgBcACIAIAAmAFwAbgAgACAAIAAgACAAIAAgACAAXAAiAE8AcABlAHIAYQB0AGkAbgBnAFIAYQB0AGkAbwC7AyAAIAAgACAAIAAgACAAIAAgACAAIAAgAJIhUwBoAG8AdwBzACAAaABvAHcAIABlAGYAZgBpAGMAaQBlAG4AdAAgAG0AYQBuAGEAZwBlAG0AZQBuAHQAIABpAHMAIABhAHQAIABrAGUAZQBwAGkAbgBnACAAYwBvAHMAdABzACAAbABvAHcAIAB3AGgAaQBsAGUAIABnAGUAbgBlAHIAYQB0AGkAbgBnACAAcgBlAHYAZQBuAHUAZQC2AFwAIgAgACYAXABuACAAIAAgACAAIAAgACAAIABcACIAkiG2AFwAIgAgACYAIABcAG4AIAAgACAAIAAgACAAIAAgAFwAIgBQAHIAbwBmAGkAdABhAGIAaQBsAGkAdAB5ACAATQBhAHIAZwBpAG4AcwAgACYAIABSAGEAdABpAG8AcwCSIbYAXAAiACAAJgBcAG4AIAAgACAAIAAgACAAIAAgAFwAIgBHAHIAbwBzAHMATQBhAHIAZwBpAG4AuwMgACAAIAAgACAAIAAgACAAIAAgACAAIAAgACAAIACSIVMAaABvAHcAcwAgAGgAbwB3ACAAbQB1AGMAaAAgAHAAcgBvAGYAaQB0ACAAYQAgAGMAbwBtAHAAYQBuAHkAIABtAGEAawBlAHMAIABhAGYAdABlAHIAIABwAGEAeQBpAG4AZwAgAG8AZgBmACAAaQB0AHMAIABDAG8AcwB0ACAAbwBmACAARwBvAG8AZABzACAAUwBvAGwAZAC2AFwAIgAgACYAXABuACAAIAAgACAAIAAgACAAIABcACIARQBCAEkAVABEAEEATQBhAHIAZwBpAG4AuwMgACAAIAAgACAAIAAgACAAIAAgACAAIAAgACAAkiFNAGUAYQBzAHUAcgBlAHMAIABhACAAYwBvAG0AcABhAG4AeQAnAHMAIABvAHAAZQByAGEAdABpAG4AZwAgAHAAcgBvAGYAaQB0ACAAYQBzACAAYQAgAHAAZQByAGMAZQBuAHQAYQBnAGUAIABvAGYAIABpAHQAcwAgAHIAZQB2AGUAbgB1AGUAtgBcACIAIAAmAFwAbgAgACAAIAAgACAAIAAgACAAXAAiAE8AcABlAHIAYQB0AGkAbgBnAE0AYQByAGcAaQBuALsDIAAgACAAIAAgACAAIAAgACAAIAAgAJIhTQBlAGEAcwB1AHIAZQBzACAAaABvAHcAIABtAHUAYwBoACAAcAByAG8AZgBpAHQAIABhACAAYwBvAG0AcABhAG4AeQAgAG0AYQBrAGUAcwAgAG8AbgAgAGEAIABkAG8AbABsAGEAcgAgAG8AZgAgAHMAYQBsAGUAcwAgAGEAZgB0AGUAcgAgAHAAYQB5AGkAbgBnACAAZgBvAHIAIAB2AGEAcgBpAGEAYgBsAGUAIABjAG8AcwB0AHMAIABvAGYAIABwAHIAbwBkAHUAYwB0AGkAbwBuACwAIABzAHUAYwBoACAAYQBzACAAdwBhAGcAZQBzACAAYQBuAGQAIAByAGEAdwAgAG0AYQB0AGUAcgBpAGEAbABzACwAIABiAHUAdAAgAGIAZQBmAG8AcgBlACAAcABhAHkAaQBuAGcAIABpAG4AdABlAHIAZQBzAHQAIABvAHIAIAB0AGEAeAC2AFwAIgAgACYAXABuACAAIAAgACAAIAAgACAAIABcACIAUAByAGUAdABhAHgATQBhAHIAZwBpAG4AuwMgACAAIAAgACAAIAAgACAAIAAgACAAIAAgACAAkiFNAGUAYQBzAHUAcgBlAHMAIAB0AGgAZQAgAG8AcABlAHIAYQB0AGkAbgBnACAAZQBmAGYAaQBjAGkAZQBuAGMAeQAgAG8AZgAgAGEAIABjAG8AbQBwAGEAbgB5ACAAtgBcACIAIAAmAFwAbgAgACAAIAAgACAAIAAgACAAXAAiAE4AZQB0AFAAcgBvAGYAaQB0AE0AYQByAGcAaQBuALsDIAAgACAAIAAgACAAIAAgACAAIAAgAJIhTQBlAGEAcwB1AHIAZQBzACAAaABvAHcAIABtAHUAYwBoACAAbgBlAHQAIABpAG4AYwBvAG0AZQAgAG8AcgAgAHAAcgBvAGYAaQB0ACAAYQAgAGMAbwBtAHAAYQBuAHkAIABnAGUAbgBlAHIAYQB0AGUAcwAgAGEAcwAgAGEAIABwAGUAcgBjAGUAbgB0AGEAZwBlACAAbwBmACAAaQB0AHMAIAByAGUAdgBlAG4AdQBlAC4AtgBcACIAIAAmAFwAbgAgACAAIAAgACAAIAAgACAAXAAiAEMAYQBzAGgARgBsAG8AdwBNAGEAcgBnAGkAbgC7AyAAIAAgACAAIAAgACAAIAAgACAAIAAgAJIhQwBhAHMAaAAgAEYAbABvAHcAIABNAGEAcgBnAGkAbgAgAGkAcwAgAGEAIAB0AHIAdQBzAHQAZQBkACAAbQBlAHQAcgBpAGMAIABvAGYAIABhACAAYwBvAG0AcABhAG4AeQAZIHMAIABwAHIAbwBmAGkAdABhAGIAaQBsAGkAdAB5ACAAYQBuAGQAIABlAGYAZgBpAGMAaQBlAG4AYwB5ACAAYQBuAGQAIABpAHQAcwAgAGUAYQByAG4AaQBuAGcAcwAgAHEAdQBhAGwAaQB0AHkAtgBcACIAIAAmAFwAbgAgACAAIAAgACAAIAAgACAAXAAiAFIATwBBALsDIAAgACAAIAAgACAAIAAgACAAIAAgACAAIAAgACAAIAAgACAAIAAgACAAIAAgAJIhKgBSAGUAdAB1AHIAbgAgAG8AbgAgAEEAcwBzAGUAdABzACAASQBuAGQAaQBjAGEAdABlAHMAIABoAG8AdwAgAHAAcgBvAGYAaQB0AGEAYgBsAGUAIABhACAAYwBvAG0AcABhAG4AeQAgAGkAcwAgAGkAbgAgAHIAZQBsAGEAdABpAG8AbgAgAHQAbwAgAGkAdABzACAAdABvAHQAYQBsACAAYQBzAHMAZQB0AHMAtgBcACIAIAAmAFwAbgAgACAAIAAgACAAIAAgACAAXAAiAFIATwBFALsDIAAgACAAIAAgACAAIAAgACAAIAAgACAAIAAgACAAIAAgACAAIAAgACAAIAAgAJIhKgBSAGUAdAB1AHIAbgAgAG8AbgAgAGUAcQB1AGkAdAB5ACAAaQBzACAAYQAgAG0AZQBhAHMAdQByAGUAIABvAGYAIABmAGkAbgBhAG4AYwBpAGEAbAAgAHAAZQByAGYAbwByAG0AYQBuAGMAZQAgALYAXAAiACAAJgBcAG4AIAAgACAAIAAgACAAIAAgAFwAIgBSAE8ASQC7AyAAIAAgACAAIAAgACAAIAAgACAAIAAgACAAIAAgACAAIAAgACAAIAAgACAAIACSIVIAZQB0AHUAcgBuACAAbwBuACAASQBuAHYAZQBzAHQAbQBlAG4AdAAgAHIAYQB0AGkAbwAgACAAbQBlAGEAcwB1AHIAZQBzACAAdABoAGUAIABwAHIAbwBmAGkAdABhAGIAaQBsAGkAdAB5ACAAbwBmACAAYQBuACAAaQBuAHYAZQBzAHQAbQBlAG4AdAAgAGIAeQAgAGMAbwBtAHAAYQByAGkAbgBnACAAdABoAGUAIABnAGEAaQBuACAAbwByACAAbABvAHMAcwAgAHQAbwAgAGkAdABzACAAYwBvAHMAdAC2AFwAIgAgACYAXABuACAAIAAgACAAIAAgACAAIABcACIAUgBPAEkAQwC7AyAAIAAgACAAIAAgACAAIAAgACAAIAAgACAAIAAgACAAIAAgACAAIAAgACAAkiFSAGUAdAB1AHIAbgAgAG8AbgAgAEkAbgB2AGUAcwB0AGUAZAAgAGMAYQBwAGkAdABhAGwAIAAgAGEAcwBzAGUAcwBzAGUAcwAgAGEAIABjAG8AbQBwAGEAbgB5ABkgcwAgAGUAZgBmAGkAYwBpAGUAbgBjAHkAIABpAG4AIABhAGwAbABvAGMAYQB0AGkAbgBnACAAYwBhAHAAaQB0AGEAbAAgAHQAbwAgAHAAcgBvAGYAaQB0AGEAYgBsAGUAIABpAG4AdgBlAHMAdABtAGUAbgB0AHMAtgBcACIAIAAmAFwAbgAgACAAIAAgACAAIAAgACAAXAAiAJIhtgBcACIAIAAmACAAXABuACAAIAAgACAAIAAgACAAIABcACIATQBhAHIAawBlAHQAIABWAGEAbAB1AGUAIABSAGEAdABpAG8AcwCSIbYAXAAiACAAJgBcAG4AIAAgACAAIAAgACAAIAAgAFwAIgBQAHIAaQBjAGUARQBhAHIAbgBpAG4AZwBzAFIAYQB0AGkAbwC7AyAAIAAgACAAIAAgACAAIACSISoAUAByAGkAYwBlAC0AZQBhAHIAbgBpAG4AZwBzACAAUgBhAHQAaQBvACAAbQBlAGEAcwB1AHIAZQBzACAAYQAgAGMAbwBtAHAAYQBuAHkAJwBzACAAcwBoAGEAcgBlACAAcAByAGkAYwBlACAAcgBlAGwAYQB0AGkAdgBlACAAdABvACAAaQB0AHMAIABlAGEAcgBuAGkAbgBnAHMAIABwAGUAcgAgAHMAaABhAHIAZQC2AFwAIgAgACYAXABuACAAIAAgACAAIAAgACAAIABcACIAUAByAGkAYwBlAFQAbwBCAG8AbwBrAFIAYQB0AGkAbwC7AyAAIAAgACAAIAAgACAAIAAgACAAkiFNAGEAbgB5ACAAaQBuAHYAZQBzAHQAbwByAHMAIAB1AHMAZQAgAHQAaABlACAAcAByAGkAYwBlAC0AdABvAC0AYgBvAG8AawAgAHIAYQB0AGkAbwAgACgAUAAvAEIAIAByAGEAdABpAG8AKQAgAHQAbwAgAGMAbwBtAHAAYQByAGUAIABhACAAZgBpAHIAbQAnAHMAIABtAGEAcgBrAGUAdAAgAGMAYQBwAGkAdABhAGwAaQBzAGEAdABpAG8AbgAgAHQAbwAgAGkAdABzACAAYgBvAG8AawAgAHYAYQBsAHUAZQAgAGEAbgBkACAAbABvAGMAYQB0AGUAIAB1AG4AZABlAHIAdgBhAGwAdQBlAGQAIABjAG8AbQBwAGEAbgBpAGUAcwAuALYAXAAiACAAJgBcAG4AIAAgACAAIAAgACAAIAAgAFwAIgBQAHIAaQBjAGUAVABvAFMAYQBsAGUAcwBSAGEAdABpAG8AuwMgACAAIAAgACAAIAAgACAAIACSIVAAcgBpAGMAZQAgAHQAbwAgAFMAYQBsAGUAcwAgACgAUAAvAFMAKQAgAFIAYQB0AGkAbwAgAGkAcwAgAGEAbgAgAGkAbgBkAGkAYwBhAHQAbwByACAAbwBmACAAdABoAGUAIAB2AGEAbAB1AGUAIAB0AGgAYQB0ACAAZgBpAG4AYQBuAGMAaQBhAGwAIABtAGEAcgBrAGUAdABzACAAaABhAHYAZQAgAHAAbABhAGMAZQBkACAAbwBuACAAZQBhAGMAaAAgAGQAbwBsAGwAYQByACAAbwBmACAAYQAgAGMAbwBtAHAAYQBuAHkAJwBzACAAcwBhAGwAZQBzACAAbwByACAAcgBlAHYAZQBuAHUAZQBzALYAXAAiACAAJgBcAG4AIAAgACAAIAAgACAAIAAgAFwAIgBQAHIAaQBjAGUAVABvAEMAYQBzAGgAUgBhAHQAaQBvALsDIAAgACAAIAAgACAAIAAgACAAIACSIVAAcgBpAGMAZQAgAHQAbwAgAEMAYQBzAGgAIAAoAFAALwBDAEYAKQAgAFIAYQB0AGkAbwAgAGkAcwAgAGEAIABzAHQAbwBjAGsAIAB2AGEAbAB1AGEAdABpAG8AbgAgAGkAbgBkAGkAYwBhAHQAbwByACAAbwByACAAbQB1AGwAdABpAHAAbABlACAAdABoAGEAdAAgAG0AZQBhAHMAdQByAGUAcwAgAHQAaABlACAAdgBhAGwAdQBlACAAbwBmACAAYQAgAHMAdABvAGMAawAZIHMAIABwAHIAaQBjAGUAIAByAGUAbABhAHQAaQB2AGUAIAB0AG8AIABpAHQAcwAgAG8AcABlAHIAYQB0AGkAbgBnACAAYwBhAHMAaAAgAGYAbABvAHcAIABwAGUAcgAgAHMAaABhAHIAZQC2AFwAIgAgACYAXABuACAAIAAgACAAIAAgACAAIABcACIAQgBWAFAAUwC7AyAAIAAgACAAIAAgACAAIAAgACAAIAAgACAAIAAgACAAIAAgACAAIAAgACAAkiFCAG8AbwBrACAAdgBhAGwAdQBlACAAcABlAHIAIABzAGgAYQByAGUAIAByAGEAdABpAG8AIABpAHMAIABhAG4AIABpAG4AZABpAGMAYQB0AG8AcgAgAG8AZgAgAHQAaABlACAAdgBhAGwAdQBlACAAbwBmACAAYQAgAGMAbwBtAHAAYQBuAHkAGSBzACAAcwB0AG8AYwBrALYAXAAiACAAJgBcAG4AIAAgACAAIAAgACAAIAAgAFwAIgBDAEEAUABFAFIAYQB0AGkAbwC7AyAAIAAgACAAIAAgACAAIAAgACAAIAAgACAAIAAgACAAIACSIU0AZQBhAHMAdQByAGUAIAB0AGgAYQB0ACAAdQBzAGUAcwAgAHIAZQBhAGwAIABlAGEAcgBuAGkAbgBnAHMAIABwAGUAcgAgAHMAaABhAHIAZQAgACgARQBQAFMAKQAgAG8AdgBlAHIAIABhACAAMQAwAC0AeQBlAGEAcgAgAHAAZQByAGkAbwBkACAAdABvACAAcwBtAG8AbwB0AGgAIABvAHUAdAAgAGYAbAB1AGMAdAB1AGEAdABpAG8AbgBzACAAaQBuACAAYwBvAHIAcABvAHIAYQB0AGUAIABwAHIAbwBmAGkAdABzACAAdABoAGEAdAAgAG8AYwBjAHUAcgAgAG8AdgBlAHIAIABkAGkAZgBmAGUAcgBlAG4AdAAgAHAAZQByAGkAbwBkAHMAIABvAGYAIABhACAAYgB1AHMAaQBuAGUAcwBzACAAYwB5AGMAbABlACAAKABhAGsAYQAgAFMAaABpAGwAbABlAHIAIABQAEUAIABSAGEAdABpAG8AKQC2AFwAIgAgACYAXABuACAAIAAgACAAIAAgACAAIABcACIARABpAHYAaQBkAGUAbgBkAFAAYQB5AG8AdQB0AFIAYQB0AGkAbwC7AyAAIAAgACAAIAAgACAAkiFEAGkAdgBpAGQAZQBuAGQAIABQAGEAeQBvAHUAdAAgAFIAYQB0AGkAbwAgAGkAcwAgAHQAaABlACAAcABlAHIAYwBlAG4AdABhAGcAZQAgAG8AZgAgAGUAYQByAG4AaQBuAGcAcwAgAHAAYQBpAGQAIAB0AG8AIABzAGgAYQByAGUAaABvAGwAZABlAHIAcwAgAHYAaQBhACAAZABpAHYAaQBkAGUAbgBkAHMAtgBcACIAIAAmAFwAbgAgACAAIAAgACAAIAAgACAAXAAiAEQAaQB2AGkAZABlAG4AZABZAGkAZQBsAGQAUgBhAHQAaQBvALsDIAAgACAAIAAgACAAIAAgAJIhRABpAHYAaQBkAGUAbgBkACAAeQBpAGUAbABkACAAcgBhAHQAaQBvACAAcwBoAG8AdwBzACAAaABvAHcAIABtAHUAYwBoACAAYQAgAGMAbwBtAHAAYQBuAHkAIABwAGEAeQBzACAAbwB1AHQAIABpAG4AIABkAGkAdgBpAGQAZQBuAGQAcwC2AFwAIgAgACYAXABuACAAIAAgACAAIAAgACAAIABcACIARQBQAFMAuwMgACAAIAAgACAAIAAgACAAIAAgACAAIAAgACAAIAAgACAAIAAgACAAIAAgACAAkiFFAGEAcgBuAGkAbgBnAHMAIABwAGUAcgAgAHMAaABhAHIAZQAgAG0AZQBhAHMAdQByAGUAcwAgAHAAcgBvAGYAaQB0AGEAYgBpAGwAaQB0AHkAIABpAG4AZABpAGMAYQB0AGkAbgBnACAAaABvAHcAIABtAHUAYwBoACAAcAByAG8AZgBpAHQAIABlAGEAYwBoACAAbwB1AHQAcwB0AGEAbgBkAGkAbgBnACAAcwBoAGEAcgBlACAAbwBmACAAYwBvAG0AbQBvAG4AIABzAHQAbwBjAGsAIABoAGEAcwAgAGUAYQByAG4AZQBkACAAtgBcACIAIAAmAFwAbgAgACAAIAAgACAAIAAgACAAXAAiAFIAZQB0AGUAbgB0AGkAbwBuAFIAYQB0AGkAbwC7AyAAIAAgACAAIAAgACAAIAAgACAAIAAgAJIhUgBlAHQAZQBuAHQAaQBvAG4AIABSAGEAdABpAG8AIABpAHMAIAB0AGgAZQAgAHAAcgBvAHAAbwByAHQAaQBvAG4AIABvAGYAIABlAGEAcgBuAGkAbgBnAHMAIABrAGUAcAB0ACAAYgBhAGMAawAgAGkAbgAgAHQAaABlACAAYgB1AHMAaQBuAGUAcwBzACAAYQBzACAAcgBlAHQAYQBpAG4AZQBkACAAZQBhAHIAbgBpAG4AZwBzALYAXAAiACAAJgBcAG4AIAAgACAAIAAgACAAIAAgAFwAIgCSIbYAXAAiACAAJgAgAFwAbgAgACAAIAAgACAAIAAgACAAXAAiACoAIAAgACAAIAAgACAAIAAgACAAIAAgACAAIAAgACAAIAAgACAAIAAgACAAIAAgACAAIAAgAJIhVABoAGUAcwBlACAAYQByAGUAIABjAG8AbgBzAGkAZABlAHIAZQBkACAAJwBLAGUAeQAgAFIAYQB0AGkAbwBzACcAtgBcACIAIAAmAFwAbgAgACAAIAAgACAAIAAgACAAXAAiAJIhXAAiACwAIABcACIAkiFcACIALAAgAFwAIgC2AFwAIgBcAG4AIAAgACAAIAApAFwAbgApADsAXABuAFwAbgBcAG4AXABuAC8AKgAgACAARgBVAE4AQwBUAEkATwBOACAATgBBAE0ARQA6ACAAIABDAHUAcgByAGUAbgB0AFIAYQB0AGkAbwC7A1wAbgAgACAAIAAgAEQARQBTAEMAUgBJAFAAVABJAE8ATgA6ACoALwAvACoAKgBNAGUAYQBzAHUAcgBlAHMAIABhACAAYwBvAG0AcABhAG4AeQAZIHMAIABhAGIAaQBsAGkAdAB5ACAAdABvACAAcABhAHkAIABzAGgAbwByAHQALQB0AGUAcgBtACAAbwBiAGwAaQBnAGEAdABpAG8AbgBzACAAKABDAHUAcgByAGUAbgB0ACAAQQBzAHMAZQB0AHMALwBMAGkAYQBiAGkAbABpAHQAaQBlAHMAKQAqAC8AXABuAEMAdQByAHIAZQBuAHQAUgBhAHQAaQBvALsDIAA9ACAATABBAE0AQgBEAEEAKABcAG4ALwAvACAAIABQAGEAcgBhAG0AZQB0AGUAcgAgAEQAZQBjAGwAYQByAGEAdABpAG8AbgBzAFwAbgAgACAAIAAgACAAIAAgACAAWwBBAHMAcwBlAHQAcwBdACwAIAAgAFwAbgAgACAAIAAgACAAIAAgACAAWwBMAGkAYQBiAGkAbABpAHQAZQBzAF0ALAAgACAAIAAgAFwAbgAvAC8AIAAgAEgAZQBsAHAAXABuACAAIAAgACAATABFAFQAKABIAGUAbABwACwAIAAgACAAVABSAEkATQAoAFQARQBYAFQAUwBQAEwASQBUACgAIABcAG4AIAAgACAAIAAgACAAIAAgACAAIAAgACAAIAAgACAAIAAgACAAIAAgACAAIAAgACAAXAAiAEYAVQBOAEMAVABJAE8ATgA6ACAAIAAgACAAIAAgAJIhQwB1AHIAcgBlAG4AdABSAGEAdABpAG8AuwMoACAAQQBzAHMAZQB0AHMALAAgAEwAaQBhAGIAaQBsAGkAdABlAHMAKQC2AFwAIgAgACYAIABcAG4AIAAgACAAIAAgACAAIAAgACAAIAAgACAAIAAgACAAIAAgACAAIAAgACAAIAAgACAAXAAiAEQARQBTAEMAUgBJAFAAVABJAE8ATgA6ACAAIAAgAJIhTQBlAGEAcwB1AHIAZQBzACAAYQAgAGMAbwBtAHAAYQBuAHkAGSBzACAAYQBiAGkAbABpAHQAeQAgAHQAbwAgAHAAYQB5ACAAcwBoAG8AcgB0AC0AdABlAHIAbQAgAG8AYgBsAGkAZwBhAHQAaQBvAG4AcwAgACAAtgBcACIAIAAmACAAXABuACAAIAAgACAAIAAgACAAIAAgACAAIAAgACAAIAAgACAAIAAgACAAIAAgACAAIAAgACAAIAAgACAAIAAgACAAIAAgACAAIAAgACAAIAAgAFwAIgCSISgAQwB1AHIAcgBlAG4AdAAgAEEAcwBzAGUAdABzAC8ATABpAGEAYgBpAGwAaQB0AGkAZQBzACkAtgBcACIAIAAmACAAXABuACAAIAAgACAAIAAgACAAIAAgACAAIAAgACAAIAAgACAAIAAgACAAIAAgACAAIAAgAFwAIgBXAEUAQgBQAEEARwBFADoAIAAgACAAIAAgACAAIACSIWgAdAB0AHAAcwA6AC8ALwB3AHcAdwAuAGkAbgB2AGUAcwB0AG8AcABlAGQAaQBhAC4AYwBvAG0ALwB0AGUAcgBtAHMALwBjAC8AYwBhAHMAaAAtAHIAYQB0AGkAbwAuAGEAcwBwACAAtgBcACIAIAAm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BAHMAcwBlAHQAcwAgACAAIAAgACAAIAAgACAAIACSISgAUgBlAHEAdQBpAHIAZQBkACkAIABDAHUAcgByAGUAbgB0ACAAQQBzAHMAZQB0AHMALgAgAEkAbgBjAGwAdQBjAGUAcwA6ACAAtgBcACIAIAAmACAAXABuACAAIAAgACAAIAAgACAAIAAgACAAIAAgACAAIAAgACAAIAAgACAAIAAgACAAIAAgACAAIAAgACAAIAAgACAAIAAgACAAIAAgACAAIAAgAFwAIgCSIUMAYQBzAGgAIAC2AFwAIgAgACYAIABcAG4AIAAgACAAIAAgACAAIAAgACAAIAAgACAAIAAgACAAIAAgACAAIAAgACAAIAAgACAAIAAgACAAIAAgACAAIAAgACAAIAAgACAAIAAgACAAXAAiAJIhQQBjAGMAbwB1AG4AdABzACAAcgBlAGMAZQBpAHYAYQBiAGwAZQAgALYAXAAiACAAJgAgAFwAbgAgACAAIAAgACAAIAAgACAAIAAgACAAIAAgACAAIAAgACAAIAAgACAAIAAgACAAIAAgACAAIAAgACAAIAAgACAAIAAgACAAIAAgACAAIABcACIAkiFJAG4AdgBlAG4AdABvAHIAeQAgALYAXAAiACAAJgAgAFwAbgAgACAAIAAgACAAIAAgACAAIAAgACAAIAAgACAAIAAgACAAIAAgACAAIAAgACAAIAAgACAAIAAgACAAIAAgACAAIAAgACAAIAAgACAAIABcACIAkiFWAGUAbgBkAG8AcgAgAG0AcABtAC0AdAByAGEAZABlACAAcgBlAGMAZQBvAHYAYQBiAGwAZQBzACAAtgBcACIAIAAmACAAXABuACAAIAAgACAAIAAgACAAIAAgACAAIAAgACAAIAAgACAAIAAgACAAIAAgACAAIAAgACAAIAAgACAAIAAgACAAIAAgACAAIAAgACAAIAAgAFwAIgCSIUEAcwBzAGUAdABzACAAZQB4AHAAZQBjAHQAZQBkACAAdABvACAAbABpAHEAdQBpAGQAYQB0AGUAZAAgAGkAbgAgAHQAaABlACAAYwB1AHIAcgBlAG4AdAAgAHkAZQBhAHIAIAC2AFwAIgAgACYAIABcAG4AIAAgACAAIAAgACAAIAAgACAAIAAgACAAIAAgACAAIAAgACAAIAAgACAAIAAgACAAIAAgACAAIAAgACAAIAAgACAAIAAgACAAIAAgACAAXAAiAJIhTQBhAHIAawBlAHQAYQBiAGwAZQAgAHMAZQBjAHUAcgBpAHQAaQBlAHMAIAC2AFwAIgAgACYAIABcAG4AIAAgACAAIAAgACAAIAAgACAAIAAgACAAIAAgACAAIAAgACAAIAAgACAAIAAgACAAIAAgACAAIAAgACAAIAAgACAAIAAgACAAIAAgACAAXAAiAJIhUAByAG8AcABlAHIAdAB5ACwAIABQAGwAYQBuAHQAIABhAG4AZAAgAGUAcQB1AGkAcABtAGUAbgB0ACAAKABQAFAARQApACAAtgBcACIAIAAmACAAXABuACAAIAAgACAAIAAgACAAIAAgACAAIAAgACAAIAAgACAAIAAgACAAIAAgACAAIAAgACAAIAAgACAAIAAgACAAIAAgACAAIAAgACAAIAAgAFwAIgCSIU0AYQByAGsAZQB0AGEAYgBsAGUAIABzAGUAYwB1AHIAaQB0AGkAZQBzACAAtgBcACIAIAAmACAAXABuACAAIAAgACAAIAAgACAAIAAgACAAIAAgACAAIAAgACAAIAAgACAAIAAgACAAIAAgACAAIAAgACAAIAAgACAAIAAgACAAIAAgACAAIAAgAFwAIgCSIUEAcwBzAGUAdABzACAAZQB4AHAAZQBjAHQAZQBkACAAdABvACAAbABpAHEAdQBpAGQAYQB0AGUAZAAgAGkAbgAgAHQAaABlACAAYwB1AHIAcgBlAG4AdAAgAHkAZQBhAHIAIAC2AFwAIgAgACYAIABcAG4AIAAgACAAIAAgACAAIAAgACAAIAAgACAAIAAgACAAIAAgACAAIAAgACAAIAAgACAAXAAiAEwAaQBhAGIAaQBsAGkAdABlAHMAIAAgACAAIAAgAJIhKABSAGUAcQB1AGkAcgBlAGQAKQAgAEMAdQByAHIAZQBuAHQAIABMAGkAYQBiAGkAbABpAHQAZQBzAC4AIABJAG4AYwBsAHUAZABlAHMAOgAgALYAXAAiACAAJgAgAFwAbgAgACAAIAAgACAAIAAgACAAIAAgACAAIAAgACAAIAAgACAAIAAgACAAIAAgACAAIAAgACAAIAAgACAAIAAgACAAIAAgACAAIAAgACAAIABcACIAkiFBAGMAYwBvAHUAbgB0AHMAIABwAGEAeQBhAGIAbABlACAAtgBcACIAIAAmACAAXABuACAAIAAgACAAIAAgACAAIAAgACAAIAAgACAAIAAgACAAIAAgACAAIAAgACAAIAAgACAAIAAgACAAIAAgACAAIAAgACAAIAAgACAAIAAgAFwAIgCSIVcAYQBnAGUAcwAgALYAXAAiACAAJgAgAFwAbgAgACAAIAAgACAAIAAgACAAIAAgACAAIAAgACAAIAAgACAAIAAgACAAIAAgACAAIAAgACAAIAAgACAAIAAgACAAIAAgACAAIAAgACAAIABcACIAkiFUAGEAeABlAHMAIABwAGEAeQBhAGIAbABlACAAtgBcACIAIAAmACAAXABuACAAIAAgACAAIAAgACAAIAAgACAAIAAgACAAIAAgACAAIAAgACAAIAAgACAAIAAgACAAIAAgACAAIAAgACAAIAAgACAAIAAgACAAIAAgAFwAIgCSIVMAaABvAHIAdAAtAHQAZQByAG0AIABkAGUAYgB0AHMAIAC2AFwAIgAgACYAIABcAG4AIAAgACAAIAAgACAAIAAgACAAIAAgACAAIAAgACAAIAAgACAAIAAgACAAIAAgACAAIAAgACAAIAAgACAAIAAgACAAIAAgACAAIAAgACAAXAAiAJIhQwB1AHIAcgBlAG4AdAAgAHAAbwByAHQAaQBvAG4AIABvAGYAIABsAG8AbgBnAC0AdABlAHIAbQAgAGQAZQBiAHQAIAC2AFwAIgAgACYAIABcAG4AIAAgACAAIAAgACAAIAAgACAAIAAgACAAIAAgACAAIAAgACAAIAAgACAAIAAgACAAXAAiAEUAWABBAE0AUABMAEUAUwA6ACAAIAAgACAAIAAgAJIhRgBvAHIAbQB1AGwAYQAgACgAbgBhAGIAbABhAC4AcgAgAGkAcwAgAGEAcwBzAHUAbQBlAGQAIAB0AG8AIABiAGUAIAB0AGgAZQAgAG0AbwBkAHUAbABlACcAcwAgAG4AYQBtAGUAKQC2AFwAIgAgACYAXABuACAAIAAgACAAIAAgACAAIAAgACAAIAAgACAAIAAgACAAIAAgACAAIAAgACAAIAAgAFwAIgAxAC4AMAA3ADUAIAAgACAAIAAgACAAIAAgACAAIACSIT0AbgBhAGIAbABhAC4AcgAuAEMAdQByAHIAZQBuAHQAUgBhAHQAaQBvALsDKAAgADEAMwA0AC4AOAAzADYALAAgADEAMgA1AC4ANAA4ADE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QQBzAHMAZQB0AHMAKQAsAFwAbgAgACAAIAAgACAAIAAgACAAIAAgACAAIAAgACAAIAAgACAAIAAgACAAIAAgACAAIAAgACAAIAAgAEkAUwBPAE0ASQBUAFQARQBEACgAIABMAGkAYQBiAGkAbABpAHQAZQBzACAAKQBcAG4AIAAgACAAIAAgACAAIAAgACAAIAAgACAAIAAgACAAIAAgACAAIAAgACAAIAAgACAAKQAsAFwAbgAgACAAIAAgAC8ALwAgACAAUAByAG8AYwBlAGQAdQByAGUAXABuACAAIAAgACAAIAAgACAAIABSAGUAcwB1AGwAdAAsACAAIAAgACAAIAAgACAAIAAgAEEAcwBzAGUAdABzAC8ATABpAGEAYgBpAGwAaQB0AGUAcw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FEAdQBpAGMAawBSAGEAdABpAG8AuwNcAG4AIAAgACAAIABEAEUAUwBDAFIASQBQAFQASQBPAE4AOgAqAC8ALwAqACoATQBlAGEAcwB1AHIAZQBzACAAYQBiAGkAbABpAHQAeQAgAHQAbwAgAG0AZQBlAHQAIABzAGgAbwByAHQALQB0AGUAcgBtACAAbwBiAGwAaQBnAGEAdABpAG8AbgBzACAAKABRAHUAaQBjAGsAIABBAHMAcwBlAHQAcwAvAEMAdQByAHIAZQBuAHQAIABMAGkAYQBiAGkAbABpAHQAaQBlAHMAKQAqAC8AXABuAFEAdQBpAGMAawBSAGEAdABpAG8AuwMgAD0AIABMAEEATQBCAEQAQQAoAFwAbgAvAC8AIAAgAFAAYQByAGEAbQBlAHQAZQByACAARABlAGMAbABhAHIAYQB0AGkAbwBuAHMAXABuACAAIAAgACAAIAAgACAAIABbAFEAdQBpAGMAawBBAHMAcwBlAHQAcwBdACwAIAAgAFwAbgAgACAAIAAgACAAIAAgACAAWwBMAGkAYQBiAGkAbABpAHQAZQBzAF0ALAAgACAAIAAgACAAIAAgAFwAbgAvAC8AIAAgAEgAZQBsAHAAXABuACAAIAAgACAATABFAFQAKABIAGUAbABwACwAIAAgACAAVABSAEkATQAoAFQARQBYAFQAUwBQAEwASQBUACgAIABcAG4AIAAgACAAIAAgACAAIAAgACAAIAAgACAAIAAgACAAIAAgACAAIAAgACAAIAAgACAAXAAiAEYAVQBOAEMAVABJAE8ATgA6ACAAIAAgACAAIAAgAJIhUQB1AGkAYwBrAFIAYQB0AGkAbwC7AygAIABMAGkAcQB1AGkAZABBAHMAcwBlAHQAcwAsACAATABpAGEAYgBpAGwAaQB0AGUAcwApALYAXAAiACAAJgAgAFwAbgAgACAAIAAgACAAIAAgACAAIAAgACAAIAAgACAAIAAgACAAIAAgACAAIAAgACAAIABcACIARABFAFMAQwBSAEkAUABUAEkATwBOADoAIAAgACAAkiFNAGUAYQBzAHUAcgBlAHMAIABhAGIAaQBsAGkAdAB5ACAAdABvACAAbQBlAGUAdAAgAHMAaABvAHIAdAAtAHQAZQByAG0AIABvAGIAbABpAGcAYQB0AGkAbwBuAHMAtgBcACIAIAAmACAAXABuACAAIAAgACAAIAAgACAAIAAgACAAIAAgACAAIAAgACAAIAAgACAAIAAgACAAIAAgACAAIAAgACAAIAAgACAAIAAgACAAIAAgACAAIAAgAFwAIgCSISgAUQB1AGkAYwBrACAAQQBzAHMAZQB0AHMALwBDAHUAcgByAGUAbgB0ACAATABpAGEAYgBpAGwAaQB0AGkAZQBzACkAtgBcACIAIAAmACAAXABuACAAIAAgACAAIAAgACAAIAAgACAAIAAgACAAIAAgACAAIAAgACAAIAAgACAAIAAgAFwAIgBXAEUAQgBQAEEARwBFADoAIAAgACAAIAAgACAAIACSIWgAdAB0AHAAcwA6AC8ALwB3AHcAdwAuAGkAbgB2AGUAcwB0AG8AcABlAGQAaQBhAC4AYwBvAG0ALwB0AGUAcgBtAHMALwBxAC8AcQB1AGkAYwBrAHIAYQB0AGkAbwAuAGEAcwBwACAAtgBcACIAIAAm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RAHUAaQBjAGsAQQBzAHMAZQB0AHMAIAAgAJIhKABSAGUAcQB1AGkAcgBlAGQAKQAgAFEAdQBpAGMAawAgAEEAcwBzAGUAdABzAC4AIABJAG4AYwBsAHUAZABlAHMAOgAgALYAXAAiACAAJgAgAFwAbgAgACAAIAAgACAAIAAgACAAIAAgACAAIAAgACAAIAAgACAAIAAgACAAIAAgACAAIAAgACAAIAAgACAAIAAgACAAIAAgACAAIAAgACAAIABcACIAkiEiICAAQwBhAHMAaAAgACYAIABDAGEAcwBoACAAZQBxAHUAaQB2AGEAbABlAG4AdABzACAAtgBcACIAIAAmACAAXABuACAAIAAgACAAIAAgACAAIAAgACAAIAAgACAAIAAgACAAIAAgACAAIAAgACAAIAAgACAAIAAgACAAIAAgACAAIAAgACAAIAAgACAAIAAgAFwAIgCSISIgIABNAGEAcgBrAGUAdABhAGIAbABlACAAcwBlAGMAdQByAGkAdABpAGUAcwAgALYAXAAiACAAJgAgAFwAbgAgACAAIAAgACAAIAAgACAAIAAgACAAIAAgACAAIAAgACAAIAAgACAAIAAgACAAIAAgACAAIAAgACAAIAAgACAAIAAgACAAIAAgACAAIABcACIAkiEiICAAQQBjAGMAbwB1AG4AdABzACAAcgBlAGMAZQBpAHYAYQBiAGwAZQAgALYAXAAiACAAJgAgAFwAbgAgACAAIAAgACAAIAAgACAAIAAgACAAIAAgACAAIAAgACAAIAAgACAAIAAgACAAIAAgACAAIAAgACAAIAAgACAAIAAgACAAIAAgACAAIABcACIAkiFBAGwAdABlAHIAYQBuAHQAaQB2AGUAbAB5ACAAaQB0ACAAaQBuAGMAbAB1AGQAZQBzADoAIAC2AFwAIgAgACYAIABcAG4AIAAgACAAIAAgACAAIAAgACAAIAAgACAAIAAgACAAIAAgACAAIAAgACAAIAAgACAAIAAgACAAIAAgACAAIAAgACAAIAAgACAAIAAgACAAXAAiAJIhIiAgAEMAdQByAHIAZQBuAHQAIABhAHMAcwBlAHQAcwAgALYAXAAiACAAJgAgAFwAbgAgACAAIAAgACAAIAAgACAAIAAgACAAIAAgACAAIAAgACAAIAAgACAAIAAgACAAIAAgACAAIAAgACAAIAAgACAAIAAgACAAIAAgACAAIABcACIAkiEiICAATABlAHMAcwAgAGkAbgB2AGUAbgB0AG8AcgB5ACAAtgBcACIAIAAmACAAXABuACAAIAAgACAAIAAgACAAIAAgACAAIAAgACAAIAAgACAAIAAgACAAIAAgACAAIAAgACAAIAAgACAAIAAgACAAIAAgACAAIAAgACAAIAAgAFwAIgCSISIgIABMAGUAcwBzACAAcAByAGUAcABhAGkAZAAgAGUAeABwAGUAbgBzAGUAcwAgALYAXAAiACAAJgAgAFwAbgAgACAAIAAgACAAIAAgACAAIAAgACAAIAAgACAAIAAgACAAIAAgACAAIAAgACAAIABcACIATABpAGEAYgBpAGwAaQB0AGUAcwAgACAAIAAgACAAkiEoAFIAZQBxAHUAaQByAGUAZAApACAAQwB1AHIAcgBlAG4AdAAgAEwAaQBhAGIAaQBsAGkAdABlAHMALgAgAEkAbgBjAGwAdQBkAGUAcwA6ACAAtgBcACIAIAAmACAAXABuACAAIAAgACAAIAAgACAAIAAgACAAIAAgACAAIAAgACAAIAAgACAAIAAgACAAIAAgACAAIAAgACAAIAAgACAAIAAgACAAIAAgACAAIAAgAFwAIgCSIUEAYwBjAG8AdQBuAHQAcwAgAHAAYQB5AGEAYgBsAGUAIAC2AFwAIgAgACYAIABcAG4AIAAgACAAIAAgACAAIAAgACAAIAAgACAAIAAgACAAIAAgACAAIAAgACAAIAAgACAAIAAgACAAIAAgACAAIAAgACAAIAAgACAAIAAgACAAXAAiAJIhVwBhAGcAZQBzACAAtgBcACIAIAAmACAAXABuACAAIAAgACAAIAAgACAAIAAgACAAIAAgACAAIAAgACAAIAAgACAAIAAgACAAIAAgACAAIAAgACAAIAAgACAAIAAgACAAIAAgACAAIAAgAFwAIgCSIVQAYQB4AGUAcwAgAHAAYQB5AGEAYgBsAGUAIAC2AFwAIgAgACYAIABcAG4AIAAgACAAIAAgACAAIAAgACAAIAAgACAAIAAgACAAIAAgACAAIAAgACAAIAAgACAAIAAgACAAIAAgACAAIAAgACAAIAAgACAAIAAgACAAXAAiAJIhUwBoAG8AcgB0AC0AdABlAHIAbQAgAGQAZQBiAHQAcwAgALYAXAAiACAAJgAgAFwAbgAgACAAIAAgACAAIAAgACAAIAAgACAAIAAgACAAIAAgACAAIAAgACAAIAAgACAAIAAgACAAIAAgACAAIAAgACAAIAAgACAAIAAgACAAIABcACIAkiFDAHUAcgByAGUAbgB0ACAAcABvAHIAdABpAG8AbgAgAG8AZgAgAGwAbwBuAGcALQB0AGUAcgBtACAAZABlAGIAdAAgALYAXAAiACAAJgAgAFwAbgAgACAAIAAgACAAIAAgACAAIAAgACAAIAAgACAAIAAgACAAIAAgACAAIAAgACAAIABcACIARQBYAEEATQBQAEwARQBTADoAIAAgACAAIAAgACAAkiFGAG8AcgBtAHUAbABhACAAKABuAGEAYgBsAGEALgByACAAaQBzACAAYQBzAHMAdQBtAGUAZAAgAHQAbwAgAGIAZQAgAHQAaABlACAAbQBvAGQAdQBsAGUAJwBzACAAbgBhAG0AZQApALYAXAAiACAAJgBcAG4AIAAgACAAIAAgACAAIAAgACAAIAAgACAAIAAgACAAIAAgACAAIAAgACAAIAAgACAAXAAiADEALgAyACAAIAAgACAAIAAgACAAIAAgACAAIAAgAJIhPQBuAGEAYgBsAGEALgByAC4AUQB1AGkAYwBrAFIAYQB0AGkAbwC7AygAIAAxADYANQAwADAAMAAsACAAMQAzADcANQAwAD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UQB1AGkAYwBrAEEAcwBzAGUAdABzACkALABcAG4AIAAgACAAIAAgACAAIAAgACAAIAAgACAAIAAgACAAIAAgACAAIAAgACAAIAAgACAAIAAgACAAIABJAFMATwBNAEkAVABUAEUARAAoACAATABpAGEAYgBpAGwAaQB0AGUAcwAgACkAXABuACAAIAAgACAAIAAgACAAIAAgACAAIAAgACAAIAAgACAAIAAgACAAIAAgACAAIAAgACkALABcAG4AIAAgACAAIAAvAC8AIAAgAFAAcgBvAGMAZQBkAHUAcgBlAFwAbgAgACAAIAAgACAAIAAgACAAUgBlAHMAdQBsAHQALAAgACAAIAAgACAAIAAgACAAIABRAHUAaQBjAGsAQQBzAHMAZQB0AHMALwBMAGkAYQBiAGkAbABpAHQAZQBz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QwBhAHMAaABSAGEAdABpAG8AuwNcAG4AIAAgACAAIABEAEUAUwBDAFIASQBQAFQASQBPAE4AOgAqAC8ALwAqACoARQB2AGEAbAB1AGEAdABlAHMAIABhAGIAaQBsAGkAdAB5ACAAdABvACAAcgBlAHAAYQB5ACAAcwBoAG8AcgB0AC0AdABlAHIAbQAgAGQAZQBiAHQAIAB3AC8AYwBhAHMAaAAgAG8AcgAgAG4AZQBhAHIALQBjAGEAcwBoACAAcgBlAHMAbwB1AHIAYwBlAHMAIABcAG4AIAAgACAAIAAoAEMAYQBzAGgAIABhAG4AZAAgAEMAYQBzAGgAIABFAHEAdQBpAHYAYQBsAGUAbgB0AHMAIAAvACAAQwB1AHIAcgBlAG4AdAAgAEwAaQBhAGIAaQBsAGkAdABpAGUAcwApACoALwBcAG4AQwBhAHMAaABSAGEAdABpAG8AuwMgAD0AIABMAEEATQBCAEQAQQAoAFwAbgAvAC8AIAAgAFAAYQByAGEAbQBlAHQAZQByACAARABlAGMAbABhAHIAYQB0AGkAbwBuAHMAXABuACAAIAAgACAAIAAgACAAIABbAEMAYQBzAGgAXQAsACAAIABcAG4AIAAgACAAIAAgACAAIAAgAFsATABpAGEAYgBpAGwAaQB0AGUAcwBdACwAIAAgACAAIABcAG4ALwAvACAAIABIAGUAbABwAFwAbgAgACAAIAAgAEwARQBUACgASABlAGwAcAAsACAAIAAgAFQAUgBJAE0AKABUAEUAWABUAFMAUABMAEkAVAAoACAAXABuACAAIAAgACAAIAAgACAAIAAgACAAIAAgACAAIAAgACAAIAAgACAAIAAgACAAIAAgAFwAIgBGAFUATgBDAFQASQBPAE4AOgAgACAAIAAgACAAIACSIUMAYQBzAGgAUgBhAHQAaQBvALsDKAAgAEMAYQBzAGgALAAgAEwAaQBhAGIAaQBsAGkAdABlAHMAKQC2AFwAIgAgACYAIABcAG4AIAAgACAAIAAgACAAIAAgACAAIAAgACAAIAAgACAAIAAgACAAIAAgACAAIAAgACAAXAAiAEQARQBTAEMAUgBJAFAAVABJAE8ATgA6ACAAIAAgAJIhRQB2AGEAbAB1AGEAdABlAHMAIABhAGIAaQBsAGkAdAB5ACAAdABvACAAcgBlAHAAYQB5ACAAcwBoAG8AcgB0AC0AdABlAHIAbQAgAGQAZQBiAHQAIAB3AC8AYwBhAHMAaAAgAG8AcgAgAG4AZQBhAHIALQBjAGEAcwBoACAAcgBlAHMAbwB1AHIAYwBlAHMAXAAiACAAJgAgAFwAbgAgACAAIAAgACAAIAAgACAAIAAgACAAIAAgACAAIAAgACAAIAAgACAAIAAgACAAIAAgACAAIAAgACAAIAAgACAAIAAgACAAIAAgACAAIABcACIAkiEoAEMAYQBzAGgAIABhAG4AZAAgAEMAYQBzAGgAIABFAHEAdQBpAHYAYQBsAGUAbgB0AHMAIAAvACAAQwB1AHIAcgBlAG4AdAAgAEwAaQBhAGIAaQBsAGkAdABpAGUAcwApALYAXAAiACAAJgAgAFwAbgAgACAAIAAgACAAIAAgACAAIAAgACAAIAAgACAAIAAgACAAIAAgACAAIAAgACAAIABcACIAVwBFAEIAUABBAEcARQA6ACAAIAAgACAAIAAgACAAkiFoAHQAdABwAHMAOgAvAC8AdwB3AHcALgBpAG4AdgBlAHMAdABvAHAAZQBkAGkAYQAuAGMAbwBtAC8AdABlAHIAbQBzAC8AYwAvAGMAYQBzAGgALQByAGEAdABpAG8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QwBhAHMAaAAgACAAIAAgACAAIAAgACAAIAAgACAAkiEoAFIAZQBxAHUAaQByAGUAZAApACAAQwBhAHMAaAAgAGEAbgBkACAAQwBhAHMAaAAgAEUAcQB1AGkAdgBhAGwAZQBuAHQAcwC2AFwAIgAgACYAIABcAG4AIAAgACAAIAAgACAAIAAgACAAIAAgACAAIAAgACAAIAAgACAAIAAgACAAIAAgACAAXAAiAEwAaQBhAGIAaQBsAGkAdABlAHMAIAAgACAAIAAgAJIhKABSAGUAcQB1AGkAcgBlAGQAKQAgAEMAdQByAHIAZQBuAHQAIABMAGkAYQBiAGkAbABpAHQAZQBzAC4AIABJAG4AYwBsAHUAZABlAHMAOgAgALYAXAAiACAAJgAgAFwAbgAgACAAIAAgACAAIAAgACAAIAAgACAAIAAgACAAIAAgACAAIAAgACAAIAAgACAAIAAgACAAIAAgACAAIAAgACAAIAAgACAAIAAgACAAIABcACIAkiFBAGMAYwBvAHUAbgB0AHMAIABwAGEAeQBhAGIAbABlACAAtgBcACIAIAAmACAAXABuACAAIAAgACAAIAAgACAAIAAgACAAIAAgACAAIAAgACAAIAAgACAAIAAgACAAIAAgACAAIAAgACAAIAAgACAAIAAgACAAIAAgACAAIAAgAFwAIgCSIVcAYQBnAGUAcwAgALYAXAAiACAAJgAgAFwAbgAgACAAIAAgACAAIAAgACAAIAAgACAAIAAgACAAIAAgACAAIAAgACAAIAAgACAAIAAgACAAIAAgACAAIAAgACAAIAAgACAAIAAgACAAIABcACIAkiFUAGEAeABlAHMAIABwAGEAeQBhAGIAbABlACAAtgBcACIAIAAmACAAXABuACAAIAAgACAAIAAgACAAIAAgACAAIAAgACAAIAAgACAAIAAgACAAIAAgACAAIAAgACAAIAAgACAAIAAgACAAIAAgACAAIAAgACAAIAAgAFwAIgCSIVMAaABvAHIAdAAtAHQAZQByAG0AIABkAGUAYgB0AHMAIAC2AFwAIgAgACYAIABcAG4AIAAgACAAIAAgACAAIAAgACAAIAAgACAAIAAgACAAIAAgACAAIAAgACAAIAAgACAAIAAgACAAIAAgACAAIAAgACAAIAAgACAAIAAgACAAXAAiAJIhQwB1AHIAcgBlAG4AdAAgAHAAbwByAHQAaQBvAG4AIABvAGYAIABsAG8AbgBnAC0AdABlAHIAbQAgAGQAZQBiAHQAIAC2AFwAIgAgACYAIABcAG4AIAAgACAAIAAgACAAIAAgACAAIAAgACAAIAAgACAAIAAgACAAIAAgACAAIAAgACAAXAAiAEUAWABBAE0AUABMAEUAUwA6ACAAIAAgACAAIAAgAJIhRgBvAHIAbQB1AGwAYQAgACgAbgBhAGIAbABhAC4AcgAgAGkAcwAgAGEAcwBzAHUAbQBlAGQAIAB0AG8AIABiAGUAIAB0AGgAZQAgAG0AbwBkAHUAbABlACcAcwAgAG4AYQBtAGUAKQC2AFwAIgAgACYAXABuACAAIAAgACAAIAAgACAAIAAgACAAIAAgACAAIAAgACAAIAAgACAAIAAgACAAIAAgAFwAIgAuADUAMQA3ADQAMAA5ACAAIAAgACAAIAAgACAAIACSIT0AbgBhAGIAbABhAC4AcgAuAEMAYQBzAGgAUgBhAHQAaQBvALsDKAAgADYAMwA5ADAAMAAwADAAMAAsACAAMQAyADMANQAwADAAMAAwAD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QwBhAHMAaAApACwAXABuACAAIAAgACAAIAAgACAAIAAgACAAIAAgACAAIAAgACAAIAAgACAAIAAgACAAIAAgACAAIAAgACAASQBTAE8ATQBJAFQAVABFAEQAKAAgAEwAaQBhAGIAaQBsAGkAdABlAHMAIAApAFwAbgAgACAAIAAgACAAIAAgACAAIAAgACAAIAAgACAAIAAgACAAIAAgACAAIAAgACAAIAApACwAXABuACAAIAAgACAALwAvACAAIABQAHIAbwBjAGUAZAB1AHIAZQBcAG4AIAAgACAAIAAgACAAIAAgAFIAZQBzAHUAbAB0ACwAIAAgACAAIAAgACAAIAAgACAAQwBhAHMAaAAvAEwAaQBhAGIAaQBsAGkAdABlAHM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PAHAAZQByAGEAdABpAG4AZwBDAGEAcwBoAEYAbABvAHcAUgBhAHQAaQBvALsDXABuACAAIAAgACAARABFAFMAQwBSAEkAUABUAEkATwBOADoAKgAvAC8AKgAqAE0AZQBhAHMAdQByAGUAcwAgAGEAIABjAG8AbQBwAGEAbgB5ABkgcwAgAGEAYgBpAGwAaQB0AHkAIAB0AG8AIABwAGEAeQAgAHMAaABvAHIAdAAtAHQAZQByAG0AIABvAGIAbABpAGcAYQB0AGkAbwBuAHMAKgAvAFwAbgBPAHAAZQByAGEAdABpAG4AZwBDAGEAcwBoAEYAbABvAHcAUgBhAHQAaQBvALsDIAA9ACAATABBAE0AQgBEAEEAKABcAG4ALwAvACAAIABQAGEAcgBhAG0AZQB0AGUAcgAgAEQAZQBjAGwAYQByAGEAdABpAG8AbgBzAFwAbgAgACAAIAAgACAAIAAgACAAWwBPAHAAZQByAGEAdABpAG4AZwBDAGEAcwBoAEYAbABvAHcAXQAsACAAIABcAG4AIAAgACAAIAAgACAAIAAgAFsATABpAGEAYgBpAGwAaQB0AGUAcwBdACwAIAAgACAAIABcAG4ALwAvACAAIABIAGUAbABwAFwAbgAgACAAIAAgAEwARQBUACgASABlAGwAcAAsACAAIAAgAFQAUgBJAE0AKABUAEUAWABUAFMAUABMAEkAVAAoACAAXABuACAAIAAgACAAIAAgACAAIAAgACAAIAAgACAAIAAgACAAIAAgACAAIAAgACAAIAAgAFwAIgBGAFUATgBDAFQASQBPAE4AOgAgACAAIAAgACAAIAAgACAAIAAgAJIhTwBwAGUAcgBhAHQAaQBuAGcAQwBhAHMAaABGAGwAbwB3AFIAYQB0AGkAbwC7AygAIABPAHAAZQByAGEAdABpAG4AZwBDAGEAcwBoAEYAbABvAHcALAAgAEwAaQBhAGIAaQBsAGkAdABlAHMAKQC2AFwAIgAgACYAIABcAG4AIAAgACAAIAAgACAAIAAgACAAIAAgACAAIAAgACAAIAAgACAAIAAgACAAIAAgACAAXAAiAEQARQBTAEMAUgBJAFAAVABJAE8ATgA6ACAAIAAgACAAIAAgACAAkiFNAGUAYQBzAHUAcgBlAHMAIABoAG8AdwAgAHIAZQBhAGQAaQBsAHkAIABjAHUAcgByAGUAbgB0ACAAbABpAGEAYgBpAGwAaQB0AGkAZQBzACAAYQByAGUAIABjAG8AdgBlAHIAZQBkACAAYgB5ACAAYwBhAHMAaAAgAGYAbABvAHcAcwAgAGcAZQBuAGUAcgBhAHQAZQBkACAAZgByAG8AbQAgAG8AcABlAHIAYQB0AGkAbwBuAHMALgC2AFwAIgAgACYAIABcAG4AIAAgACAAIAAgACAAIAAgACAAIAAgACAAIAAgACAAIAAgACAAIAAgACAAIAAgACAAIAAgACAAIAAgACAAIAAgACAAIAAgACAAIAAgACAAIAAgACAAIABcACIAkiEoAE8AcABlAHIAYQB0AGkAbgBnAEMAYQBzAGgARgBsAG8AdwAvAEwAaQBhAGIAaQBsAGkAdABlAHMAKQC2AFwAIgAgACYAIABcAG4AIAAgACAAIAAgACAAIAAgACAAIAAgACAAIAAgACAAIAAgACAAIAAgACAAIAAgACAAXAAiAFcARQBCAFAAQQBHAEUAOgAgACAAIAAgACAAIAAgACAAIAAgACAAkiFoAHQAdABwAHMAOgAvAC8AdwB3AHcALgBpAG4AdgBlAHMAdABvAHAAZQBkAGkAYQAuAGMAbwBtAC8AdABlAHIAbQBzAC8AbwAvAG8AYwBmAHIAYQB0AGkAbwAuAGEAcwBw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IAAgACAAIAAgACAAIAAgAJIhtgBcACIAIAAmACAAXABuACAAIAAgACAAIAAgACAAIAAgACAAIAAgACAAIAAgACAAIAAgACAAIAAgACAAIAAgAFwAIgBPAHAAZQByAGEAdABpAG4AZwBDAGEAcwBoAEYAbABvAHcAIAAgAJIhKABSAGUAcQB1AGkAcgBlAGQAKQAgAE8AcABlAHIAYQB0AGkAbgBnACAAYwBhAHMAaAAgAGYAbABvAHcALgAgALYAXAAiACAAJgAgAFwAbgAgACAAIAAgACAAIAAgACAAIAAgACAAIAAgACAAIAAgACAAIAAgACAAIAAgACAAIAAgACAAIAAgACAAIAAgACAAIAAgACAAIAAgACAAIAAgACAAIAAgAFwAIgCSIUkAbgBkAGkAcgBlAGMAdAAgAG0AZQB0AGgAbwBkACAAaQBuAGMAbAB1AGQAZQBzADoAIAC2AFwAIgAgACYAIABcAG4AIAAgACAAIAAgACAAIAAgACAAIAAgACAAIAAgACAAIAAgACAAIAAgACAAIAAgACAAIAAgACAAIAAgACAAIAAgACAAIAAgACAAIAAgACAAIAAgACAAIABcACIAkiEiICAATgBlAHQAIABJAG4AYwBvAG0AZQAgALYAXAAiACAAJgAgAFwAbgAgACAAIAAgACAAIAAgACAAIAAgACAAIAAgACAAIAAgACAAIAAgACAAIAAgACAAIAAgACAAIAAgACAAIAAgACAAIAAgACAAIAAgACAAIAAgACAAIAAgAFwAIgCSISIgIABQAGwAdQBzACAAZABlAHAAcgBlAGMAaQBhAHQAaQBvAG4AIABhAG4AZAAgAGEAbQBvAHIAdABpAHMAYQB0AGkAbwBuACAAtgBcACIAIAAmACAAXABuACAAIAAgACAAIAAgACAAIAAgACAAIAAgACAAIAAgACAAIAAgACAAIAAgACAAIAAgACAAIAAgACAAIAAgACAAIAAgACAAIAAgACAAIAAgACAAIAAgACAAXAAiAJIhIiAgAEwAZQBzAHMAIABpAG4AYwByAGUAYQBzAGUAIABpAG4AIABuAGUAdAAgAHcAbwByAGsAaQBuAGcAIABjAGEAcABpAHQAYQBsACAAtgBcACIAIAAmACAAXABuACAAIAAgACAAIAAgACAAIAAgACAAIAAgACAAIAAgACAAIAAgACAAIAAgACAAIAAgACAAIAAgACAAIAAgACAAIAAgACAAIAAgACAAIAAgACAAIAAgACAAXAAiAJIhRABpAHIAZQBjAHQAIABtAGUAdABoAG8AZAAgAGkAbgBjAGwAdQBkAGUAcwA6ACAAtgBcACIAIAAmACAAXABuACAAIAAgACAAIAAgACAAIAAgACAAIAAgACAAIAAgACAAIAAgACAAIAAgACAAIAAgACAAIAAgACAAIAAgACAAIAAgACAAIAAgACAAIAAgACAAIAAgACAAXAAiAJIhIiAgAEMAYQBzAGgAIAByAGUAdgBlAG4AdQBlACAAtgBcACIAIAAmACAAXABuACAAIAAgACAAIAAgACAAIAAgACAAIAAgACAAIAAgACAAIAAgACAAIAAgACAAIAAgACAAIAAgACAAIAAgACAAIAAgACAAIAAgACAAIAAgACAAIAAgACAAXAAiAJIhIiAgAEwAZQBzAHMAIABPAHAAZQByAGEAdABpAG4AZwAgAGUAeABwAGUAbgBzAGUAcwAgAHAAYQBpAGQAIABpAG4AIABjAGEAcwBoALYAXAAiACAAJgAgAFwAbgAgACAAIAAgACAAIAAgACAAIAAgACAAIAAgACAAIAAgACAAIAAgACAAIAAgACAAIABcACIATABpAGEAYgBpAGwAaQB0AGUAcwAgACAAIAAgACAAIAAgACAAIACSISgAUgBlAHEAdQBpAHIAZQBkACkAIABDAHUAcgByAGUAbgB0ACAATABpAGEAYgBpAGwAaQB0AGUAcwAuACAASQBuAGMAbAB1AGQAZQBzADoAIAC2AFwAIgAgACYAIABcAG4AIAAgACAAIAAgACAAIAAgACAAIAAgACAAIAAgACAAIAAgACAAIAAgACAAIAAgACAAIAAgACAAIAAgACAAIAAgACAAIAAgACAAIAAgACAAIAAgACAAIABcACIAkiFBAGMAYwBvAHUAbgB0AHMAIABwAGEAeQBhAGIAbABlACAAtgBcACIAIAAmACAAXABuACAAIAAgACAAIAAgACAAIAAgACAAIAAgACAAIAAgACAAIAAgACAAIAAgACAAIAAgACAAIAAgACAAIAAgACAAIAAgACAAIAAgACAAIAAgACAAIAAgACAAXAAiAJIhVwBhAGcAZQBzACAAtgBcACIAIAAmACAAXABuACAAIAAgACAAIAAgACAAIAAgACAAIAAgACAAIAAgACAAIAAgACAAIAAgACAAIAAgACAAIAAgACAAIAAgACAAIAAgACAAIAAgACAAIAAgACAAIAAgACAAXAAiAJIhVABhAHgAZQBzACAAcABhAHkAYQBiAGwAZQAgALYAXAAiACAAJgAgAFwAbgAgACAAIAAgACAAIAAgACAAIAAgACAAIAAgACAAIAAgACAAIAAgACAAIAAgACAAIAAgACAAIAAgACAAIAAgACAAIAAgACAAIAAgACAAIAAgACAAIAAgAFwAIgCSIVMAaABvAHIAdAAtAHQAZQByAG0AIABkAGUAYgB0AHMAIAC2AFwAIgAgACYAIABcAG4AIAAgACAAIAAgACAAIAAgACAAIAAgACAAIAAgACAAIAAgACAAIAAgACAAIAAgACAAIAAgACAAIAAgACAAIAAgACAAIAAgACAAIAAgACAAIAAgACAAIABcACIAkiFDAHUAcgByAGUAbgB0ACAAcABvAHIAdABpAG8AbgAgAG8AZgAgAGwAbwBuAGcALQB0AGUAcgBtACAAZABlAGIAdAAg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MAAuADMANQA4ADcAMQAgACAAIAAgACAAIAAgACAAIAAgACAAIACSIT0AbgBhAGIAbABhAC4AcgAuAE8AcABlAHIAYQB0AGkAbgBnAEMAYQBzAGgARgBsAG8AdwBSAGEAdABpAG8AuwMoACAAMgA3AC4AOAAsACAANwA3AC4ANQ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PAHAAZQByAGEAdABpAG4AZwBDAGEAcwBoAEYAbABvAHcAKQAsAFwAbgAgACAAIAAgACAAIAAgACAAIAAgACAAIAAgACAAIAAgACAAIAAgACAAIAAgACAAIAAgACAAIAAgAEkAUwBPAE0ASQBUAFQARQBEACgAIABMAGkAYQBiAGkAbABpAHQAZQBzACAAKQBcAG4AIAAgACAAIAAgACAAIAAgACAAIAAgACAAIAAgACAAIAAgACAAIAAgACAAIAAgACAAKQAsAFwAbgAgACAAIAAgAC8ALwAgACAAUAByAG8AYwBlAGQAdQByAGUAXABuACAAIAAgACAAIAAgACAAIABSAGUAcwB1AGwAdAAsACAAIAAgACAAIAAgACAAIAAgAE8AcABlAHIAYQB0AGkAbgBnAEMAYQBzAGgARgBsAG8AdwAvAEwAaQBhAGIAaQBsAGkAdABlAHM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SAGUAYwBlAGkAdgBhAGIAbABlAHMAVAB1AHIAbgBvAHYAZQByAFIAYQB0AGkAbwC7A1wAbgAgACAAIAAgAEQARQBTAEMAUgBJAFAAVABJAE8ATgA6ACoALwAvACoAKgBJAG4AZABpAGMAYQB0AGUAcwAgAGUAZgBmAGUAYwB0AGkAdgBlAG4AZQBzAHMAIABpAG4AIABjAG8AbABsAGUAYwB0AGkAbgBnACAAbwB1AHQAcwB0AGEAbgBkAGkAbgBnACAAYgBhAGwAYQBuAGMAZQBzACAAZgByAG8AbQAgAGMAbABpAGUAbgB0AHMAIABhAG4AZAAgAFwAbgBtAGEAbgBhAGcAaQBuAGcAIABsAGkAbgBlACAAbwBmACAAYwByAGUAZABpAHQAIABwAHIAbwBjAGUAcwBzACAAKABOAGUAdAAgAEMAcgBlAGQAaQB0ACAAUwBhAGwAZQBzAC8AQQB2AGUAcgBhAGcAZQAgAEEAYwBjAG8AdQBuAHQAcwAgAFIAZQBjAGUAaQB2AGEAYgBsAGUAKQAgACoALwBcAG4AUgBlAGMAZQBpAHYAYQBiAGwAZQBzAFQAdQByAG4AbwB2AGUAcgBSAGEAdABpAG8AuwMgAD0AIABMAEEATQBCAEQAQQAoAFwAbgAvAC8AIAAgAFAAYQByAGEAbQBlAHQAZQByACAARABlAGMAbABhAHIAYQB0AGkAbwBuAHMAXABuACAAIAAgACAAIAAgACAAIABbAE4AZQB0AEMAcgBlAGQAaQB0AFMAYQBsAGUAcwBdACwAIAAgAFwAbgAgACAAIAAgACAAIAAgACAAWwBBAHYAZQByAGEAZwBlAEEAYwBjAG8AdQBuAHQAcwBSAGUAYwBlAGkAdgBhAGIAbABlAF0ALAAgACAAIAAgAFwAbgAvAC8AIAAgAEgAZQBsAHAAXABuACAAIAAgACAATABFAFQAKABIAGUAbABwACwAIAAgACAAVABSAEkATQAoAFQARQBYAFQAUwBQAEwASQBUACgAIABcAG4AIAAgACAAIAAgACAAIAAgACAAIAAgACAAIAAgACAAIAAgACAAIAAgACAAIAAgACAAXAAiAEYAVQBOAEMAVABJAE8ATgA6ACAAIAAgACAAIAAgAJIhUgBlAGMAZQBpAHYAYQBiAGwAZQBzAFQAdQByAG4AbwB2AGUAcgBSAGEAdABpAG8AuwMoACAATgBlAHQAQwByAGUAZABpAHQAUwBhAGwAZQBzACwAIABBAHYAZQByAGEAZwBlAEEAYwBjAG8AdQBuAHQAcwBSAGUAYwBlAGkAdgBhAGIAbABlACkAtgBcACIAIAAmACAAXABuACAAIAAgACAAIAAgACAAIAAgACAAIAAgACAAIAAgACAAIAAgACAAIAAgACAAIAAgAFwAIgBEAEUAUwBDAFIASQBQAFQASQBPAE4AOgAgACAAIACSIUkAbgBkAGkAYwBhAHQAZQBzACAAZQBmAGYAZQBjAHQAaQB2AGUAbgBlAHMAcwAgAGkAbgAgAGMAbwBsAGwAZQBjAHQAaQBuAGcAIABvAHUAdABzAHQAYQBuAGQAaQBuAGcAIABiAGEAbABhAG4AYwBlAHMAIABmAHIAbwBtACAAYwBsAGkAZQBuAHQAcwAgAGEAbgBkACAAtgBcACIAIAAmAFwAbgAgACAAIAAgACAAIAAgACAAIAAgACAAIAAgACAAIAAgACAAIAAgACAAIAAgACAAIAAgACAAIAAgACAAIAAgACAAIAAgACAAIAAgACAAIABcACIAkiFtAGEAbgBhAGcAaQBuAGcAIABsAGkAbgBlACAAbwBmACAAYwByAGUAZABpAHQAIABwAHIAbwBjAGUAcwBzACAAKABOAGUAdAAgAEMAcgBlAGQAaQB0ACAAUwBhAGwAZQBzAC8AQQB2AGUAcgBhAGcAZQAgAEEAYwBjAG8AdQBuAHQAcwAgAFIAZQBjAGUAaQB2AGEAYgBsAGUAKQC2AFwAIgAgACYAIABcAG4AIAAgACAAIAAgACAAIAAgACAAIAAgACAAIAAgACAAIAAgACAAIAAgACAAIAAgACAAXAAiAFcARQBCAFAAQQBHAEUAOgAgACAAIAAgACAAIAAgAJIhaAB0AHQAcABzADoALwAvAHcAdwB3AC4AaQBuAHYAZQBzAHQAbwBwAGUAZABpAGEALgBjAG8AbQAvAHQAZQByAG0AcwAvAHIALwByAGUAYwBlAGkAdgBhAGIAbABlAHQAdQByAG4AbwB2AGUAcgByAGEAdABpAG8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TgBlAHQAQwByAGUAZABpAHQAUwBhAGwAZQBzACAAkiEoAFIAZQBxAHUAaQByAGUAZAApACAATgBlAHQAIABDAHIAZQBkAGkAdAAgAFMAYQBsAGUAcwAuACAAQQBtAG8AdQBuAHQAIABvAGYAIAByAGUAdgBlAG4AdQBlACAAZQBhAHIAbgBlAGQAIABiAHkAIABhACAAYwBvAG0AcABhAG4AeQAgAHAAYQBpAGQAIAB2AGkAYQAgAGMAcgBlAGQAaQB0ALYAXAAiACAAJgAgAFwAbgAgACAAIAAgACAAIAAgACAAIAAgACAAIAAgACAAIAAgACAAIAAgACAAIAAgACAAIABcACIAQQB2AGUAcgBhAGcAZQBBAGMAYwBvAHUAbgB0AHMAUgBlAGMAZQBpAHYAYQBiAGwAZQCSISgAUgBlAHEAdQBpAHIAZQBkACkAIABBAHYAZQByAGEAZwBlACAAQQBjAGMAbwB1AG4AdABzACAAUgBlAGMAZQBpAHYAYQBiAGwAZQAuACAAQQB2AGUAcgBhAGcAZQAgAG8AZgAgAHAAZQByAGkAbwBkACAAbwBwAGUAbgBpAG4AZwAgAGEAbgBkACAAYwBsAG8AcwBpAG4AZwAgAGIAYQBsAGEAbgBjAGU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MQAxAC4ANwA2ADQANwAxACAAIAAgACAAIAAgACAAkiE9AG4AYQBiAGwAYQAuAHIALgBSAGUAYwBlAGkAdgBhAGIAbABlAHMAVAB1AHIAbgBvAHYAZQByAFIAYQB0AGkAbwC7AygAIAA4ADAAMAAwADAAMAAsACAANgA4ADAAMA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QwByAGUAZABpAHQAUwBhAGwAZQBzACkALABcAG4AIAAgACAAIAAgACAAIAAgACAAIAAgACAAIAAgACAAIAAgACAAIAAgACAAIAAgACAAIAAgACAAIABJAFMATwBNAEkAVABUAEUARAAoACAAQQB2AGUAcgBhAGcAZQBBAGMAYwBvAHUAbgB0AHMAUgBlAGMAZQBpAHYAYQBiAGwAZQApAFwAbgAgACAAIAAgACAAIAAgACAAIAAgACAAIAAgACAAIAAgACAAIAAgACAAIAAgACAAIAApACwAXABuACAAIAAgACAALwAvACAAIABQAHIAbwBjAGUAZAB1AHIAZQBcAG4AIAAgACAAIAAgACAAIAAgAFIAZQBzAHUAbAB0ACwAIAAgACAAIAAgACAAIAAgACAATgBlAHQAQwByAGUAZABpAHQAUwBhAGwAZQBzAC8AQQB2AGUAcgBhAGcAZQBBAGMAYwBvAHUAbgB0AHMAUgBlAGMAZQBpAHYAYQBiAGw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SQBuAHYAZQBuAHQAbwByAHkAVAB1AHIAbgBvAHYAZQByAFIAYQB0AGkAbwC7A1wAbgAgACAAIAAgAEQARQBTAEMAUgBJAFAAVABJAE8ATgA6ACoALwAvACoAKgBTAGgAbwB3AHMAIABoAG8AdwAgAG0AYQBuAHkAIAB0AGkAbQBlAHMAIABhACAAYwBvAG0AcABhAG4AeQAgAHQAdQByAG4AZQBkACAAbwB2AGUAcgAgAGkAdABzACAAaQBuAHYAZQBuAHQAbwByAHkAIAByAGUAbABhAHQAaQB2AGUAIABcAG4AIAAgACAAIAB0AG8AIABpAHQAcwAgAGMAbwBzAHQAIABvAGYAIABnAG8AbwBkAHMAIABzAG8AbABkACAAKABDAE8ARwBTACkAIAAoAEMATwBHAFMALwBBAHYAZQByAGEAZwBlACAASQBuAHYAZQBuAHQAbwByAHkAKQAgACoALwBcAG4ASQBuAHYAZQBuAHQAbwByAHkAVAB1AHIAbgBvAHYAZQByAFIAYQB0AGkAbwC7AyAAPQAgAEwAQQBNAEIARABBACgAXABuAC8ALwAgACAAUABhAHIAYQBtAGUAdABlAHIAIABEAGUAYwBsAGEAUgBhAHQAaQBvAG4AcwBcAG4AIAAgACAAIAAgACAAIAAgAFsAQwBvAHMAdABPAGYARwBvAG8AZABzAFMAbwBsAGQAXQAsACAAIABcAG4AIAAgACAAIAAgACAAIAAgAFsAQQB2AGUAcgBhAGcAZQBJAG4AdgBlAG4AdABvAHIAeQBdACwAIAAgACAAIABcAG4ALwAvACAAIABIAGUAbABwAFwAbgAgACAAIAAgAEwARQBUACgASABlAGwAcAAsACAAIAAgAFQAUgBJAE0AKABUAEUAWABUAFMAUABMAEkAVAAoACAAXABuACAAIAAgACAAIAAgACAAIAAgACAAIAAgACAAIAAgACAAIAAgACAAIAAgACAAIAAgAFwAIgBGAFUATgBDAFQASQBPAE4AOgAgACAAIAAgACAAIAAgACAAIAAgAJIhSQBuAHYAZQBuAHQAbwByAHkAVAB1AHIAbgBvAHYAZQByAFIAYQB0AGkAbwC7AygAIABDAG8AcwB0AE8AZgBHAG8AbwBkAHMAUwBvAGwAZAAsACAAQQB2AGUAcgBhAGcAZQBJAG4AdgBlAG4AdABvAHIAeQApALYAXAAiACAAJgAgAFwAbgAgACAAIAAgACAAIAAgACAAIAAgACAAIAAgACAAIAAgACAAIAAgACAAIAAgACAAIABcACIARABFAFMAQwBSAEkAUABUAEkATwBOADoAIAAgACAAIAAgACAAIACSIVMAaABvAHcAcwAgAGgAbwB3ACAAbQBhAG4AeQAgAHQAaQBtAGUAcwAgAGEAIABjAG8AbQBwAGEAbgB5ACAAdAB1AHIAbgBlAGQAIABvAHYAZQByACAAaQB0AHMAIABpAG4AdgBlAG4AdABvAHIAeQAgAHIAZQBsAGEAdABpAHYAZQAgALYAXAAiACAAJgBcAG4AIAAgACAAIAAgACAAIAAgACAAIAAgACAAIAAgACAAIAAgACAAIAAgACAAIAAgACAAIAAgACAAIAAgACAAIAAgACAAIAAgACAAIAAgACAAIAAgACAAIABcACIAkiF0AG8AIABpAHQAcwAgAGMAbwBzAHQAIABvAGYAIABnAG8AbwBkAHMAIABzAG8AbABkACAAKABDAE8ARwBTACkAIAAoAEMATwBHAFMALwBBAHYAZQByAGEAZwBlACAASQBuAHYAZQBuAHQAbwByAHkAKQC2AFwAIgAgACYAIABcAG4AIAAgACAAIAAgACAAIAAgACAAIAAgACAAIAAgACAAIAAgACAAIAAgACAAIAAgACAAXAAiAFcARQBCAFAAQQBHAEUAOgAgACAAIAAgACAAIAAgACAAIAAgACAAkiFoAHQAdABwAHMAOgAvAC8AdwB3AHcALgBpAG4AdgBlAHMAdABvAHAAZQBkAGkAYQAuAGMAbwBtAC8AdABlAHIAbQBzAC8AaQAvAGkAbgB2AGUAbgB0AG8AcgB5AHQAdQByAG4AbwB2AGUAcgAuAGEAcwBw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kiG2AFwAIgAgACYAIABcAG4AIAAgACAAIAAgACAAIAAgACAAIAAgACAAIAAgACAAIAAgACAAIAAgACAAIAAgACAAXAAiAEMAbwBzAHQATwBmAEcAbwBvAGQAcwBTAG8AbABkACAAIAAgACAAkiEoAFIAZQBxAHUAaQByAGUAZAApACAAQwBvAHMAdAAgAG8AZgAgAEcAbwBvAGQAcwAgAFMAbwBsAGQAIAAoAEMATwBHAFMAKQAgAHcAaABpAGMAaAAgAGMAYQBuACAAaQBuAGMAbAB1AGQAZQA6ALYAXAAiACAAJgBcAG4AIAAgACAAIAAgACAAIAAgACAAIAAgACAAIAAgACAAIAAgACAAIAAgACAAIAAgACAAIAAgACAAIAAgACAAIAAgACAAIAAgACAAIAAgACAAIAAgACAAIABcACIAkiFPAGYAZgBpAGMAZQAgAHMAdQBwAHAAbAB5ACAAYwBvAHMAdABzALYAXAAiACAAJgBcAG4AIAAgACAAIAAgACAAIAAgACAAIAAgACAAIAAgACAAIAAgACAAIAAgACAAIAAgACAAIAAgACAAIAAgACAAIAAgACAAIAAgACAAIAAgACAAIAAgACAAIABcACIAkiFSAGUAbgB0ACAAYQBuAGQAIAB1AHQAaQBsAGkAdAB5ACAAZQB4AHAAZQBuAHMAZQBzALYAXAAiACAAJgBcAG4AIAAgACAAIAAgACAAIAAgACAAIAAgACAAIAAgACAAIAAgACAAIAAgACAAIAAgACAAIAAgACAAIAAgACAAIAAgACAAIAAgACAAIAAgACAAIAAgACAAIABcACIAkiFSAGUAcABhAGkAcgAgAGEAbgBkACAAbQBhAGkAbgB0AGUAbgBhAG4AYwBlACAAYwBvAHMAdABzALYAXAAiACAAJgBcAG4AIAAgACAAIAAgACAAIAAgACAAIAAgACAAIAAgACAAIAAgACAAIAAgACAAIAAgACAAIAAgACAAIAAgACAAIAAgACAAIAAgACAAIAAgACAAIAAgACAAIABcACIAkiFTAGEAbABhAHIAeQAgAGEAbgBkACAAdwBhAGcAZQAgAGUAeABwAGUAbgBzAGUAcwC2AFwAIgAgACYAIABcAG4AIAAgACAAIAAgACAAIAAgACAAIAAgACAAIAAgACAAIAAgACAAIAAgACAAIAAgACAAXAAiAEEAdgBlAHIAYQBnAGUASQBuAHYAZQBuAHQAbwByAHkAIAAgACAAkiEoAFIAZQBxAHUAaQByAGUAZAApACAAQQB2AGUAcgBhAGcAZQAgAG8AZgAgAHAAZQByAGkAbwBkACAAbwBwAGUAbgAgAGEAbgBkACAAYwBsAG8AcwBlACAAaQBuAHYAZQBuAHQAbwByAHkAIA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DgALgA0ADYAMQA1ADMAOAAgACAAIAAgACAAIAAgACAAIAAgACAAkiE9AG4AYQBiAGwAYQAuAHIALgBJAG4AdgBlAG4AdABvAHIAeQBUAHUAcgBuAG8AdgBlAHIAUgBhAHQAaQBvALsDKAAgADQAMgA5ACwAIAA1ADAALgA3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MAbwBzAHQATwBmAEcAbwBvAGQAcwBTAG8AbABkACkALABcAG4AIAAgACAAIAAgACAAIAAgACAAIAAgACAAIAAgACAAIAAgACAAIAAgACAAIAAgACAAIAAgACAAIABJAFMATwBNAEkAVABUAEUARAAoACAAQQB2AGUAcgBhAGcAZQBJAG4AdgBlAG4AdABvAHIAeQApAFwAbgAgACAAIAAgACAAIAAgACAAIAAgACAAIAAgACAAIAAgACAAIAAgACAAIAAgACAAIAApACwAXABuACAAIAAgACAALwAvACAAIABQAHIAbwBjAGUAZAB1AHIAZQBcAG4AIAAgACAAIAAgACAAIAAgAFIAZQBzAHUAbAB0ACwAIAAgACAAIAAgACAAIAAgACAAQwBvAHMAdABPAGYARwBvAG8AZABzAFMAbwBsAGQALwBBAHYAZQByAGEAZwBlAEkAbgB2AGUAbgB0AG8AcgB5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XAG8AcgBrAGkAbgBnAEMAYQBwAGkAdABhAGwAVAB1AHIAbgBvAHYAZQByAFIAYQB0AGkAbwC7A1wAbgAgACAAIAAgAEQARQBTAEMAUgBJAFAAVABJAE8ATgA6ACoALwAvACoAKgBXAG8AcgBrAGkAbgBnACAAQwBhAHAAaQB0AGEAbAAgAFQAdQByAG4AbwB2AGUAcgAgAFIAYQB0AGkAbwAgAG0AZQBhAHMAdQByAGUAcwAgAGgAbwB3ACAAZQBmAGYAaQBjAGkAZQBuAHQAbAB5ACAAYQAgAGMAbwBtAHAAYQBuAHkAIABpAHMAIAB1AHMAaQBuAGcAIABpAHQAcwAgAHcAbwByAGsAaQBuAGcAIABcAG4AYwBhAHAAaQB0AGEAbAAgAHQAbwAgAHMAdQBwAHAAbwByAHQAIABzAGEAbABlAHMAIABhAG4AZAAgAGcAcgBvAHcAdABoACAAKABOAGUAdAAgAEEAbgBuAHUAYQBsACAAUwBhAGwAZQBzAC8AQQB2AGUAcgBhAGcAZQAgAFcAbwByAGsAaQBuAGcAIABDAGEAcABpAHQAYQBsACkALgAgACoALwBcAG4AVwBvAHIAawBpAG4AZwBDAGEAcABpAHQAYQBsAFQAdQByAG4AbwB2AGUAcgBSAGEAdABpAG8AuwMgAD0AIABMAEEATQBCAEQAQQAoAFwAbgAvAC8AIAAgAFAAYQByAGEAbQBlAHQAZQByACAARABlAGMAbABhAFIAYQB0AGkAbwBuAHMAXABuACAAIAAgACAAIAAgACAAIABbAE4AZQB0AEEAbgBuAHUAYQBsAFMAYQBsAGUAcwBdACwAIAAgAFwAbgAgACAAIAAgACAAIAAgACAAWwBXAG8AcgBrAGkAbgBnAEMAYQBwAGkAdABhAGwAXQAsACAAIAAgACAAXABuAC8ALwAgACAASABlAGwAcABcAG4AIAAgACAAIABMAEUAVAAoAEgAZQBsAHAALAAgACAAIABUAFIASQBNACgAVABFAFgAVABTAFAATABJAFQAKAAgAFwAbgAgACAAIAAgACAAIAAgACAAIAAgACAAIAAgACAAIAAgACAAIAAgACAAIAAgACAAIABcACIARgBVAE4AQwBUAEkATwBOADoAIAAgACAAIAAgACAAIAAgACAAkiFXAG8AcgBrAGkAbgBnAEMAYQBwAGkAdABhAGwAVAB1AHIAbgBvAHYAZQByAFIAYQB0AGkAbwC7AygAIABDAG8AcwB0AE8AZgBHAG8AbwBkAHMAUwBvAGwAZAAsACAAQQB2AGUAcgBhAGcAZQBJAG4AdgBlAG4AdABvAHIAeQApALYAXAAiACAAJgAgAFwAbgAgACAAIAAgACAAIAAgACAAIAAgACAAIAAgACAAIAAgACAAIAAgACAAIAAgACAAIABcACIARABFAFMAQwBSAEkAUABUAEkATwBOADoAIAAgACAAIAAgACAAkiFXAG8AcgBrAGkAbgBnACAAQwBhAHAAaQB0AGEAbAAgAFQAdQByAG4AbwB2AGUAcgAgAFIAYQB0AGkAbwAgAG0AZQBhAHMAdQByAGUAcwAgAGgAbwB3ACAAZQBmAGYAaQBjAGkAZQBuAHQAbAB5ACAAYQAgAGMAbwBtAHAAYQBuAHkAIAC2AFwAIgAgACYAXABuACAAIAAgACAAIAAgACAAIAAgACAAIAAgACAAIAAgACAAIAAgACAAIAAgACAAIAAgACAAIAAgACAAIAAgACAAIAAgACAAIAAgACAAIAAgACAAIAAgAFwAIgCSIWkAcwAgAHUAcwBpAG4AZwAgAGkAdABzACAAdwBvAHIAawBpAG4AZwAgAGMAYQBwAGkAdABhAGwAIAB0AG8AIABzAHUAcABwAG8AcgB0ACAAcwBhAGwAZQBzACAAYQBuAGQAIABnAHIAbwB3AHQAaAAgALYAXAAiACAAJgBcAG4AIAAgACAAIAAgACAAIAAgACAAIAAgACAAIAAgACAAIAAgACAAIAAgACAAIAAgACAAIAAgACAAIAAgACAAIAAgACAAIAAgACAAIAAgACAAIAAgACAAXAAiAJIhKABOAGUAdAAgAEEAbgBuAHUAYQBsACAAUwBhAGwAZQBzAC8AQQB2AGUAcgBhAGcAZQAgAFcAbwByAGsAaQBuAGcAIABDAGEAcABpAHQAYQBsACkALgAgALYAXAAiACAAJgBcAG4AIAAgACAAIAAgACAAIAAgACAAIAAgACAAIAAgACAAIAAgACAAIAAgACAAIAAgACAAXAAiAFcARQBCAFAAQQBHAEUAOgAgACAAIAAgACAAIAAgACAAIAAgAJIhaAB0AHQAcABzADoALwAvAHcAdwB3AC4AaQBuAHYAZQBzAHQAbwBwAGUAZABpAGEALgBjAG8AbQAvAHQAZQByAG0AcwAvAHcALwB3AG8AcgBrAGkAbgBnAGMAYQBwAGkAdABhAGwAdAB1AHIAbgBvAHYAZQByAC4AYQBzAHAAIAC2AFwAIgAgACYAXABuACAAIAAgACAAIAAgACAAIAAgACAAIAAgACAAIAAgACAAIAAgACAAIAAgACAAIAAgAFwAIgBWAEUAUgBTAEkATwBOADoAIAAgACAAIAAgACAAIAAgACAAIACSITEAOAAgAEEAdQBnACAAMgAwADIANgC2AFwAIgAgACYAXABuACAAIAAgACAAIAAgACAAIAAgACAAIAAgACAAIAAgACAAIAAgACAAIAAgACAAIAAgAFwAIgBQAEEAUgBBAE0ARQBUAEUAUgBTADoAkiG2AFwAIgAgACYAIABcAG4AIAAgACAAIAAgACAAIAAgACAAIAAgACAAIAAgACAAIAAgACAAIAAgACAAIAAgACAAXAAiAE4AZQB0AEEAbgBuAHUAYQBsAFMAYQBsAGUAcwAgACAAIAAgAJIhKABSAGUAcQB1AGkAcgBlAGQAKQAgAE4AZQB0ACAAQQBuAG4AdQBhAGwAIABTAGEAbABlAHMAIABjAGEAbgAgAGkAbgBjAGwAdQBkAGUAOgC2AFwAIgAgACYAXABuACAAIAAgACAAIAAgACAAIAAgACAAIAAgACAAIAAgACAAIAAgACAAIAAgACAAIAAgACAAIAAgACAAIAAgACAAIAAgACAAIAAgACAAIAAgACAAIAAgAFwAIgCSIUcAcgBvAHMAcwAgAHMAYQBsAGUAcwC2AFwAIgAgACYAXABuACAAIAAgACAAIAAgACAAIAAgACAAIAAgACAAIAAgACAAIAAgACAAIAAgACAAIAAgACAAIAAgACAAIAAgACAAIAAgACAAIAAgACAAIAAgACAAIAAgAFwAIgCSIUwAZQBzAHMAIAByAGUAdAB1AHIAbgBzALYAXAAiACAAJgBcAG4AIAAgACAAIAAgACAAIAAgACAAIAAgACAAIAAgACAAIAAgACAAIAAgACAAIAAgACAAIAAgACAAIAAgACAAIAAgACAAIAAgACAAIAAgACAAIAAgACAAXAAiAJIhTABlAHMAcwAgAGEAbABsAG8AdwBhAG4AYwBlAHMAtgBcACIAIAAmAFwAbgAgACAAIAAgACAAIAAgACAAIAAgACAAIAAgACAAIAAgACAAIAAgACAAIAAgACAAIAAgACAAIAAgACAAIAAgACAAIAAgACAAIAAgACAAIAAgACAAIABcACIAkiFMAGUAcwBzACAAZABpAHMAYwBvAHUAbgB0AHMAtgBcACIAIAAmACAAXABuACAAIAAgACAAIAAgACAAIAAgACAAIAAgACAAIAAgACAAIAAgACAAIAAgACAAIAAgAFwAIgBXAG8AcgBrAGkAbgBnAEMAYQBwAGkAdABhAGwAIAAgACAAIACSISgAUgBlAHEAdQBpAHIAZQBkACkAIABBAHYAZQByAGEAZwBlACAAbwBmACAAcABlAHIAaQBvAGQAIABvAHAAZQBuACAAYQBuAGQAIABjAGwAbwBzAGUAIABjAHUAcgByAGUAbgB0ACAAYQBzAHMAdABzACAAbABlAHMAcwAgAGMAdQByAHIAZQBuACAAbABpAGEAYgBpAGwAaQB0AGkAZQBzAC4AtgBcACIAIAAmACAAXABuACAAIAAgACAAIAAgACAAIAAgACAAIAAgACAAIAAgACAAIAAgACAAIAAgACAAIAAgAFwAIgBFAFgAQQBNAFAATABFAFMAOgAgACAAIAAgACAAIAAgACAAIACSIUYAbwByAG0AdQBsAGEAIAAoAG4AYQBiAGwAYQAuAHIAIABpAHMAIABhAHMAcwB1AG0AZQBkACAAdABvACAAYgBlACAAdABoAGUAIABtAG8AZAB1AGwAZQAnAHMAIABuAGEAbQBlACkAtgBcACIAIAAmAFwAbgAgACAAIAAgACAAIAAgACAAIAAgACAAIAAgACAAIAAgACAAIAAgACAAIAAgACAAIABcACIANgAuADAAIAAgACAAIAAgACAAIAAgACAAIAAgACAAIAAgACAAkiE9AG4AYQBiAGwAYQAuAHIALgBXAG8AcgBrAGkAbgBnAEMAYQBwAGkAdABhAGwAVAB1AHIAbgBvAHYAZQByAFIAYQB0AGkAbwC7AygAIAAxADIALgAwACwAIAAyAC4AM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BAG4AbgB1AGEAbABTAGEAbABlAHMAKQAsAFwAbgAgACAAIAAgACAAIAAgACAAIAAgACAAIAAgACAAIAAgACAAIAAgACAAIAAgACAAIAAgACAAIAAgAEkAUwBPAE0ASQBUAFQARQBEACgAIABXAG8AcgBrAGkAbgBnAEMAYQBwAGkAdABhAGwAKQBcAG4AIAAgACAAIAAgACAAIAAgACAAIAAgACAAIAAgACAAIAAgACAAIAAgACAAIAAgACAAKQAsAFwAbgAgACAAIAAgAC8ALwAgACAAUAByAG8AYwBlAGQAdQByAGUAXABuACAAIAAgACAAIAAgACAAIABSAGUAcwB1AGwAdAAsACAAIAAgACAAIAAgACAAIAAgAE4AZQB0AEEAbgBuAHUAYQBsAFMAYQBsAGUAcwAvAFcAbwByAGsAaQBuAGcAQwBhAHAAaQB0AGEAbAAsAFwAbgAgACAAIAAgAC8ALwAgACAAUgBlAHQAdQByAG4AIABSAGUAcwB1AGwAdABcAG4AIAAgACAAIAAgACAAIAAgAEMASABPAE8AUwBFACgASABlAGwAcAA/ACAAKwAgADEALAAgAFIAZQBzAHUAbAB0ACwAIABIAGUAbABwACkAIAAgACAAIAAgACAAIAAgAFwAbgAgACAAIAAgACkAXABuACkAOwBcAG4AXABuAFwAbgBcAG4AXABuAFwAbgBcAG4ALwAvACAAIABMAGUAdgBlAHIAYQBnAGUAIABSAGEAdABpAG8AcwAgACgAYQBrAGEAIABTAG8AbAB2AGUAbgBjAHkAIABSAGEAdABpAG8AcwApAFwAbgBcAG4AXABuAFwAbgAvACoAIAAgAEYAVQBOAEMAVABJAE8ATgAgAE4AQQBNAEUAOgAgACAARABlAGIAdABSAGEAdABpAG8AuwNcAG4AIAAgACAAIABEAEUAUwBDAFIASQBQAFQASQBPAE4AOgAqAC8ALwAqACoATQBlAGEAcwB1AHIAZQBzACAAdABoAGUAIABlAHgAdABlAG4AdAAgAG8AZgAgAGEAIABjAG8AbQBwAGEAbgB5ABkgcwAgAGwAZQB2AGUAcgBhAGcAZQAgACoALwBcAG4ARABlAGIAdABSAGEAdABpAG8AuwMgAD0AIABMAEEATQBCAEQAQQAoAFwAbgAvAC8AIAAgAFAAYQByAGEAbQBlAHQAZQByACAARABlAGMAbABhAFIAYQB0AGkAbwBuAHMAXABuACAAIAAgACAAIAAgACAAIABbAFQAbwB0AGEAbABEAGUAYgB0AF0ALAAgACAAXABuACAAIAAgACAAIAAgACAAIABbAFQAbwB0AGEAbABBAHMAcwBlAHQAcwBdACwAIAAgACAAIABcAG4ALwAvACAAIABIAGUAbABwAFwAbgAgACAAIAAgAEwARQBUACgASABlAGwAcAAsACAAIAAgAFQAUgBJAE0AKABUAEUAWABUAFMAUABMAEkAVAAoACAAXABuACAAIAAgACAAIAAgACAAIAAgACAAIAAgACAAIAAgACAAIAAgACAAIAAgACAAIAAgAFwAIgBGAFUATgBDAFQASQBPAE4AOgAgACAAIAAgACAAIACSIUQAZQBiAHQAUgBhAHQAaQBvALsDKAAgAFQAbwB0AGEAbABEAGUAYgB0ACwAIABUAG8AdABhAGwAQQBzAHMAZQB0AHMAKQC2AFwAIgAgACYAIABcAG4AIAAgACAAIAAgACAAIAAgACAAIAAgACAAIAAgACAAIAAgACAAIAAgACAAIAAgACAAXAAiAEQARQBTAEMAUgBJAFAAVABJAE8ATgA6ACAAIAAgAJIhTQBlAGEAcwB1AHIAZQBzACAAdABoAGUAIABlAHgAdABlAG4AdAAgAG8AZgAgAGEAIABjAG8AbQBwAGEAbgB5ABkgcwAgAGwAZQB2AGUAcgBhAGcAZQAgACgAVABvAHQAYQBsAEQAZQBiAHQALwBUAG8AdABhAGwAQQBzAHMAZQB0AHMAKQC2AFwAIgAgACYAIABcAG4AIAAgACAAIAAgACAAIAAgACAAIAAgACAAIAAgACAAIAAgACAAIAAgACAAIAAgACAAXAAiAFcARQBCAFAAQQBHAEUAOgAgACAAIAAgACAAIAAgAJIhaAB0AHQAcABzADoALwAvAHcAdwB3AC4AaQBuAHYAZQBzAHQAbwBwAGUAZABpAGEALgBjAG8AbQAvAHQAZQByAG0AcwAvAGQALwBkAGUAYgB0AHIAYQB0AGkAbwAuAGEAcwBwACMAIAC2AFwAIgAgACYAXABuACAAIAAgACAAIAAgACAAIAAgACAAIAAgACAAIAAgACAAIAAgACAAIAAgACAAIAAgAFwAIgBWAEUAUgBTAEkATwBOADoAIAAgACAAIAAgACAAIACSITEAOAAgAEEAdQBnACAAMgAwADIANgC2AFwAIgAgACYAXABuACAAIAAgACAAIAAgACAAIAAgACAAIAAgACAAIAAgACAAIAAgACAAIAAgACAAIAAgAFwAIgBQAEEAUgBBAE0ARQBUAEUAUgBTADoAkiG2AFwAIgAgACYAIABcAG4AIAAgACAAIAAgACAAIAAgACAAIAAgACAAIAAgACAAIAAgACAAIAAgACAAIAAgACAAXAAiAFQAbwB0AGEAbABEAGUAYgB0ACAAIAAgACAAIAAgAJIhKABSAGUAcQB1AGkAcgBlAGQAKQAgAFQAbwB0AGEAbAAgAEQAZQBiAHQAIAC2AFwAIgAgACYAIABcAG4AIAAgACAAIAAgACAAIAAgACAAIAAgACAAIAAgACAAIAAgACAAIAAgACAAIAAgACAAXAAiAFQAbwB0AGEAbABBAHMAcwBlAHQAcwAgACAAIAAgAJIhKABSAGUAcQB1AGkAcgBlAGQAKQAgAFQAbwB0AGEAbAAgAEEAcwBzAGUAdABzACA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LgAzACAAIAAgACAAIAAgACAAIAAgACAAIAAgACAAkiE9AG4AYQBiAGwAYQAuAHIALgBEAGUAYgB0AFIAYQB0AGkAbwC7AygAMwAwAC4AMAAsACAAMQAwADAALgAw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FQAbwB0AGEAbABEAGUAYgB0ACkALABcAG4AIAAgACAAIAAgACAAIAAgACAAIAAgACAAIAAgACAAIAAgACAAIAAgACAAIAAgACAAIAAgACAAIABJAFMATwBNAEkAVABUAEUARAAoACAAVABvAHQAYQBsAEEAcwBzAGUAdABzACkAXABuACAAIAAgACAAIAAgACAAIAAgACAAIAAgACAAIAAgACAAIAAgACAAIAAgACAAIAAgACkALABcAG4AIAAgACAAIAAvAC8AIAAgAFAAcgBvAGMAZQBkAHUAcgBlAFwAbgAgACAAIAAgACAAIAAgACAAUgBlAHMAdQBsAHQALAAgACAAIAAgACAAIAAgACAAIABUAG8AdABhAGwARABlAGIAdAAvAFQAbwB0AGEAbABBAHMAcwBlAHQAc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TAEMAUgC7A1wAbgAgACAAIAAgAEQARQBTAEMAUgBJAFAAVABJAE8ATgA6ACoALwAvACoAKgBEAGUAYgB0ACAAcwBlAHIAdgBpAGMAZQAgAGMAbwB2AGUAcgBhAGcAZQAgAFIAYQB0AGkAbwAgAG0AZQBhAHMAdQByAGUAcwAgAGEAIABmAGkAcgBtABkgcwAgAGEAdgBhAGkAbABhAGIAbABlACAAYwBhAHMAaAAgAGYAbABvAHcAIAB0AG8AIABwAGEAeQAgAGkAdABzACAAXABuAGMAdQByAHIAZQBuAHQAIABkAGUAYgB0ACAAbwBiAGwAaQBnAGEAdABpAG8AbgBzACgATgBlAHQAIABPAHAAZQByAGEAdABpAG4AZwAgAEkAbgBjAG8AbQBlAC8AVABvAHQAYQBsACAARABlAGIAdAAgAFMAZQByAHYAaQBjAGUAKQAgACoALwBcAG4ARABTAEMAUgC7AyAAPQAgAEwAQQBNAEIARABBACgAXABuAC8ALwAgACAAUABhAHIAYQBtAGUAdABlAHIAIABEAGUAYwBsAGEAUgBhAHQAaQBvAG4AcwBcAG4AIAAgACAAIAAgACAAIAAgAFsATgBlAHQATwBwAGUAcgBhAHQAaQBuAGcASQBuAGMAbwBtAGUAXQAsACAAIABcAG4AIAAgACAAIAAgACAAIAAgAFsAVABvAHQAYQBsAEQAZQBiAHQAUwBlAHIAdgBpAGMAZQBdACwAIAAgACAAIABcAG4ALwAvACAAIABIAGUAbABwAFwAbgAgACAAIAAgAEwARQBUACgASABlAGwAcAAsACAAIAAgAFQAUgBJAE0AKABUAEUAWABUAFMAUABMAEkAVAAoACAAXABuACAAIAAgACAAIAAgACAAIAAgACAAIAAgACAAIAAgACAAIAAgACAAIAAgACAAIAAgAFwAIgBGAFUATgBDAFQASQBPAE4AOgAgACAAIAAgACAAIAAgACAAIAAgAJIhRABTAEMAUgC7AygAIABOAGUAdABPAHAAZQByAGEAdABpAG4AZwBJAG4AYwBvAG0AZQAsACAAVABvAHQAYQBsAGQAZQBiAHQAcwBlAHIAdgBpAGMAZQApALYAXAAiACAAJgAgAFwAbgAgACAAIAAgACAAIAAgACAAIAAgACAAIAAgACAAIAAgACAAIAAgACAAIAAgACAAIABcACIARABFAFMAQwBSAEkAUABUAEkATwBOADoAIAAgACAAIAAgACAAIACSIU0AZQBhAHMAdQByAGUAcwAgAGEAIABmAGkAcgBtABkgcwAgAGEAdgBhAGkAbABhAGIAbABlACAAYwBhAHMAaAAgAGYAbABvAHcAIAB0AG8AIABwAGEAeQAgAGkAdABzACAAYwB1AHIAcgBlAG4AdAAgAGQAZQBiAHQAIABvAGIAbABpAGcAYQB0AGkAbwBuAHMAtgBcACIAIAAmAFwAbgAgACAAIAAgACAAIAAgACAAIAAgACAAIAAgACAAIAAgACAAIAAgACAAIAAgACAAIAAgACAAIAAgACAAIAAgACAAIAAgACAAIAAgACAAIAAgACAAIAAgAFwAIgCSISgATgBlAHQAIABPAHAAZQByAGEAdABpAG4AZwAgAEkAbgBjAG8AbQBlAC8AVABvAHQAYQBsACAARABlAGIAdAAgAFMAZQByAHYAaQBjAGUAKQC2AFwAIgAgACYAIABcAG4AIAAgACAAIAAgACAAIAAgACAAIAAgACAAIAAgACAAIAAgACAAIAAgACAAIAAgACAAXAAiAFcARQBCAFAAQQBHAEUAOgAgACAAIAAgACAAIAAgACAAIAAgACAAkiFoAHQAdABwAHMAOgAvAC8AdwB3AHcALgBpAG4AdgBlAHMAdABvAHAAZQBkAGkAYQAuAGMAbwBtAC8AdABlAHIAbQBzAC8AZAAvAGQAcwBjAHI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OAGUAdABPAHAAZQByAGEAdABpAG4AZwBJAG4AYwBvAG0AZQAgAJIhKABSAGUAcQB1AGkAcgBlAGQAKQAgAFIAZQB2AGUAbgB1AGUAIAAtACAAQwBlAHIAdABhAGkAbgAgAE8AcABlAHIAYQB0AGkAbgBnACAARQB4AHAAZQBuAHMAZQBzALYAXAAiACAAJgAgAFwAbgAgACAAIAAgACAAIAAgACAAIAAgACAAIAAgACAAIAAgACAAIAAgACAAIAAgACAAIABcACIAVABvAHQAYQBsAGQAZQBiAHQAUwBlAHIAdgBpAGMAZQAgACAAIACSISgAUgBlAHEAdQBpAHIAZQBkACkAIABJAG4AdABlAHIAZQBzAHQAIAAqACAAKAAxAC0AVABhAHgAIABSAGEAdABlACkALAAgAHAAcgBpAG4AYwBpAHAAYQBsACwAIABzAGkAbgBrAGkAbgBnACAAZgB1AG4AZAAsALYAXAAiACAAJgBcAG4AIAAgACAAIAAgACAAIAAgACAAIAAgACAAIAAgACAAIAAgACAAIAAgACAAIAAgACAAIAAgACAAIAAgACAAIAAgACAAIAAgACAAIAAgACAAIAAgACAAIABcACIAkiFhAG4AZAAgAGwAZQBhAHMAZQAgAHAAYQB5AG0AZQBuAHQAcwAgAGQAdQBlACAAaQBuACAAdABoAGUAIABjAG8AbQBpAG4AZwAgAHkAZQBhAHI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2AC4AMQA0ADIAOAA1ADcAIAAgACAAIAAgACAAIAAgACAAIAAgAJIhPQBuAGEAYgBsAGEALgByAC4ARABTAEMAUgC7AygAMgAxADUAMAAuADAALAAgADMANQAwAC4AM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PAHAAZQByAGEAdABpAG4AZwBJAG4AYwBvAG0AZQApACwAXABuACAAIAAgACAAIAAgACAAIAAgACAAIAAgACAAIAAgACAAIAAgACAAIAAgACAAIAAgACAAIAAgACAASQBTAE8ATQBJAFQAVABFAEQAKAAgAFQAbwB0AGEAbABkAGUAYgB0AHMAZQByAHYAaQBjAGUAKQBcAG4AIAAgACAAIAAgACAAIAAgACAAIAAgACAAIAAgACAAIAAgACAAIAAgACAAIAAgACAAKQAsAFwAbgAgACAAIAAgAC8ALwAgACAAUAByAG8AYwBlAGQAdQByAGUAXABuACAAIAAgACAAIAAgACAAIABSAGUAcwB1AGwAdAAsACAAIAAgACAAIAAgACAAIAAgAE4AZQB0AE8AcABlAHIAYQB0AGkAbgBnAEkAbgBjAG8AbQBlAC8AVABvAHQAYQBsAEQAZQBiAHQAUwBlAHIAdgBpAGM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lAGIAdABUAG8AQwBhAHAAaQB0AGEAbABSAGEAdABpAG8AuwNcAG4AIAAgACAAIABEAEUAUwBDAFIASQBQAFQASQBPAE4AOgAqAC8ALwAqACoARwBpAHYAZQBzACAAYQBuAGEAbAB5AHMAdABzACAAYQBuAGQAIABpAG4AdgBlAHMAdABvAHIAcwAgAGEAIABiAGUAdAB0AGUAcgAgAGkAZABlAGEAIABvAGYAIABhACAAYwBvAG0AcABhAG4AeQAnAHMAIABmAGkAbgBhAG4AYwBpAGEAbAAgAHMAdAByAHUAYwB0AHUAcgBlAFwAbgBhAG4AZAAgAHcAaABlAHQAaABlAHIAIABvAHIAIABuAG8AdAAgAHQAaABlACAAYwBvAG0AcABhAG4AeQAgAGkAcwAgAGEAIABzAHUAaQB0AGEAYgBsAGUAIABpAG4AdgBlAHMAdABtAGUAbgB0ACAAKABEAGUAYgB0AC8AKABEAGUAYgB0ACAAKwAgAFMAaABhAHIAZQBoAG8AbABkAGUAcgBzACcAIABlAHEAdQBpAHQAeQApACAAKgAvAFwAbgBEAGUAYgB0AFQAbwBDAGEAcABpAHQAYQBsAFIAYQB0AGkAbwC7AyAAPQAgAEwAQQBNAEIARABBACgAXABuAC8ALwAgACAAUABhAHIAYQBtAGUAdABlAHIAIABEAGUAYwBsAGEAUgBhAHQAaQBvAG4AcwBcAG4AIAAgACAAIAAgACAAIAAgAFsARABlAGIAdABdACwAIAAgAFwAbgAgACAAIAAgACAAIAAgACAAWwBTAGgAYQByAGUAaABvAGwAZABlAHIAcwBFAHEAdQBpAHQAeQBdACwAIAAgACAAIABcAG4ALwAvACAAIABIAGUAbABwAFwAbgAgACAAIAAgAEwARQBUACgASABlAGwAcAAsACAAIAAgAFQAUgBJAE0AKABUAEUAWABUAFMAUABMAEkAVAAoACAAXABuACAAIAAgACAAIAAgACAAIAAgACAAIAAgACAAIAAgACAAIAAgACAAIAAgACAAIAAgAFwAIgBGAFUATgBDAFQASQBPAE4AOgAgACAAIAAgACAAIAAgACAAIAAgAJIhRABlAGIAdABUAG8AQwBhAHAAaQB0AGEAbABSAGEAdABpAG8AuwMoACAARABlAGIAdAAsACAAUwBoAGEAcgBlAGgAbwBsAGQAZQByAHMARQBxAHUAaQB0AHkAKQC2AFwAIgAgACYAIABcAG4AIAAgACAAIAAgACAAIAAgACAAIAAgACAAIAAgACAAIAAgACAAIAAgACAAIAAgACAAXAAiAEQARQBTAEMAUgBJAFAAVABJAE8ATgA6ACAAIAAgACAAIAAgACAAkiFHAGkAdgBlAHMAIABhAG4AYQBsAHkAcwB0AHMAIABhAG4AZAAgAGkAbgB2AGUAcwB0AG8AcgBzACAAYQAgAGIAZQB0AHQAZQByACAAaQBkAGUAYQAgAG8AZgAgAGEAIABjAG8AbQBwAGEAbgB5ACcAcwAgAGYAaQBuAGEAbgBjAGkAYQBsACAAcwB0AHIAdQBjAHQAdQByAGUAtgBcACIAIAAmAFwAbgAgACAAIAAgACAAIAAgACAAIAAgACAAIAAgACAAIAAgACAAIAAgACAAIAAgACAAIAAgACAAIAAgACAAIAAgACAAIAAgACAAIAAgACAAIAAgACAAIAAgAFwAIgCSIWEAbgBkACAAdwBoAGUAdABoAGUAcgAgAG8AcgAgAG4AbwB0ACAAdABoAGUAIABjAG8AbQBwAGEAbgB5ACAAaQBzACAAYQAgAHMAdQBpAHQAYQBiAGwAZQAgAGkAbgB2AGUAcwB0AG0AZQBuAHQALgC2AFwAIgAgACYAIABcAG4AIAAgACAAIAAgACAAIAAgACAAIAAgACAAIAAgACAAIAAgACAAIAAgACAAIAAgACAAIAAgACAAIAAgACAAIAAgACAAIAAgACAAIAAgACAAIAAgACAAIABcACIAkiEoAEQAZQBiAHQALwAoAEQAZQBiAHQAIAArACAAUwBoAGEAcgBlAGgAbwBsAGQAZQByAHMAJwAgAGUAcQB1AGkAdAB5ACkAtgBcACIAIAAmACAAXABuACAAIAAgACAAIAAgACAAIAAgACAAIAAgACAAIAAgACAAIAAgACAAIAAgACAAIAAgAFwAIgBXAEUAQgBQAEEARwBFADoAIAAgACAAIAAgACAAIAAgACAAIAAgAJIhaAB0AHQAcABzADoALwAvAHcAdwB3AC4AaQBuAHYAZQBzAHQAbwBwAGUAZABpAGEALgBjAG8AbQAvAHQAZQByAG0AcwAvAGQALwBkAGUAYgB0AC0AdABvAC0AYwBhAHAAaQB0AGEAbAByAGEAdABpAG8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EAGUAYgB0ACAAIAAgACAAIAAgACAAIAAgACAAIAAgACAAIAAgAJIhKABSAGUAcQB1AGkAcgBlAGQAKQAgAFQAbwB0AGEAbAAgAEQAZQBiAHQAIAB3AGgAaQBjAGgAIABjAGEAbgAgAGkAbgBjAGwAdQBkAGUAOgAgALYAXAAiACAAJgBcAG4AIAAgACAAIAAgACAAIAAgACAAIAAgACAAIAAgACAAIAAgACAAIAAgACAAIAAgACAAIAAgACAAIAAgACAAIAAgACAAIAAgACAAIAAgACAAIAAgACAAIABcACIAkiFOAG8AdABlAHMAIABwAGEAeQBhAGIAbABlALYAXAAiACAAJgBcAG4AIAAgACAAIAAgACAAIAAgACAAIAAgACAAIAAgACAAIAAgACAAIAAgACAAIAAgACAAIAAgACAAIAAgACAAIAAgACAAIAAgACAAIAAgACAAIAAgACAAIABcACIAkiFCAG8AbgBkAHMAIABwAGEAeQBhAGIAbABlALYAXAAiACAAJgBcAG4AIAAgACAAIAAgACAAIAAgACAAIAAgACAAIAAgACAAIAAgACAAIAAgACAAIAAgACAAIAAgACAAIAAgACAAIAAgACAAIAAgACAAIAAgACAAIAAgACAAIABcACIAkiFMAG8AbgBnAC0AdABlAHIAbQAgAGwAaQBhAGIAaQBsAGkAdABpAGUAcwC2AFwAIgAgACYAXABuACAAIAAgACAAIAAgACAAIAAgACAAIAAgACAAIAAgACAAIAAgACAAIAAgACAAIAAgAFwAIgBTAGgAYQByAGUAaABvAGwAZABlAHIAcwBFAHEAdQBpAHQAeQAgAJIhKABSAGUAcQB1AGkAcgBlAGQAKQAgAFMAaABhAHIAZQBoAG8AbABkAGUAcgBzACcAIABFAHEAdQBpAHQAeQAgACgAdABvAHQAYQBsACAAYQBzAHMAZQB0AHMAIAAtACAAdABvAHQAYQBsACAAbABpAGEAYgBpAGwAaQB0AGkAZQBzACkAIA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DIANgAuADQAJQAgACAAIAAgACAAIAAgACAAIAAgACAAIAAgACAAkiE9AG4AYQBiAGwAYQAuAHIALgBEAGUAYgB0AFQAbwBDAGEAcABpAHQAYQBsAFIAYQB0AGkAbwC7AygAIAA4ADAALgAwACwAIAAyADIAMw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EAGUAYgB0ACkALABcAG4AIAAgACAAIAAgACAAIAAgACAAIAAgACAAIAAgACAAIAAgACAAIAAgACAAIAAgACAAIAAgACAAIABJAFMATwBNAEkAVABUAEUARAAoACAAUwBoAGEAcgBlAGgAbwBsAGQAZQByAHMARQBxAHUAaQB0AHkAKQBcAG4AIAAgACAAIAAgACAAIAAgACAAIAAgACAAIAAgACAAIAAgACAAIAAgACAAIAAgACAAKQAsAFwAbgAgACAAIAAgAC8ALwAgACAAUAByAG8AYwBlAGQAdQByAGUAXABuACAAIAAgACAAIAAgACAAIABSAGUAcwB1AGwAdAAsACAAIAAgACAAIAAgACAAIAAgAEQAZQBiAHQALwAoAEQAZQBiAHQAKwBTAGgAYQByAGUAaABvAGwAZABlAHIAcwBFAHEAdQBpAHQAeQAp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FAHEAdQBpAHQAeQBNAHUAbAB0AGkAcABsAGkAZQByALsDXABuACAAIAAgACAARABFAFMAQwBSAEkAUABUAEkATwBOADoAKgAvAC8AKgAqAE0AZQBhAHMAdQByAGUAcwAgAHQAaABlACAAcABvAHIAdABpAG8AbgAgAG8AZgAgAGEAIABjAG8AbQBwAGEAbgB5ABkgcwAgAGEAcwBzAGUAdABzACAAZgBpAG4AYQBuAGMAZQBkACAAYgB5ACAAcwBoAGEAcgBlAGgAbwBsAGQAZQByAHMAJwBcAG4AZQBxAHUAaQB0AHkAIAByAGEAdABoAGUAcgAgAHQAaABhAG4AIABiAHkAIABkAGUAYgB0ACAAKABUAG8AdABhAGwAQQBzAHMAZQB0AHMALwBUAG8AdABhAGwAUwBoAGEAcgBlAGgAbwBsAGQAZQByAHMARQBxAHUAaQB0AHkAKQAgACoALwBcAG4ARQBxAHUAaQB0AHkATQB1AGwAdABpAHAAbABpAGUAcgC7AyAAPQAgAEwAQQBNAEIARABBACgAXABuAC8ALwAgACAAUABhAHIAYQBtAGUAdABlAHIAIABEAGUAYwBsAGEAUgBhAHQAaQBvAG4AcwBcAG4AIAAgACAAIAAgACAAIAAgAFsAVABvAHQAYQBsAEEAcwBzAGUAdABzAF0ALAAgACAAXABuACAAIAAgACAAIAAgACAAIABbAFQAbwB0AGEAbABTAGgAYQByAGUAaABvAGwAZABlAHIAcwBFAHEAdQBpAHQAeQBdACwAIAAgACAAIABcAG4ALwAvACAAIABIAGUAbABwAFwAbgAgACAAIAAgAEwARQBUACgASABlAGwAcAAsACAAIAAgAFQAUgBJAE0AKABUAEUAWABUAFMAUABMAEkAVAAoACAAXABuACAAIAAgACAAIAAgACAAIAAgACAAIAAgACAAIAAgACAAIAAgACAAIAAgACAAIAAgAFwAIgBGAFUATgBDAFQASQBPAE4AOgAgACAAIAAgACAAIAAgACAAIAAgAJIhRQBxAHUAaQB0AHkATQB1AGwAdABpAHAAbABpAGUAcgC7AygAIABUAG8AdABhAGwAQQBzAHMAZQB0AHMALAAgAFQAbwB0AGEAbABTAGgAYQByAGUAaABvAGwAZABlAHIAcwBFAHEAdQBpAHQAeQApALYAXAAiACAAJgAgAFwAbgAgACAAIAAgACAAIAAgACAAIAAgACAAIAAgACAAIAAgACAAIAAgACAAIAAgACAAIABcACIARABFAFMAQwBSAEkAUABUAEkATwBOADoAIAAgACAAIAAgACAAIACSIU0AZQBhAHMAdQByAGUAcwAgAHQAaABlACAAcABvAHIAdABpAG8AbgAgAG8AZgAgAGEAIABjAG8AbQBwAGEAbgB5ABkgcwAgAGEAcwBzAGUAdABzACAAZgBpAG4AYQBuAGMAZQBkACAAYgB5ACAAcwBoAGEAcgBlAGgAbwBsAGQAZQByAHMAJwAgALYAXAAiACAAJgBcAG4AIAAgACAAIAAgACAAIAAgACAAIAAgACAAIAAgACAAIAAgACAAIAAgACAAIAAgACAAIAAgACAAIAAgACAAIAAgACAAIAAgACAAIAAgACAAIAAgACAAIABcACIAkiFlAHEAdQBpAHQAeQAgAHIAYQB0AGgAZQByACAAdABoAGEAbgAgAGIAeQAgAGQAZQBiAHQAIAAoAFQAbwB0AGEAbABBAHMAcwBlAHQAcwAvAFQAbwB0AGEAbABTAGgAYQByAGUAaABvAGwAZABlAHIAcwBFAHEAdQBpAHQAeQApALYAXAAiACAAJgAgAFwAbgAgACAAIAAgACAAIAAgACAAIAAgACAAIAAgACAAIAAgACAAIAAgACAAIAAgACAAIABcACIAVwBFAEIAUABBAEcARQA6ACAAIAAgACAAIAAgACAAIAAgACAAIACSIWgAdAB0AHAAcwA6AC8ALwB3AHcAdwAuAGkAbgB2AGUAcwB0AG8AcABlAGQAaQBhAC4AYwBvAG0ALwB0AGUAcgBtAHMALwBlAC8AZQBxAHUAaQB0AHkAbQB1AGwAdABpAHAAbABpAGUAcgAuAGEAcwBw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IAAgACAAIAAgACAAIAAgAJIhtgBcACIAIAAmACAAXABuACAAIAAgACAAIAAgACAAIAAgACAAIAAgACAAIAAgACAAIAAgACAAIAAgACAAIAAgAFwAIgBUAG8AdABhAGwAQQBzAHMAZQB0AHMAIAAgACAAIAAgACAAIAAgAJIhKABSAGUAcQB1AGkAcgBlAGQAKQAgAEIAbwB0AGgAIABjAHUAcgByAGUAbgB0ACAAYQBuAGQAIABsAG8AbgBnAC0AdABlAHIAbQAgAGEAcwBzAGUAdABzALYAXAAiACAAJgAgAFwAbgAgACAAIAAgACAAIAAgACAAIAAgACAAIAAgACAAIAAgACAAIAAgACAAIAAgACAAIABcACIAUwBoAGEAcgBlAGgAbwBsAGQAZQByAHMARQBxAHUAaQB0AHkAIACSISgAUgBlAHEAdQBpAHIAZQBkACkAIABTAGgAYQByAGUAaABvAGwAZABlAHIAcwAnACAARQBxAHUAaQB0AHkAIAAoAHQAbwB0AGEAbAAgAGEAcwBzAGUAdABzACAALQAgAHQAbwB0AGEAbAAgAGwAaQBhAGIAaQBsAGkAdABpAGUAcwApACA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0AC4ANAAwADYAMgA1ACAAIAAgACAAIAAgACAAIAAgACAAIAAgAJIhPQBuAGEAYgBsAGEALgByAC4ARQBxAHUAaQB0AHkATQB1AGwAdABpAHAAbABpAGUAcgC7AygAMwA2ADYALgA2ACwAIAA4ADMALgAy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VABvAHQAYQBsAEEAcwBzAGUAdABzACkALABcAG4AIAAgACAAIAAgACAAIAAgACAAIAAgACAAIAAgACAAIAAgACAAIAAgACAAIAAgACAAIAAgACAAIABJAFMATwBNAEkAVABUAEUARAAoACAAVABvAHQAYQBsAFMAaABhAHIAZQBoAG8AbABkAGUAcgBzAEUAcQB1AGkAdAB5ACkAXABuACAAIAAgACAAIAAgACAAIAAgACAAIAAgACAAIAAgACAAIAAgACAAIAAgACAAIAAgACkALABcAG4AIAAgACAAIAAvAC8AIAAgAFAAcgBvAGMAZQBkAHUAcgBlAFwAbgAgACAAIAAgACAAIAAgACAAUgBlAHMAdQBsAHQALAAgACAAIAAgACAAIAAgACAAIABUAG8AdABhAGwAQQBzAHMAZQB0AHMALwBUAG8AdABhAGwAUwBoAGEAcgBlAGgAbwBsAGQAZQByAHMARQBxAHUAaQB0AHkALABcAG4AIAAgACAAIAAvAC8AIAAgAFIAZQB0AHUAcgBuACAAUgBlAHMAdQBsAHQAXABuACAAIAAgACAAIAAgACAAIABDAEgATwBPAFMARQAoAEgAZQBsAHAAPwAgACsAIAAxACwAIABSAGUAcwB1AGwAdAAsACAASABlAGwAcAApACAAIAAgACAAIAAgACAAIABcAG4AIAAgACAAIAApAFwAbgApADsAXABuAFwAbgBcAG4AXABuAFwAbgBcAG4AXABuAC8ALwAgACAAUwBvAGwAdgBlAG4AYwB5ACAAUgBhAHQAaQBvAHMAXABuAFwAbgAgAFwAbgAvACoAIAAgAEYAVQBOAEMAVABJAE8ATgAgAE4AQQBNAEUAOgAgACAARABlAGIAdABUAG8ARQBxAHUAaQB0AHkAUgBhAHQAaQBvALsDXABuACAAIAAgACAARABFAFMAQwBSAEkAUABUAEkATwBOADoAKgAvAC8AKgAqAE0AZQBhAHMAdQByAGUAcwAgAHQAaABlACAAZABlAGcAcgBlAGUAIAB0AG8AIAB3AGgAaQBjAGgAIABhACAAYwBvAG0AcABhAG4AeQAgAGkAcwAgAGYAaQBuAGEAbgBjAGkAbgBnACAAbwBwAGUAcgBhAHQAaQBvAG4AcwBcAG4AdwBpAHQAaAAgAGQAZQBiAHQAIAByAGEAdABoAGUAcgAgAHQAaABhAG4AIABpAHQAcwAgAG8AdwBuACAAcgBlAHMAbwB1AHIAYwBlAHMALgAgACgAVABvAHQAYQBsACAATABpAGEAYgBpAGwAaQB0AGkAZQBzAC8AUwBoAGEAcgBlAGgAbwBsAGQAZQByAHMAJwAgAEUAcQB1AGkAdAB5ACkAIAAqAC8AXABuAEQAZQBiAHQAVABvAEUAcQB1AGkAdAB5AFIAYQB0AGkAbwC7AyAAPQAgAEwAQQBNAEIARABBACgAXABuAC8ALwAgACAAUABhAHIAYQBtAGUAdABlAHIAIABEAGUAYwBsAGEAUgBhAHQAaQBvAG4AcwBcAG4AIAAgACAAIAAgACAAIAAgAFsAVABvAHQAYQBsAEwAaQBhAGIAaQBsAGkAdABpAGUAcwBdACwAIAAgAFwAbgAgACAAIAAgACAAIAAgACAAWwBTAGgAYQByAGUAaABvAGwAZABlAHIAcwBFAHEAdQBpAHQAeQBdACwAIAAgACAAIABcAG4ALwAvACAAIABIAGUAbABwAFwAbgAgACAAIAAgAEwARQBUACgASABlAGwAcAAsACAAIAAgAFQAUgBJAE0AKABUAEUAWABUAFMAUABMAEkAVAAoACAAXABuACAAIAAgACAAIAAgACAAIAAgACAAIAAgACAAIAAgACAAIAAgACAAIAAgACAAIAAgAFwAIgBGAFUATgBDAFQASQBPAE4AOgAgACAAIAAgACAAIAAgACAAIAAgAJIhRABlAGIAdABUAG8ARQBxAHUAaQB0AHkAUgBhAHQAaQBvALsDKAAgAFQAbwB0AGEAbABMAGkAYQBiAGkAbABpAHQAaQBlAHMALAAgAFMAaABhAHIAZQBoAG8AbABkAGUAcgBzAEUAcQB1AGkAdAB5ACkAtgBcACIAIAAmACAAXABuACAAIAAgACAAIAAgACAAIAAgACAAIAAgACAAIAAgACAAIAAgACAAIAAgACAAIAAgAFwAIgBEAEUAUwBDAFIASQBQAFQASQBPAE4AOgAgACAAIAAgACAAIAAgAJIhTQBlAGEAcwB1AHIAZQBzACAAdABoAGUAIABkAGUAZwByAGUAZQAgAHQAbwAgAHcAaABpAGMAaAAgAGEAIABjAG8AbQBwAGEAbgB5ACAAaQBzACAAZgBpAG4AYQBuAGMAaQBuAGcAIABvAHAAZQByAGEAdABpAG8AbgBzALYAXAAiACAAJgBcAG4AIAAgACAAIAAgACAAIAAgACAAIAAgACAAIAAgACAAIAAgACAAIAAgACAAIAAgACAAIAAgACAAIAAgACAAIAAgACAAIAAgACAAIAAgACAAIAAgACAAIABcACIAkiF3AGkAdABoACAAZABlAGIAdAAgAHIAYQB0AGgAZQByACAAdABoAGEAbgAgAGkAdABzACAAbwB3AG4AIAByAGUAcwBvAHUAcgBjAGUAcwAuACAAKABUAG8AdABhAGwAIABMAGkAYQBiAGkAbABpAHQAaQBlAHMALwBTAGgAYQByAGUAaABvAGwAZABlAHIAcwAnACAARQBxAHUAaQB0AHkAKQC2AFwAIgAgACYAIABcAG4AIAAgACAAIAAgACAAIAAgACAAIAAgACAAIAAgACAAIAAgACAAIAAgACAAIAAgACAAXAAiAFcARQBCAFAAQQBHAEUAOgAgACAAIAAgACAAIAAgACAAIAAgACAAkiFoAHQAdABwAHMAOgAvAC8AdwB3AHcALgBpAG4AdgBlAHMAdABvAHAAZQBkAGkAYQAuAGMAbwBtAC8AdABlAHIAbQBzAC8AZAAvAGQAZQBiAHQAZQBxAHUAaQB0AHkAcgBhAHQAaQBvAC4AYQBzAHA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AgACAAIAAgACAAIAAgACAAkiG2AFwAIgAgACYAIABcAG4AIAAgACAAIAAgACAAIAAgACAAIAAgACAAIAAgACAAIAAgACAAIAAgACAAIAAgACAAXAAiAFQAbwB0AGEAbABMAGkAYQBiAGkAbABpAHQAaQBlAHMAIAAgACAAkiEoAFIAZQBxAHUAaQByAGUAZAApACAAVABvAHQAYQBsACAATABpAGEAYgBpAGwAaQB0AGkAZQBzALYAXAAiACAAJgAgAFwAbgAgACAAIAAgACAAIAAgACAAIAAgACAAIAAgACAAIAAgACAAIAAgACAAIAAgACAAIABcACIAUwBoAGEAcgBlAGgAbwBsAGQAZQByAHMARQBxAHUAaQB0AHkAIACSISgAUgBlAHEAdQBpAHIAZQBkACkAIABTAGgAYQByAGUAaABvAGwAZABlAHIAcwAnACAARQBxAHUAaQB0AHkAIAAoAHQAbwB0AGEAbAAgAGEAcwBzAGUAdABzACAALQAgAHQAbwB0AGEAbAAgAGwAaQBhAGIAaQBsAGkAdABpAGUAcwApACA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zAC4ANwA3ACAAIAAgACAAIAAgACAAIAAgACAAIAAgACAAIAAgAJIhPQBuAGEAYgBsAGEALgByAC4ARABlAGIAdABUAG8ARQBxAHUAaQB0AHkAUgBhAHQAaQBvALsDKAAyADcAOQAuADAALAAgADcANA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UAG8AdABhAGwATABpAGEAYgBpAGwAaQB0AGkAZQBzACkALABcAG4AIAAgACAAIAAgACAAIAAgACAAIAAgACAAIAAgACAAIAAgACAAIAAgACAAIAAgACAAIAAgACAAIABJAFMATwBNAEkAVABUAEUARAAoACAAUwBoAGEAcgBlAGgAbwBsAGQAZQByAHMARQBxAHUAaQB0AHkAKQAsAFwAbgAgACAAIAAgACAAIAAgACAAIAAgACAAIAAgACAAIAAgACAAIAAgACAAIAAgACAAIAApACwAXABuACAAIAAgACAALwAvACAAIABQAHIAbwBjAGUAZAB1AHIAZQBcAG4AIAAgACAAIAAgACAAIAAgAFIAZQBzAHUAbAB0ACwAIAAgACAAIAAgACAAIAAgACAAVABvAHQAYQBsAEwAaQBhAGIAaQBsAGkAdABpAGUAcwAvAFMAaABhAHIAZQBoAG8AbABkAGUAcgBzAEUAcQB1AGkAdAB5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EAGUAYgB0AFQAbwBBAHMAcwBlAHQAUgBhAHQAaQBvALsDXABuACAAIAAgACAARABFAFMAQwBSAEkAUABUAEkATwBOADoAKgAvAC8AKgAqAEEAbgBhAGwAeQBzAHQAcwAgAGMAYQBuACAAYwBvAG0AcABhAHIAZQAgAG8AbgBlACAAYwBvAG0AcABhAG4AeQAnAHMAIABsAGUAdgBlAHIAYQBnAGUAIAB3AGkAdABoACAAdABoAGEAdAAgAG8AZgAgAG8AdABoAGUAcgAgAFwAbgBjAG8AbQBwAGEAbgBpAGUAcwAgAGkAbgAgAHQAaABlACAAcwBhAG0AZQAgAGkAbgBkAHUAcwB0AHIAeQAuACAAKABUAG8AdABhAGwAIABEAGUAYgB0AC8AVABvAHQAYQBsACAAQQBzAHMAZQB0AHMAKQAgACoALwBcAG4ARABlAGIAdABUAG8AQQBzAHMAZQB0AFIAYQB0AGkAbwC7AyAAPQAgAEwAQQBNAEIARABBACgAXABuAC8ALwAgACAAUABhAHIAYQBtAGUAdABlAHIAIABEAGUAYwBsAGEAUgBhAHQAaQBvAG4AcwBcAG4AIAAgACAAIAAgACAAIAAgAFsAVABvAHQAYQBsAEQAZQBiAHQAXQAsACAAIABcAG4AIAAgACAAIAAgACAAIAAgAFsAVABvAHQAYQBsAEEAcwBzAGUAdABzAF0ALAAgACAAIAAgAFwAbgAvAC8AIAAgAEgAZQBsAHAAXABuACAAIAAgACAATABFAFQAKABIAGUAbABwACwAIAAgACAAVABSAEkATQAoAFQARQBYAFQAUwBQAEwASQBUACgAIABcAG4AIAAgACAAIAAgACAAIAAgACAAIAAgACAAIAAgACAAIAAgACAAIAAgACAAIAAgACAAXAAiAEYAVQBOAEMAVABJAE8ATgA6ACAAIAAgACAAIAAgACAAIAAgACAAkiFEAGUAYgB0AFQAbwBBAHMAcwBlAHQAUgBhAHQAaQBvALsDKAAgAFQAbwB0AGEAbABEAGUAYgB0ACwAIABUAG8AdABhAGwAQQBzAHMAZQB0AHMAKQC2AFwAIgAgACYAIABcAG4AIAAgACAAIAAgACAAIAAgACAAIAAgACAAIAAgACAAIAAgACAAIAAgACAAIAAgACAAXAAiAEQARQBTAEMAUgBJAFAAVABJAE8ATgA6ACAAIAAgACAAIAAgACAAkiFBAG4AYQBsAHkAcwB0AHMAIABjAGEAbgAgAGMAbwBtAHAAYQByAGUAIABvAG4AZQAgAGMAbwBtAHAAYQBuAHkAJwBzACAAbABlAHYAZQByAGEAZwBlACAAdwBpAHQAaAAgAHQAaABhAHQAIABvAGYAIABvAHQAaABlAHIAIAB5ALYAXAAiACAAJgBcAG4AIAAgACAAIAAgACAAIAAgACAAIAAgACAAIAAgACAAIAAgACAAIAAgACAAIAAgACAAIAAgACAAIAAgACAAIAAgACAAIAAgACAAIAAgACAAIAAgACAAIABcACIAkiFjAG8AbQBwAGEAbgBpAGUAcwAgAGkAbgAgAHQAaABlACAAcwBhAG0AZQAgAGkAbgBkAHUAcwB0AHIAeQAgACgAVABvAHQAYQBsACAARABlAGIAdAAvAFQAbwB0AGEAbAAgAEEAcwBzAGUAdABzACkAtgBcACIAIAAmAFwAbgAgACAAIAAgACAAIAAgACAAIAAgACAAIAAgACAAIAAgACAAIAAgACAAIAAgACAAIABcACIAVwBFAEIAUABBAEcARQA6ACAAIAAgACAAIAAgACAAIAAgACAAIACSIWgAdAB0AHAAcwA6AC8ALwB3AHcAdwAuAGkAbgB2AGUAcwB0AG8AcABlAGQAaQBhAC4AYwBvAG0ALwB0AGUAcgBtAHMALwB0AC8AdABvAHQAYQBsAGQAZQBiAHQAdABvAHQAbwB0AGEAbABhAHMAcwBlAHQAcwAuAGEAcwBw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IAAgACAAIAAgACAAIAAgAJIhtgBcACIAIAAmACAAXABuACAAIAAgACAAIAAgACAAIAAgACAAIAAgACAAIAAgACAAIAAgACAAIAAgACAAIAAgAFwAIgBUAG8AdABhAGwARABlAGIAdAAgACAAIAAgACAAIAAgACAAIAAgAJIhKABSAGUAcQB1AGkAcgBlAGQAKQAgAFQAbwB0AGEAbAAgAGQAZQBiAHQAIABpAG4AYwBsAHUAZABlAHMAIABzAGgAbwByAHQAdABlAHIAbQAgAGEAbgBkACAAbABvAG4AZwB0AGUAcgBtACAAZABlAGIAdAC2AFwAIgAgACYAIABcAG4AIAAgACAAIAAgACAAIAAgACAAIAAgACAAIAAgACAAIAAgACAAIAAgACAAIAAgACAAXAAiAFQAbwB0AGEAbABBAHMAcwBlAHQAcwAgACAAIAAgACAAIAAgACAAkiEoAFIAZQBxAHUAaQByAGUAZAApACAAUwBoAGEAcgBlAGgAbwBsAGQAZQByAHMAJwAgAEUAcQB1AGkAdAB5ACAAKAB0AG8AdABhAGwAIABhAHMAcwBlAHQAcwAgAC0AIAB0AG8AdABhAGwAIABsAGkAYQBiAGkAbABpAHQAaQBlAHMAKQAg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LgA0ADkAOAA3ADMAIAAgACAAIAAgACAAIAAgACAAIAAgACAAIACSIT0AbgBhAGIAbABhAC4AcgAuAEQAZQBiAHQAVABvAEEAcwBzAGUAdABSAGEAdABpAG8AuwMoADMAMQAuADgANAA1ACwAIAA2ADMALgA4ADUAMg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FQAbwB0AGEAbABEAGUAYgB0ACkALABcAG4AIAAgACAAIAAgACAAIAAgACAAIAAgACAAIAAgACAAIAAgACAAIAAgACAAIAAgACAAIAAgACAAIABJAFMATwBNAEkAVABUAEUARAAoACAAVABvAHQAYQBsAEEAcwBzAGUAdABzACkAXABuACAAIAAgACAAIAAgACAAIAAgACAAIAAgACAAIAAgACAAIAAgACAAIAAgACAAIAAgACkALABcAG4AIAAgACAAIAAvAC8AIAAgAFAAcgBvAGMAZQBkAHUAcgBlAFwAbgAgACAAIAAgACAAIAAgACAAUgBlAHMAdQBsAHQALAAgACAAIAAgACAAIAAgACAAIABUAG8AdABhAGwARABlAGIAdAAgAC8AVABvAHQAYQBsAEEAcwBzAGUAdABz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JAG4AdABlAHIAZQBzAHQAQwBvAHYAZQByAGEAdABlAFIAYQB0AGkAbwC7A1wAbgAgACAAIAAgAEQARQBTAEMAUgBJAFAAVABJAE8ATgA6ACoALwAvACoAKgBEAGUAdABlAHIAbQBpAG4AZQBzACAAaABvAHcAIABlAGEAcwBpAGwAeQAgAGEAIABjAG8AbQBwAGEAbgB5ACAAYwBhAG4AIABwAGEAeQAgAGkAbgB0AGUAcgBlAHMAdAAgAG8AbgAgAGkAdABzACAAbwB1AHQAcwB0AGEAbgBkAGkAbgBnACAAZABlAGIAdABcAG4AKABPAHAAZQByAGEAdABpAG4AZwAgAEkAbgBjAG8AbQBlAC8ASQBuAHQAZQByAGUAcwB0ACAARQB4AHAAZQBuAHMAZQBzACkAIAAqAC8AXABuAEkAbgB0AGUAcgBlAHMAdABDAG8AdgBlAHIAYQBnAGUAUgBhAHQAaQBvALsDIAA9ACAATABBAE0AQgBEAEEAKABcAG4ALwAvACAAIABQAGEAcgBhAG0AZQB0AGUAcgAgAEQAZQBjAGwAYQBSAGEAdABpAG8AbgBzAFwAbgAgACAAIAAgACAAIAAgACAAWwBPAHAAZQByAGEAdABpAG4AZwBJAG4AYwBvAG0AZQBdACwAIAAgAFwAbgAgACAAIAAgACAAIAAgACAAWwBJAG4AdABlAHIAZQBzAHQARQB4AHAAZQBuAHMAZQBzAF0ALAAgACAAIAAgAFwAbgAvAC8AIAAgAEgAZQBsAHAAXABuACAAIAAgACAATABFAFQAKABIAGUAbABwACwAIAAgACAAVABSAEkATQAoAFQARQBYAFQAUwBQAEwASQBUACgAIABcAG4AIAAgACAAIAAgACAAIAAgACAAIAAgACAAIAAgACAAIAAgACAAIAAgACAAIAAgACAAXAAiAEYAVQBOAEMAVABJAE8ATgA6ACAAIAAgACAAIAAgACAAIAAgACAAkiFJAG4AdABlAHIAZQBzAHQAQwBvAHYAZQByAGEAZwBlAFIAYQB0AGkAbwC7AygAIABPAHAAZQByAGEAdABpAG4AZwBJAG4AYwBvAG0AZQAsACAASQBuAHQAZQByAGUAcwB0AEUAeABwAGUAbgBzAGUAcwApALYAXAAiACAAJgAgAFwAbgAgACAAIAAgACAAIAAgACAAIAAgACAAIAAgACAAIAAgACAAIAAgACAAIAAgACAAIABcACIARABFAFMAQwBSAEkAUABUAEkATwBOADoAIAAgACAAIAAgACAAIACSIUQAZQB0AGUAcgBtAGkAbgBlAHMAIABoAG8AdwAgAGUAYQBzAGkAbAB5ACAAYQAgAGMAbwBtAHAAYQBuAHkAIABjAGEAbgAgAHAAYQB5ACAAaQBuAHQAZQByAGUAcwB0ACAAbwBuACAAaQB0AHMAIABvAHUAdABzAHQAYQBuAGQAaQBuAGcAIABkAGUAYgB0ALYAXAAiACAAJgBcAG4AIAAgACAAIAAgACAAIAAgACAAIAAgACAAIAAgACAAIAAgACAAIAAgACAAIAAgACAAIAAgACAAIAAgACAAIAAgACAAIAAgACAAIAAgACAAIAAgACAAIABcACIAkiEoAE8AcABlAHIAYQB0AGkAbgBnACAASQBuAGMAbwBtAGUALwBJAG4AdABlAHIAZQBzAHQAIABFAHgAcABlAG4AcwBlAHMAKQC2AFwAIgAgACYAIABcAG4AIAAgACAAIAAgACAAIAAgACAAIAAgACAAIAAgACAAIAAgACAAIAAgACAAIAAgACAAXAAiAFcARQBCAFAAQQBHAEUAOgAgACAAIAAgACAAIAAgACAAIAAgACAAkiFoAHQAdABwAHMAOgAvAC8AdwB3AHcALgBpAG4AdgBlAHMAdABvAHAAZQBkAGkAYQAuAGMAbwBtAC8AdABlAHIAbQBzAC8AaQAvAGkAbgB0AGUAcgBlAHMAdABjAG8AdgBlAHIAYQBnAGUAcgBhAHQAaQBvAC4AYQBzAHA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AgACAAIAAgACAAIAAgACAAkiG2AFwAIgAgACYAIABcAG4AIAAgACAAIAAgACAAIAAgACAAIAAgACAAIAAgACAAIAAgACAAIAAgACAAIAAgACAAXAAiAE8AcABlAHIAYQB0AGkAbgBnAEkAbgBjAG8AbQBlACAAIAAgACAAkiEoAFIAZQBxAHUAaQByAGUAZAApACAATwBwAGUAcgBhAHQAaQBuAGcAIABJAG4AYwBvAG0AZQAgACgARQBCAEkAVAApACAAtgBcACIAIAAmACAAXABuACAAIAAgACAAIAAgACAAIAAgACAAIAAgACAAIAAgACAAIAAgACAAIAAgACAAIAAgAFwAIgBJAG4AdABlAHIAZQBzAHQARQB4AHAAZQBuAHMAZQBzACAAIAAgAJIhKABSAGUAcQB1AGkAcgBlAGQAKQAgAEkAbgB0AGUAcgBlAHMAdAAgAEUAeABwAGUAbgBzAGUAIA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DYALgA5ADQANAA0ADQANAAgACAAIAAgACAAIAAgACAAIAAgACAAkiE9AG4AYQBiAGwAYQAuAHIALgBJAG4AdABlAHIAZQBzAHQAQwBvAHYAZQByAGEAZwBlAFIAYQB0AGkAbwC7AygAIAA2ADIANQAuADAALAAgADkAMA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PAHAAZQByAGEAdABpAG4AZwBJAG4AYwBvAG0AZQApACwAXABuACAAIAAgACAAIAAgACAAIAAgACAAIAAgACAAIAAgACAAIAAgACAAIAAgACAAIAAgACAAIAAgACAASQBTAE8ATQBJAFQAVABFAEQAKAAgAEkAbgB0AGUAcgBlAHMAdABFAHgAcABlAG4AcwBlAHMAKQBcAG4AIAAgACAAIAAgACAAIAAgACAAIAAgACAAIAAgACAAIAAgACAAIAAgACAAIAAgACAAKQAsAFwAbgAgACAAIAAgAC8ALwAgACAAUAByAG8AYwBlAGQAdQByAGUAXABuACAAIAAgACAAIAAgACAAIABSAGUAcwB1AGwAdAAsACAAIAAgACAAIAAgACAAIAAgAE8AcABlAHIAYQB0AGkAbgBnAEkAbgBjAG8AbQBlAC8ASQBuAHQAZQByAGUAcwB0AEUAeABwAGUAbgBzAGUAc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QBxAHUAaQB0AHkAUgBhAHQAaQBvALsDXABuACAAIAAgACAARABFAFMAQwBSAEkAUABUAEkATwBOADoAKgAvAC8AKgAqAE0AZQBhAHMAdQByAGUAcwAgAHQAaABlACAAbABvAG4AZwAtAHQAZQByAG0AIABzAG8AbAB2AGUAbgBjAHkAIABvAGYAIABhACAAYwBvAG0AcABhAG4AeQAgAGIAeQAgAGMAbwBtAHAAYQByAGkAbgBnACAAaQB0AHMAIABzAGgAYQByAGUAaABvAGwAZABlAHIAcwAZICAAZQBxAHUAaQB0AHkAIAB0AG8AIABpAHQAcwAgAFwAbgB0AG8AdABhAGwAIABhAHMAcwBlAHQAcwAgACgAUwBoAGEAcgBlAGgAbwBsAGQAZQByACcAcwAgAEUAcQB1AGkAdAB5AC8AKABUAG8AdABhAGwAIABBAHMAcwBlAHQAcwAgAC0AIABJAG4AdABhAG4AZwBpAGIAbABlACAAQQBzAHMAZQB0AHMAKQApAC4AIAAqAC8AXABuAEUAcQB1AGkAdAB5AFIAYQB0AGkAbwC7AyAAPQAgAEwAQQBNAEIARABBACgAXABuAC8ALwAgACAAUABhAHIAYQBtAGUAdABlAHIAIABEAGUAYwBsAGEAUgBhAHQAaQBvAG4AcwBcAG4AIAAgACAAIAAgACAAIAAgAFsAUwBoAGEAcgBlAGgAbwBsAGQAZQByAHMARQBxAHUAaQB0AHkAXQAsACAAIABcAG4AIAAgACAAIAAgACAAIAAgAFsAVABvAHQAYQBsAEEAcwBzAGUAdABzAF0ALABcAG4AIAAgACAAIAAgACAAIAAgAFsASQBuAHQAYQBuAGcAaQBiAGwAZQBBAHMAcwBlAHQAcwBdACwAXABuAC8ALwAgACAASABlAGwAcABcAG4AIAAgACAAIABMAEUAVAAoAEgAZQBsAHAALAAgACAAIABUAFIASQBNACgAVABFAFgAVABTAFAATABJAFQAKAAgAFwAbgAgACAAIAAgACAAIAAgACAAIAAgACAAIAAgACAAIAAgACAAIAAgACAAIAAgACAAIABcACIARgBVAE4AQwBUAEkATwBOADoAIAAgACAAIAAgACAAIAAgACAAIACSIUkAbgB0AGUAcgBlAHMAdABDAG8AdgBlAHIAYQBnAGUAUgBhAHQAaQBvALsDKAAgAFMAaABhAHIAZQBoAG8AbABkAGUAcgBzAEUAcQB1AGkAdAB5ACwAIABUAG8AdABhAGwAQQBzAHMAZQB0AHMALAAgAEkAbgB0AGEAbgBnAGkAYgBsAGUAQQBzAHMAZQB0AHMAKQC2AFwAIgAgACYAIABcAG4AIAAgACAAIAAgACAAIAAgACAAIAAgACAAIAAgACAAIAAgACAAIAAgACAAIAAgACAAXAAiAEQARQBTAEMAUgBJAFAAVABJAE8ATgA6ACAAIAAgACAAIAAgACAAkiFNAGUAYQBzAHUAcgBlAHMAIAB0AGgAZQAgAGwAbwBuAGcALQB0AGUAcgBtACAAcwBvAGwAdgBlAG4AYwB5ACAAbwBmACAAYQAgAGMAbwBtAHAAYQBuAHkAIABiAHkAIABjAG8AbQBwAGEAcgBpAG4AZwAgAGkAdABzACAAcwBoAGEAcgBlAGgAbwBsAGQAZQByAHMAGSAgALYAXAAiACAAJgBcAG4AIAAgACAAIAAgACAAIAAgACAAIAAgACAAIAAgACAAIAAgACAAIAAgACAAIAAgACAAIAAgACAAIAAgACAAIAAgACAAIAAgACAAIAAgACAAIAAgACAAIABcACIAkiFlAHEAdQBpAHQAeQAgAHQAbwAgAGkAdABzACAAdABvAHQAYQBsACAAYQBzAHMAZQB0AHMAIAAoAFMAaABhAHIAZQBoAG8AbABkAGUAcgAnAHMAIABFAHEAdQBpAHQAeQAvACgAVABvAHQAYQBsACAAQQBzAHMAZQB0AHMAIAAtACAASQBuAHQAYQBuAGcAaQBiAGwAZQAgAEEAcwBzAGUAdABzACkAKQC2AFwAIgAgACYAXABuACAAIAAgACAAIAAgACAAIAAgACAAIAAgACAAIAAgACAAIAAgACAAIAAgACAAIAAgAFwAIgBXAEUAQgBQAEEARwBFADoAIAAgACAAIAAgACAAIAAgACAAIAAgAJIhaAB0AHQAcABzADoALwAvAHcAdwB3AC4AdwBhAGwAbABzAHQAcgBlAGUAdABwAHIAZQBwAC4AYwBvAG0ALwBrAG4AbwB3AGwAZQBkAGcAZQAvAGUAcQB1AGkAdAB5AC0AcgBhAHQAaQBvAC8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AgACAAIAAgACAAIAAgACAAkiG2AFwAIgAgACYAIABcAG4AIAAgACAAIAAgACAAIAAgACAAIAAgACAAIAAgACAAIAAgACAAIAAgACAAIAAgACAAXAAiAE8AcABlAHIAYQB0AGkAbgBnAEkAbgBjAG8AbQBlACAAIAAgACAAkiEoAFIAZQBxAHUAaQByAGUAZAApACAATwBwAGUAcgBhAHQAaQBuAGcAIABJAG4AYwBvAG0AZQAgACgARQBCAEkAVAApACAAtgBcACIAIAAmACAAXABuACAAIAAgACAAIAAgACAAIAAgACAAIAAgACAAIAAgACAAIAAgACAAIAAgACAAIAAgAFwAIgBJAG4AdABlAHIAZQBzAHQARQB4AHAAZQBuAHMAZQBzACAAIAAgAJIhKABSAGUAcQB1AGkAcgBlAGQAKQAgAEkAbgB0AGUAcgBlAHMAdAAgAEUAeABwAGUAbgBzAGUAIA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DQAMAAlACAAIAAgACAAIAAgACAAIAAgACAAIAAgACAAIAAgACAAkiE9AG4AYQBiAGwAYQAuAHIALgBFAHEAdQBpAHQAeQBSAGEAdABpAG8AuwMoACAAMgAwAC4AMAAsACAANgAwAC4AMAAsACAAMQAw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FMAaABhAHIAZQBoAG8AbABkAGUAcgBzAEUAcQB1AGkAdAB5ACkALABcAG4AIAAgACAAIAAgACAAIAAgACAAIAAgACAAIAAgACAAIAAgACAAIAAgACAAIAAgACAAIAAgACAAIABJAFMATwBNAEkAVABUAEUARAAoACAAVABvAHQAYQBsAEEAcwBzAGUAdABzACkALABcAG4AIAAgACAAIAAgACAAIAAgACAAIAAgACAAIAAgACAAIAAgACAAIAAgACAAIAAgACAAIAAgACAAIABJAFMATwBNAEkAVABUAEUARAAoACAASQBuAHQAYQBuAGcAaQBiAGwAZQBBAHMAcwBlAHQAcwApAFwAbgAgACAAIAAgACAAIAAgACAAIAAgACAAIAAgACAAIAAgACAAIAAgACAAIAAgACAAIAApACwAXABuACAAIAAgACAALwAvACAAIABQAHIAbwBjAGUAZAB1AHIAZQBcAG4AIAAgACAAIAAgACAAIAAgAFIAZQBzAHUAbAB0ACwAIAAgACAAIAAgACAAIAAgACAAUwBoAGEAcgBlAGgAbwBsAGQAZQByAHMARQBxAHUAaQB0AHkALwAoAFQAbwB0AGEAbABBAHMAcwBlAHQAcwAgAC0AIABJAG4AdABhAG4AZwBpAGIAbABlAEEAcwBzAGUAdABzACkALABcAG4AIAAgACAAIAAvAC8AIAAgAFIAZQB0AHUAcgBuACAAUgBlAHMAdQBsAHQAXABuACAAIAAgACAAIAAgACAAIABDAEgATwBPAFMARQAoAEgAZQBsAHAAPwAgACsAIAAxACwAIABSAGUAcwB1AGwAdAAsACAASABlAGwAcAApACAAIAAgACAAIAAgACAAIABcAG4AIAAgACAAIAApAFwAbgApADsAXABuAFwAbgBcAG4AXABuAFwAbgBcAG4AIABcAG4ALwAvACAAIABFAGYAZgBpAGMAaQBlAG4AYwB5ACAAUgBhAHQAaQBvAHMAXABuAFwAbgBcAG4AXABuAC8AKgAgACAARgBVAE4AQwBUAEkATwBOACAATgBBAE0ARQA6ACAAIABBAHMAcwBlAHQAVAB1AHIAbgBvAHYAZQByAFIAYQB0AGkAbwC7A1wAbgAgACAAIAAgAEQARQBTAEMAUgBJAFAAVABJAE8ATgA6ACoALwAvACoAKgBNAGUAYQBzAHUAcgBlAHMAIAB0AGgAZQAgAHYAYQBsAHUAZQAgAG8AZgAgAGEAIABjAG8AbQBwAGEAbgB5ACcAcwAgAHMAYQBsAGUAcwAgAG8AcgAgAHIAZQB2AGUAbgB1AGUAcwAgAHIAZQBsAGEAdABpAHYAZQAgAHQAbwAgAHQAaABlACAAdgBhAGwAdQBlACAAbwBmACAAaQB0AHMAIABhAHMAcwBlAHQAcwAuAFwAbgAoAE4AZQB0ACAAUwBhAGwAZQBzAC8AVABvAHQAYQBsACAAQQBzAHMAZQB0AHMAKQAqAC8AXABuAEEAcwBzAGUAdABUAHUAcgBuAG8AdgBlAHIAUgBhAHQAaQBvALsDIAA9ACAATABBAE0AQgBEAEEAKABcAG4ALwAvACAAIABQAGEAcgBhAG0AZQB0AGUAcgAgAEQAZQBjAGwAYQBSAGEAdABpAG8AbgBzAFwAbgAgACAAIAAgACAAIAAgACAAWwBOAGUAdABTAGEAbABlAHMAXQAsACAAIABcAG4AIAAgACAAIAAgACAAIAAgAFsAVABvAHQAYQBsAEEAcwBzAGUAdABzAF0ALAAgACAAIAAgAFwAbgAvAC8AIAAgAEgAZQBsAHAAXABuACAAIAAgACAATABFAFQAKABIAGUAbABwACwAIAAgACAAVABSAEkATQAoAFQARQBYAFQAUwBQAEwASQBUACgAIABcAG4AIAAgACAAIAAgACAAIAAgACAAIAAgACAAIAAgACAAIAAgACAAIAAgACAAIAAgACAAXAAiAEYAVQBOAEMAVABJAE8ATgA6ACAAIAAgACAAIAAgAJIhQQBzAHMAZQB0AFQAdQByAG4AbwB2AGUAcgBSAGEAdABpAG8AuwMoACAATgBlAHQAUwBhAGwAZQBzACwAIABUAG8AdABhAGwAQQBzAHMAZQB0AHMAKQC2AFwAIgAgACYAIABcAG4AIAAgACAAIAAgACAAIAAgACAAIAAgACAAIAAgACAAIAAgACAAIAAgACAAIAAgACAAXAAiAEQARQBTAEMAUgBJAFAAVABJAE8ATgA6ACAAIAAgAJIhTQBlAGEAcwB1AHIAZQBzACAAdABoAGUAIAB2AGEAbAB1AGUAIABvAGYAIABhACAAYwBvAG0AcABhAG4AeQAnAHMAIABzAGEAbABlAHMAIABvAHIAIAByAGUAdgBlAG4AdQBlAHMAIAByAGUAbABhAHQAaQB2AGUAIAB0AG8AIAB0AGgAZQAgAHYAYQBsAHUAZQAgAG8AZgAgAGkAdABzACAAYQBzAHMAZQB0AHMALgC2AFwAIgAgACYAXABuACAAIAAgACAAIAAgACAAIAAgACAAIAAgACAAIAAgACAAIAAgACAAIAAgACAAIAAgACAAIAAgACAAIAAgACAAIAAgACAAIAAgACAAIAAgAFwAIgCSISgATgBlAHQAIABTAGEAbABlAHMALwBUAG8AdABhAGwAIABBAHMAcwBlAHQAcwApALYAXAAiACAAJgAgAFwAbgAgACAAIAAgACAAIAAgACAAIAAgACAAIAAgACAAIAAgACAAIAAgACAAIAAgACAAIABcACIAVwBFAEIAUABBAEcARQA6ACAAIAAgACAAIAAgACAAkiFoAHQAdABwAHMAOgAvAC8AdwB3AHcALgBpAG4AdgBlAHMAdABvAHAAZQBkAGkAYQAuAGMAbwBtAC8AdABlAHIAbQBzAC8AYQAvAGEAcwBzAGUAdAB0AHUAcgBuAG8AdgBlAHI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TgBlAHQAUwBhAGwAZQBzACAAIAAgACAAIAAgACAAkiEoAFIAZQBxAHUAaQByAGUAZAApACAAcgBlAHYAZQBuAHUAZQAgAG8AcgAgAG4AZQB0ACAAcwBhAGwAZQBzAC4AIAC2AFwAIgAgACYAIABcAG4AIAAgACAAIAAgACAAIAAgACAAIAAgACAAIAAgACAAIAAgACAAIAAgACAAIAAgACAAXAAiAFQAbwB0AGEAbABBAHMAcwBlAHQAcwAgACAAIAAgAJIhKABSAGUAcQB1AGkAcgBlAGQAKQAgAEEAdgBlAHIAYQBnAGUAIABvAGYAIABBAHMAcwBlAHQAcwAgAGEAbgBkACAAcABlAHIAaQBvAGQAIABzAHQAYQByAHQAIABhAG4AZAAgAGUAbgBkAC4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LgAzADIAeAAgACAAIAAgACAAIAAgACAAIAAgACAAkiE9AG4AYQBiAGwAYQAuAHIALgBBAHMAcwBlAHQAVAB1AHIAbgBvAHYAZQByAFIAYQB0AGkAbwC7AygAIAAxADcAMQA3ADYAMAAsACAANQAzADgANwAxADU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TAGEAbABlAHMAKQAsAFwAbgAgACAAIAAgACAAIAAgACAAIAAgACAAIAAgACAAIAAgACAAIAAgACAAIAAgACAAIAAgACAAIAAgAEkAUwBPAE0ASQBUAFQARQBEACgAIABUAG8AdABhAGwAQQBzAHMAZQB0AHMAKQBcAG4AIAAgACAAIAAgACAAIAAgACAAIAAgACAAIAAgACAAIAAgACAAIAAgACAAIAAgACAAKQAsAFwAbgAgACAAIAAgAC8ALwAgACAAUAByAG8AYwBlAGQAdQByAGUAXABuACAAIAAgACAAIAAgACAAIABSAGUAcwB1AGwAdAAsACAAIAAgACAAIAAgACAAIAAgAE4AZQB0AFMAYQBsAGUAcwAvAFQAbwB0AGEAbABBAHMAcwBlAHQAc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TAEkAuwNcAG4AIAAgACAAIABEAEUAUwBDAFIASQBQAFQASQBPAE4AOgAqAC8ALwAqACoARABhAHkAcwAgAFMAYQBsAGUAcwAgAGkAbgAgAEkAbgB2AGUAbgB0AG8AcgB5ACAAUgBhAHQAaQBvACAAKABhAGsAYQAgAEEAdgBlAHIAYQBnAGUAIABhAGcAZQAgAG8AZgAgAGkAbgB2AGUAbgB0AG8AcgB5ACAAXABuAGkAbgBkAGkAYwBhAHQAZQBzACAAdABoAGUAIABhAHYAZQByAGEAZwBlACAAdABpAG0AZQAgAGkAbgAgAGQAYQB5AHMAIAB0AGgAYQB0ACAAYQAgAGMAbwBtAHAAYQBuAHkAIAB0AGEAawBlAHMAIAB0AG8AIAB0AHUAcgBuACAAaQB0AHMAIABpAG4AdgBlAG4AdABvAHIAeQAgAFwAbgAoAEEAdgBlAHIAYQBnAGUAIABJAG4AdgBlAG4AdABvAHIAeQAvACAAQwBvAHMAdAAgAG8AZgAgAEcAbwBvAGQAcwAgAFMAbwBsAGQAKQAgACoALwBcAG4ARABTAEkAuwMgAD0AIABMAEEATQBCAEQAQQAoAFwAbgAvAC8AIAAgAFAAYQByAGEAbQBlAHQAZQByACAARABlAGMAbABhAFIAYQB0AGkAbwBuAHMAXABuACAAIAAgACAAIAAgACAAIABbAEEAdgBlAHIAYQBnAGUASQBuAHYAZQBuAHQAbwByAHkAXQAsACAAIABcAG4AIAAgACAAIAAgACAAIAAgAFsAQwBvAHMAdABPAGYARwBvAG8AZABzAFMAbwBsAGQAXQAsACAAIAAgACAAXABuAC8ALwAgACAASABlAGwAcABcAG4AIAAgACAAIABMAEUAVAAoAEgAZQBsAHAALAAgACAAIABUAFIASQBNACgAVABFAFgAVABTAFAATABJAFQAKAAgAFwAbgAgACAAIAAgACAAIAAgACAAIAAgACAAIAAgACAAIAAgACAAIAAgACAAIAAgACAAIABcACIARgBVAE4AQwBUAEkATwBOADoAIAAgACAAIAAgACAAIAAgACAAIACSIUQAUwBJALsDKAAgAEEAdgBlAHIAYQBnAGUASQBuAHYAZQBuAHQAbwByAHkALAAgAEMAbwBzAHQATwBmAEcAbwBvAGQAcwBTAG8AbABkACkAtgBcACIAIAAmACAAXABuACAAIAAgACAAIAAgACAAIAAgACAAIAAgACAAIAAgACAAIAAgACAAIAAgACAAIAAgAFwAIgBEAEUAUwBDAFIASQBQAFQASQBPAE4AOgAgACAAIAAgACAAIAAgAJIhRABhAHkAcwAgAFMAYQBsAGUAcwAgAGkAbgAgAEkAbgB2AGUAbgB0AG8AcgB5ACAAUgBhAHQAaQBvACAAKABhAGsAYQAgAEEAdgBlAHIAYQBnAGUAIABhAGcAZQAgAG8AZgAgAGkAbgB2AGUAbgB0AG8AcgB5ACkAtgBcACIAIAAmACAAXABuACAAIAAgACAAIAAgACAAIAAgACAAIAAgACAAIAAgACAAIAAgACAAIAAgACAAIAAgACAAIAAgACAAIAAgACAAIAAgACAAIAAgACAAIAAgACAAIAAgACAAXAAiAJIhaQBuAGQAaQBjAGEAdABlAHMAIAB0AGgAZQAgAGEAdgBlAHIAYQBnAGUAIAB0AGkAbQBlACAAaQBuACAAZABhAHkAcwAgAHQAaABhAHQAIABhACAAYwBvAG0AcABhAG4AeQAgAHQAYQBrAGUAcwAgAHQAbwAgAHQAdQByAG4AIABpAHQAcwAgAGkAbgB2AGUAbgB0AG8AcgB5ALYAXAAiACAAJgAgAFwAbgAgACAAIAAgACAAIAAgACAAIAAgACAAIAAgACAAIAAgACAAIAAgACAAIAAgACAAIAAgACAAIAAgACAAIAAgACAAIAAgACAAIAAgACAAIAAgACAAIAAgAFwAIgCSISgAQQB2AGUAcgBhAGcAZQAgAEkAbgB2AGUAbgB0AG8AcgB5AC8AIABDAG8AcwB0ACAAbwBmACAARwBvAG8AZABzACAAUwBvAGwAZAApALYAXAAiACAAJgAgAFwAbgAgACAAIAAgACAAIAAgACAAIAAgACAAIAAgACAAIAAgACAAIAAgACAAIAAgACAAIABcACIAVwBFAEIAUABBAEcARQA6ACAAIAAgACAAIAAgACAAIAAgACAAIACSIWgAdAB0AHAAcwA6AC8ALwB3AHcAdwAuAGkAbgB2AGUAcwB0AG8AcABlAGQAaQBhAC4AYwBvAG0ALwB0AGUAcgBtAHMALwBkAC8AZABhAHkAcwAtAHMAYQBsAGUAcwAtAGkAbgB2AGUAbgB0AG8AcgB5AC0AZABzAGk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BAHYAZQByAGEAZwBlAEkAbgB2AGUAbgB0AG8AcgB5AJIhIAAgACgAUgBlAHEAdQBpAHIAZQBkACkAIABBAHYAZQByAGEAZwBlACAAbwBmACAAcABlAHIAaQBvAGQAIABvAHAAZQBuACAAYQBuAGQAIABjAGwAbwBzAGUAIABJAG4AdgBlAG4AdABvAHIAeQC2AFwAIgAgACYAIABcAG4AIAAgACAAIAAgACAAIAAgACAAIAAgACAAIAAgACAAIAAgACAAIAAgACAAIAAgACAAXAAiAEMAbwBzAHQATwBmAEcAbwBvAGQAcwBTAG8AbABkAJIhIAAgACAAKABSAGUAcQB1AGkAcgBlAGQAKQAgAEMAbwBzAHQAIABvAGYAIABHAG8AbwBkAHMAIABTAG8AbABkACAAKABDAE8ARwBTACkAIA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DQAMAAuADgAOQA0ADkAIABkAGEAeQBzACAAIAAgACAAIAAgACAAkiE9AG4AYQBiAGwAYQAuAHIALgBEAFMASQC7AygANQA0AC4AOQAsACAANAA5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BAHYAZQByAGEAZwBlAEkAbgB2AGUAbgB0AG8AcgB5ACkALABcAG4AIAAgACAAIAAgACAAIAAgACAAIAAgACAAIAAgACAAIAAgACAAIAAgACAAIAAgACAAIAAgACAAIABJAFMATwBNAEkAVABUAEUARAAoACAAQwBvAHMAdABPAGYARwBvAG8AZABzAFMAbwBsAGQAKQBcAG4AIAAgACAAIAAgACAAIAAgACAAIAAgACAAIAAgACAAIAAgACAAIAAgACAAIAAgACAAKQAsAFwAbgAgACAAIAAgAC8ALwAgACAAQwBvAG4AcwB0AGEAbgB0AHMAXABuACAAIAAgACAAIAAgACAAIABEAHAAWQAsACAAIAAgACAAIAAgACAAIAAgACAAIAAgADMANgA1ACwAIAAvAC8ARABhAHkAcwAgAHAAZQByACAAWQBlAGEAcgBcAG4AIAAgACAAIAAvAC8AIAAgAFAAcgBvAGMAZQBkAHUAcgBlAFwAbgAgACAAIAAgACAAIAAgACAAUgBlAHMAdQBsAHQALAAgACAAIAAgACAAIAAgACAAIABBAHYAZQByAGEAZwBlAEkAbgB2AGUAbgB0AG8AcgB5AC8AQwBvAHMAdABPAGYARwBvAG8AZABzAFMAbwBsAGQAIAAqACAARABwAFk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8AcABlAHIAYQB0AGkAbgBnAFIAYQB0AGkAbwC7A1wAbgAgACAAIAAgAEQARQBTAEMAUgBJAFAAVABJAE8ATgA6ACoALwAvACoAKgBTAGgAbwB3AHMAIABoAG8AdwAgAGUAZgBmAGkAYwBpAGUAbgB0ACAAbQBhAG4AYQBnAGUAbQBlAG4AdAAgAGkAcwAgAGEAdAAgAGsAZQBlAHAAaQBuAGcAIABjAG8AcwB0AHMAIABsAG8AdwAgAHcAaABpAGwAZQAgAGcAZQBuAGUAcgBhAHQAaQBuAGcAIAByAGUAdgBlAG4AdQBlACAAXABuACgATwBwAGUAcgBhAHQAaQBuAGcAIABFAHgAcABlAG4AcwBlAHMAIAArACAAQwBvAHMAdAAgAE8AZgAgAEcAbwBvAGQAcwAgAFMAbwBsAGQAKQAvAE4AZQB0ACAAUwBhAGwAZQBzACkAKgAvAFwAbgBPAHAAZQByAGEAdABpAG4AZwBSAGEAdABpAG8AuwMgAD0AIABMAEEATQBCAEQAQQAoAFwAbgAvAC8AIAAgAFAAYQByAGEAbQBlAHQAZQByACAARABlAGMAbABhAFIAYQB0AGkAbwBuAHMAXABuACAAIAAgACAAIAAgACAAIABbAE8AcABlAHIAYQB0AGkAbgBnAEUAeABwAGUAbgBzAGUAcwBdACwAIAAgAFwAbgAgACAAIAAgACAAIAAgACAAWwBDAG8AcwB0AE8AZgBHAG8AbwBkAHMAUwBvAGwAZABdACwAIAAgACAAIABcAG4AIAAgACAAIAAgACAAIAAgAFsATgBlAHQAUwBhAGwAZQBzAF0ALAAgACAAIAAgAFwAbgAvAC8AIAAgAEgAZQBsAHAAXABuACAAIAAgACAATABFAFQAKABIAGUAbABwACwAIAAgACAAVABSAEkATQAoAFQARQBYAFQAUwBQAEwASQBUACgAIABcAG4AIAAgACAAIAAgACAAIAAgACAAIAAgACAAIAAgACAAIAAgACAAIAAgACAAIAAgACAAXAAiAEYAVQBOAEMAVABJAE8ATgA6ACAAIAAgACAAIAAgACAAIAAgACAAkiFPAHAAZQByAGEAdABpAG4AZwBSAGEAdABpAG8AuwMoACAATwBwAGUAcgBhAHQAaQBuAGcARQB4AHAAZQBuAHMAZQBzACwAIABDAG8AcwB0AE8AZgBHAG8AbwBkAHMAUwBvAGwAZAAsACAATgBlAHQAUwBhAGwAZQBzACkAtgBcACIAIAAmACAAXABuACAAIAAgACAAIAAgACAAIAAgACAAIAAgACAAIAAgACAAIAAgACAAIAAgACAAIAAgAFwAIgBEAEUAUwBDAFIASQBQAFQASQBPAE4AOgAgACAAIAAgACAAIAAgAJIhUwBoAG8AdwBzACAAaABvAHcAIABlAGYAZgBpAGMAaQBlAG4AdAAgAG0AYQBuAGEAZwBlAG0AZQBuAHQAIABpAHMAIABhAHQAIABrAGUAZQBwAGkAbgBnACAAYwBvAHMAdABzACAAbABvAHcAIAC2AFwAIgAgACYAXABuACAAIAAgACAAIAAgACAAIAAgACAAIAAgACAAIAAgACAAIAAgACAAIAAgACAAIAAgACAAIAAgACAAIAAgACAAIAAgACAAIAAgACAAIAAgACAAIAAgACAAXAAiAJIhdwBoAGkAbABlACAAZwBlAG4AZQByAGEAdABpAG4AZwAgAHIAZQB2AGUAbgB1AGUAtgBcACIAIAAmACAAXABuACAAIAAgACAAIAAgACAAIAAgACAAIAAgACAAIAAgACAAIAAgACAAIAAgACAAIAAgACAAIAAgACAAIAAgACAAIAAgACAAIAAgACAAIAAgACAAIAAgACAAXAAiAJIhKABPAHAAZQByAGEAdABpAG4AZwAgAEUAeABwAGUAbgBzAGUAcwAgACsAIABDAG8AcwB0ACAATwBmACAARwBvAG8AZABzACAAUwBvAGwAZAApAC8ATgBlAHQAIABTAGEAbABlAHMAKQC2AFwAIgAgACYAIABcAG4AIAAgACAAIAAgACAAIAAgACAAIAAgACAAIAAgACAAIAAgACAAIAAgACAAIAAgACAAXAAiAFcARQBCAFAAQQBHAEUAOgAgACAAIAAgACAAIAAgACAAIAAgACAAkiFoAHQAdABwAHMAOgAvAC8AdwB3AHcALgBpAG4AdgBlAHMAdABvAHAAZQBkAGkAYQAuAGMAbwBtAC8AdABlAHIAbQBzAC8AbwAvAG8AcABlAHIAYQB0AGkAbgBnAHIAYQB0AGkAbwAuAGEAcwBw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kiG2AFwAIgAgACYAIABcAG4AIAAgACAAIAAgACAAIAAgACAAIAAgACAAIAAgACAAIAAgACAAIAAgACAAIAAgACAAXAAiAE8AcABlAHIAYQB0AGkAbgBnAEUAeABwAGUAbgBzAGUAcwAgACAAkiEoAFIAZQBxAHUAaQByAGUAZAApACAATwBwAGUAcgBhAHQAaQBuAGcAIABFAHgAcABlAG4AcwBlAHMAIAB3AGgAaQBjAGgAIABjAGEAbgAgAGkAbgBjAGwAdQBkAGUAOgC2AFwAIgAgACYAXABuACAAIAAgACAAIAAgACAAIAAgACAAIAAgACAAIAAgACAAIAAgACAAIAAgACAAIAAgACAAIAAgACAAIAAgACAAIAAgACAAIAAgACAAIAAgACAAIAAgACAAXAAiAJIhQQBjAGMAbwB1AG4AdABpAG4AZwAgAGEAbgBkACAAbABlAGcAYQBsACAAZgBlAGUAcwC2AFwAIgAgACYAXABuACAAIAAgACAAIAAgACAAIAAgACAAIAAgACAAIAAgACAAIAAgACAAIAAgACAAIAAgACAAIAAgACAAIAAgACAAIAAgACAAIAAgACAAIAAgACAAIAAgACAAXAAiAJIhQgBhAG4AawAgAGMAaABhAHIAZwBlAHMAtgBcACIAIAAmAFwAbgAgACAAIAAgACAAIAAgACAAIAAgACAAIAAgACAAIAAgACAAIAAgACAAIAAgACAAIAAgACAAIAAgACAAIAAgACAAIAAgACAAIAAgACAAIAAgACAAIAAgAFwAIgCSIVMAYQBsAGUAcwAgAGEAbgBkACAAbQBhAHIAawBlAHQAaQBuAGcAIABjAG8AcwB0AHMAtgBcACIAIAAmAFwAbgAgACAAIAAgACAAIAAgACAAIAAgACAAIAAgACAAIAAgACAAIAAgACAAIAAgACAAIAAgACAAIAAgACAAIAAgACAAIAAgACAAIAAgACAAIAAgACAAIAAgAFwAIgCSIU4AbwBuAC0AYwBhAHAAaQB0AGEAbABpAHMAZQBkACAAcgBlAHMAZQBhAHIAYwBoALYAXAAiACAAJgBcAG4AIAAgACAAIAAgACAAIAAgACAAIAAgACAAIAAgACAAIAAgACAAIAAgACAAIAAgACAAIAAgACAAIAAgACAAIAAgACAAIAAgACAAIAAgACAAIAAgACAAIABcACIAkiFkAGUAdgBlAGwAbwBwAG0AZQBuAHQAIAAoAFIAJgBEACkAIABlAHgAcABlAG4AcwBlAHMAtgBcACIAIAAmAFwAbgAgACAAIAAgACAAIAAgACAAIAAgACAAIAAgACAAIAAgACAAIAAgACAAIAAgACAAIAAgACAAIAAgACAAIAAgACAAIAAgACAAIAAgACAAIAAgACAAIAAgAFwAIgCSIUMAbwBzAHQAIABvAGYAIABHAG8AbwBkAHMAIABTAG8AbABkACAAKABDAE8ARwBTACkAtgBcACIAIAAmAFwAbgAgACAAIAAgACAAIAAgACAAIAAgACAAIAAgACAAIAAgACAAIAAgACAAIAAgACAAIABcACIAQwBvAHMAdABPAGYARwBvAG8AZABzAFMAbwBsAGQAIAAgACAAIACSISgAUgBlAHEAdQBpAHIAZQBkACkAIABDAG8AcwB0ACAAbwBmACAARwBvAG8AZABzACAAUwBvAGwAZAAgACgAQwBPAEcAUwApACAAdwBoAGkAYwBoACAAYwBhAG4AIABpAG4AYwBsAHUAZABlADoAtgBcACIAIAAmAFwAbgAgACAAIAAgACAAIAAgACAAIAAgACAAIAAgACAAIAAgACAAIAAgACAAIAAgACAAIAAgACAAIAAgACAAIAAgACAAIAAgACAAIAAgACAAIAAgACAAIAAgAFwAIgCSIU8AZgBmAGkAYwBlACAAcwB1AHAAcABsAHkAIABjAG8AcwB0AHMAtgBcACIAIAAmAFwAbgAgACAAIAAgACAAIAAgACAAIAAgACAAIAAgACAAIAAgACAAIAAgACAAIAAgACAAIAAgACAAIAAgACAAIAAgACAAIAAgACAAIAAgACAAIAAgACAAIAAgAFwAIgCSIVIAZQBuAHQAIABhAG4AZAAgAHUAdABpAGwAaQB0AHkAIABlAHgAcABlAG4AcwBlAHMAtgBcACIAIAAmAFwAbgAgACAAIAAgACAAIAAgACAAIAAgACAAIAAgACAAIAAgACAAIAAgACAAIAAgACAAIAAgACAAIAAgACAAIAAgACAAIAAgACAAIAAgACAAIAAgACAAIAAgAFwAIgCSIVIAZQBwAGEAaQByACAAYQBuAGQAIABtAGEAaQBuAHQAZQBuAGEAbgBjAGUAIABjAG8AcwB0AHMAtgBcACIAIAAmAFwAbgAgACAAIAAgACAAIAAgACAAIAAgACAAIAAgACAAIAAgACAAIAAgACAAIAAgACAAIAAgACAAIAAgACAAIAAgACAAIAAgACAAIAAgACAAIAAgACAAIAAgAFwAIgCSIVMAYQBsAGEAcgB5ACAAYQBuAGQAIAB3AGEAZwBlACAAZQB4AHAAZQBuAHMAZQBzALYAXAAiACAAJgAgAFwAbgAgACAAIAAgACAAIAAgACAAIAAgACAAIAAgACAAIAAgACAAIAAgACAAIAAgACAAIABcACIATgBlAHQAUwBhAGwAZQBzACAAIAAgACAAIAAgACAAIAAgACAAIACSISgAUgBlAHEAdQBpAHIAZQBkACkAIABOAGUAdAAgAFMAYQBsAGUAcwAgAG8AcgAgAFIAZQB2AGUAbgB1AGUALg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DYAOQAlACAAIAAgACAAIAAgACAAIAAgACAAIAAgACAAIAAgACAAkiE9AG4AYQBiAGwAYQAuAHIALgBPAHAAZQByAGEAdABpAG4AZwBSAGEAdABpAG8AuwMoACAAMQA0AC4AMwA3ACwAIAA0ADgALgA0ADgALAAgADkAMAAuADcANQ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8AcABlAHIAYQB0AGkAbgBnAEUAeABwAGUAbgBzAGUAcwApACwAXABuACAAIAAgACAAIAAgACAAIAAgACAAIAAgACAAIAAgACAAIAAgACAAIAAgACAAIAAgACAAIAAgACAASQBTAE8ATQBJAFQAVABFAEQAKAAgAEMAbwBzAHQATwBmAEcAbwBvAGQAcwBTAG8AbABkACkALABcAG4AIAAgACAAIAAgACAAIAAgACAAIAAgACAAIAAgACAAIAAgACAAIAAgACAAIAAgACAAIAAgACAAIABJAFMATwBNAEkAVABUAEUARAAoACAATgBlAHQAUwBhAGwAZQBzACkAXABuACAAIAAgACAAIAAgACAAIAAgACAAIAAgACAAIAAgACAAIAAgACAAIAAgACAAIAAgACkALABcAG4AIAAgACAAIAAvAC8AIAAgAFAAcgBvAGMAZQBkAHUAcgBlAFwAbgAgACAAIAAgACAAIAAgACAAUgBlAHMAdQBsAHQALAAgACAAIAAgACAAIAAgACAAIAAoAE8AcABlAHIAYQB0AGkAbgBnAEUAeABwAGUAbgBzAGUAcwArAEMAbwBzAHQATwBmAEcAbwBvAGQAcwBTAG8AbABkACkALwBOAGUAdABTAGEAbABlAHMALABcAG4AIAAgACAAIAAvAC8AIAAgAFIAZQB0AHUAcgBuACAAUgBlAHMAdQBsAHQAXABuACAAIAAgACAAIAAgACAAIABDAEgATwBPAFMARQAoAEgAZQBsAHAAPwAgACsAIAAxACwAIABSAGUAcwB1AGwAdAAsACAASABlAGwAcAApACAAIAAgACAAIAAgACAAIABcAG4AIAAgACAAIAApAFwAbgApADsAXABuAFwAbgBcAG4AXABuAFwAbgBcAG4AXABuAC8ALwAgACAAUAByAG8AZgBpAHQAYQBiAGkAbABpAHQAeQAgAE0AYQByAGcAaQBuAHMAIABhAG4AZAAgAFIAYQB0AGkAbwBzAFwAbgBcAG4AXABuACAAXABuAC8AKgAgACAARgBVAE4AQwBUAEkATwBOACAATgBBAE0ARQA6ACAAIABHAHIAbwBzAHMATQBhAHIAZwBpAG4AuwNcAG4AIAAgACAAIABEAEUAUwBDAFIASQBQAFQASQBPAE4AOgAqAC8ALwAqACoAUwBoAG8AdwBzACAAaABvAHcAIABtAHUAYwBoACAAcAByAG8AZgBpAHQAIABhACAAYwBvAG0AcABhAG4AeQAgAG0AYQBrAGUAcwAgAGEAZgB0AGUAcgAgAHAAYQB5AGkAbgBnACAAbwBmAGYAIABpAHQAcwAgAEMAbwBzAHQAIABvAGYAIABHAG8AbwBkAHMAIABTAG8AbABkACAAKgAvAFwAbgBHAHIAbwBzAHMATQBhAHIAZwBpAG4AuwMgAD0AIABMAEEATQBCAEQAQQAoAFwAbgAvAC8AIAAgAFAAYQByAGEAbQBlAHQAZQByACAARABlAGMAbABhAHIAYQB0AGkAbwBuAHMAXABuACAAIAAgACAAIAAgACAAIABbAEcAcgBvAHMAcwBQAHIAbwBmAGkAdABdACwAIAAgAFwAbgAgACAAIAAgACAAIAAgACAAWwBOAGUAdABTAGEAbABlAHMAXQAsACAAIAAgACAAXABuAC8ALwAgACAASABlAGwAcABcAG4AIAAgACAAIABMAEUAVAAoAEgAZQBsAHAALAAgACAAIABUAFIASQBNACgAVABFAFgAVABTAFAATABJAFQAKAAgAFwAbgAgACAAIAAgACAAIAAgACAAIAAgACAAIAAgACAAIAAgACAAIAAgACAAIAAgACAAIABcACIARgBVAE4AQwBUAEkATwBOADoAIAAgACAAIAAgACAAkiFHAHIAbwBzAHMATQBhAHIAZwBpAG4AuwMoACAARwByAG8AcwBzAFAAcgBvAGYAaQB0ACwAIABOAGUAdABTAGEAbABlAHMAKQC2AFwAIgAgACYAIABcAG4AIAAgACAAIAAgACAAIAAgACAAIAAgACAAIAAgACAAIAAgACAAIAAgACAAIAAgACAAXAAiAEQARQBTAEMAUgBJAFAAVABJAE8ATgA6ACAAIAAgAJIhUwBoAG8AdwBzACAAaABvAHcAIABtAHUAYwBoACAAcAByAG8AZgBpAHQAIABhACAAYwBvAG0AcABhAG4AeQAgAG0AYQBrAGUAcwAgAGEAZgB0AGUAcgAgAHAAYQB5AGkAbgBnACAAbwBmAGYAIABpAHQAcwAgAEMAbwBzAHQAIABvAGYAIABHAG8AbwBkAHMAIABTAG8AbABkACAAKABDAE8ARwBTACkALgC2AFwAIgAgACYAIABcAG4AIAAgACAAIAAgACAAIAAgACAAIAAgACAAIAAgACAAIAAgACAAIAAgACAAIAAgACAAIAAgACAAIAAgACAAIAAgACAAIAAgACAAIAAgACAAXAAiAJIhKABHAHIAbwBzAHMAIABQAHIAbwBmAGkAdAAvAE4AZQB0ACAAUwBhAGwAZQBzACkAtgBcACIAIAAmACAAXABuACAAIAAgACAAIAAgACAAIAAgACAAIAAgACAAIAAgACAAIAAgACAAIAAgACAAIAAgAFwAIgBXAEUAQgBQAEEARwBFADoAIAAgACAAIAAgACAAIACSIWgAdAB0AHAAcwA6AC8ALwBjAG8AcgBwAG8AcgBhAHQAZQBmAGkAbgBhAG4AYwBlAGkAbgBzAHQAaQB0AHUAdABlAC4AYwBvAG0ALwByAGUAcwBvAHUAcgBjAGUAcwAvAGEAYwBjAG8AdQBuAHQAaQBuAGcALwBnAHIAbwBzAHMALQBtAGEAcgBnAGkAbgAtAHIAYQB0AGkAbwAvACAAtgBcACIAIAAm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HAHIAbwBzAHMAUAByAG8AZgBpAHQAIAAgACAAIACSISgAUgBlAHEAdQBpAHIAZQBkACkAIABHAHIAbwBzAHMAIABQAHIAbwBmAGkAdAC2AFwAIgAgACYAIABcAG4AIAAgACAAIAAgACAAIAAgACAAIAAgACAAIAAgACAAIAAgACAAIAAgACAAIAAgACAAXAAiAE4AZQB0AFMAYQBsAGUAcwAgACAAIAAgACAAIAAgAJIhKABSAGUAcQB1AGkAcgBlAGQAKQAgAE4AZQB0ACAAUwBhAGwAZQBzACAAbwByACAAUgBlAHYAZQBuAHUAZQC2AFwAIgAgACYAIABcAG4AIAAgACAAIAAgACAAIAAgACAAIAAgACAAIAAgACAAIAAgACAAIAAgACAAIAAgACAAXAAiAEUAWABBAE0AUABMAEUAUwA6ACAAIAAgACAAIAAgAJIhRgBvAHIAbQB1AGwAYQAgACgAbgBhAGIAbABhAC4AcgAgAGkAcwAgAGEAcwBzAHUAbQBlAGQAIAB0AG8AIABiAGUAIAB0AGgAZQAgAG0AbwBkAHUAbABlACcAcwAgAG4AYQBtAGUAKQC2AFwAIgAgACYAXABuACAAIAAgACAAIAAgACAAIAAgACAAIAAgACAAIAAgACAAIAAgACAAIAAgACAAIAAgAFwAIgA2ADEALgA3ADQANAA4ACUAIAAgACAAIAAgACAAIACSIT0AbgBhAGIAbABhAC4AcgAuAEcAcgBvAHMAcwBNAGEAcgBnAGkAbgC7AygAIAA2ADIALgA5ADgANAAsACAAMQAwADIALgAwADAANw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cAcgBvAHMAcwBQAHIAbwBmAGkAdAApACwAXABuACAAIAAgACAAIAAgACAAIAAgACAAIAAgACAAIAAgACAAIAAgACAAIAAgACAAIAAgACAAIAAgACAASQBTAE8ATQBJAFQAVABFAEQAKAAgAE4AZQB0AFMAYQBsAGUAcwApAFwAbgAgACAAIAAgACAAIAAgACAAIAAgACAAIAAgACAAIAAgACAAIAAgACAAIAAgACAAIAApACwAXABuACAAIAAgACAALwAvACAAIABQAHIAbwBjAGUAZAB1AHIAZQBcAG4AIAAgACAAIAAgACAAIAAgAFIAZQBzAHUAbAB0ACwAIAAgACAAIAAgACAAIAAgACAARwByAG8AcwBzAFAAcgBvAGYAaQB0AC8ATgBlAHQAUwBhAGwAZQBz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FAEIASQBUAEQAQQBNAGEAcgBnAGkAbgC7A1wAbgAgACAAIAAgAEQARQBTAEMAUgBJAFAAVABJAE8ATgA6ACoALwAvACoAKgBNAGUAYQBzAHUAcgBlAHMAIABhACAAYwBvAG0AcABhAG4AeQAnAHMAIABvAHAAZQByAGEAdABpAG4AZwAgAHAAcgBvAGYAaQB0ACAAYQBzACAAYQAgAHAAZQByAGMAZQBuAHQAYQBnAGUAIABvAGYAIABpAHQAcwAgAHIAZQB2AGUAbgB1AGUAIAAoAEUAQgBJAFQARABBAC8AVABvAHQAYQBsACAAUgBlAHYAZQBuAHUAZQApAC4AKgAvAFwAbgBFAEIASQBUAEQAQQBNAGEAcgBnAGkAbgC7AyAAPQAgAEwAQQBNAEIARABBACgAXABuAC8ALwAgACAAUABhAHIAYQBtAGUAdABlAHIAIABEAGUAYwBsAGEAcgBhAHQAaQBvAG4AcwBcAG4AIAAgACAAIAAgACAAIAAgAFsARQBCAEkAVABEAEEAXQAsACAAIABcAG4AIAAgACAAIAAgACAAIAAgAFsAVABvAHQAYQBsAFIAZQB2AGUAbgB1AGUAXQAsACAAIAAgACAAXABuAC8ALwAgACAASABlAGwAcABcAG4AIAAgACAAIABMAEUAVAAoAEgAZQBsAHAALAAgACAAIABUAFIASQBNACgAVABFAFgAVABTAFAATABJAFQAKAAgAFwAbgAgACAAIAAgACAAIAAgACAAIAAgACAAIAAgACAAIAAgACAAIAAgACAAIAAgACAAIABcACIARgBVAE4AQwBUAEkATwBOADoAIAAgACAAIAAgACAAkiFFAEIASQBUAEQAQQBNAGEAcgBnAGkAbgC7AygAIABFAEIASQBUAEQAQQAsACAAVABvAHQAYQBsAFIAZQB2AGUAbgB1AGUAKQC2AFwAIgAgACYAIABcAG4AIAAgACAAIAAgACAAIAAgACAAIAAgACAAIAAgACAAIAAgACAAIAAgACAAIAAgACAAXAAiAEQARQBTAEMAUgBJAFAAVABJAE8ATgA6ACAAIAAgAJIhTQBlAGEAcwB1AHIAZQBzACAAYQAgAGMAbwBtAHAAYQBuAHkAJwBzACAAbwBwAGUAcgBhAHQAaQBuAGcAIABwAHIAbwBmAGkAdAAgAGEAcwAgAGEAIABwAGUAcgBjAGUAbgB0AGEAZwBlACAAbwBmACAAaQB0AHMAIAByAGUAdgBlAG4AdQBlAC4AtgBcACIAIAAmACAAXABuACAAIAAgACAAIAAgACAAIAAgACAAIAAgACAAIAAgACAAIAAgACAAIAAgACAAIAAgACAAIAAgACAAIAAgACAAIAAgACAAIAAgACAAIAAgAFwAIgCSISgARQBCAEkAVABEAEEALwBUAG8AdABhAGwAIABSAGUAdgBlAG4AdQBlACkAtgBcACIAIAAmACAAXABuACAAIAAgACAAIAAgACAAIAAgACAAIAAgACAAIAAgACAAIAAgACAAIAAgACAAIAAgAFwAIgBXAEUAQgBQAEEARwBFADoAIAAgACAAIAAgACAAIACSIWgAdAB0AHAAcwA6AC8ALwB3AHcAdwAuAGkAbgB2AGUAcwB0AG8AcABlAGQAaQBhAC4AYwBvAG0ALwB0AGUAcgBtAHMALwBlAC8AZQBiAGkAdABkAGEALQBtAGEAcgBnAGkAbgAuAGEAcwBwACAAtgBcACIAIAAm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FAEIASQBUAEQAQQAgACAAIAAgACAAIAAgACAAIACSISgAUgBlAHEAdQBpAHIAZQBkACkAIABFAGEAcgBuAGkAbgBnAHMAIABCAGUAZgBvAHIAZQAgAEkAbgB0AGUAcgBlAHMAdAAsACAAdABhAHgALAAgAGQAZQBwAHIAZQBjAGkAYQB0AGkAbwBuACwAIABhAG4AZAAgAGEAbQBvAHIAdABpAHMAYQB0AGkAbwBuALYAXAAiACAAJgAgAFwAbgAgACAAIAAgACAAIAAgACAAIAAgACAAIAAgACAAIAAgACAAIAAgACAAIAAgACAAIABcACIAVABvAHQAYQBsAFIAZQB2AGUAbgB1AGUAIAAgACAAkiEoAFIAZQBxAHUAaQByAGUAZAApACAAVABvAHQAYQBsACAAUgBlAHYAZQBuAHUAZQC2AFwAIgAgACYAIABcAG4AIAAgACAAIAAgACAAIAAgACAAIAAgACAAIAAgACAAIAAgACAAIAAgACAAIAAgACAAXAAiAEUAWABBAE0AUABMAEUAUwA6ACAAIAAgACAAIAAgAJIhRgBvAHIAbQB1AGwAYQAgACgAbgBhAGIAbABhAC4AcgAgAGkAcwAgAGEAcwBzAHUAbQBlAGQAIAB0AG8AIABiAGUAIAB0AGgAZQAgAG0AbwBkAHUAbABlACcAcwAgAG4AYQBtAGUAKQC2AFwAIgAgACYAXABuACAAIAAgACAAIAAgACAAIAAgACAAIAAgACAAIAAgACAAIAAgACAAIAAgACAAIAAgAFwAIgAxADIAJQAgACAAIAAgACAAIAAgACAAIAAgACAAIACSIT0AbgBhAGIAbABhAC4AcgAuAEUAQgBJAFQARABBAE0AYQByAGcAaQBuALsDKAAgADEANQAuADAALAAgADEAMgA1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UAQgBJAFQARABBACkALABcAG4AIAAgACAAIAAgACAAIAAgACAAIAAgACAAIAAgACAAIAAgACAAIAAgACAAIAAgACAAIAAgACAAIABJAFMATwBNAEkAVABUAEUARAAoACAAVABvAHQAYQBsAFIAZQB2AGUAbgB1AGUAKQBcAG4AIAAgACAAIAAgACAAIAAgACAAIAAgACAAIAAgACAAIAAgACAAIAAgACAAIAAgACAAKQAsAFwAbgAgACAAIAAgAC8ALwAgACAAUAByAG8AYwBlAGQAdQByAGUAXABuACAAIAAgACAAIAAgACAAIABSAGUAcwB1AGwAdAAsACAAIAAgACAAIAAgACAAIAAgAEUAQgBJAFQARABBAC8AVABvAHQAYQBsAFIAZQB2AGUAbgB1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8AcABlAHIAYQB0AGkAbgBnAE0AYQByAGcAaQBuALsDXABuACAAIAAgACAARABFAFMAQwBSAEkAUABUAEkATwBOADoAKgAvAC8AKgAqACAATQBlAGEAcwB1AHIAZQBzACAAaABvAHcAIABtAHUAYwBoACAAcAByAG8AZgBpAHQAIABhACAAYwBvAG0AcABhAG4AeQAgAG0AYQBrAGUAcwAgAG8AbgAgAGEAIABkAG8AbABsAGEAcgAgAG8AZgAgAHMAYQBsAGUAcwAgAGEAZgB0AGUAcgAgAHAAYQB5AGkAbgBnACAAZgBvAHIAIAB2AGEAcgBpAGEAYgBsAGUAIABjAG8AcwB0AHMAIABcAG4AbwBmACAAcAByAG8AZAB1AGMAdABpAG8AbgAsACAAcwB1AGMAaAAgAGEAcwAgAHcAYQBnAGUAcwAgAGEAbgBkACAAcgBhAHcAIABtAGEAdABlAHIAaQBhAGwAcwAsACAAYgB1AHQAIABiAGUAZgBvAHIAZQAgAHAAYQB5AGkAbgBnACAAaQBuAHQAZQByAGUAcwB0ACAAbwByACAAdABhAHgAIAAoAE8AcABlAHIAYQB0AGkAbgBnACAARQBhAHIAbgBpAG4AZwBzAC8AUgBlAHYAZQBuAHUAZQApAC4AKgAvAFwAbgBPAHAAZQByAGEAdABpAG4AZwBNAGEAcgBnAGkAbgC7AyAAPQAgAEwAQQBNAEIARABBACgAXABuAC8ALwAgACAAUABhAHIAYQBtAGUAdABlAHIAIABEAGUAYwBsAGEAcgBhAHQAaQBvAG4AcwBcAG4AIAAgACAAIAAgACAAIAAgAFsATwBwAGUAcgBhAHQAaQBuAGcARQBhAHIAbgBpAG4AZwBzAF0ALAAgACAAXABuACAAIAAgACAAIAAgACAAIABbAFIAZQB2AGUAbgB1AGUAXQAsACAAIAAgACAAXABuAC8ALwAgACAASABlAGwAcABcAG4AIAAgACAAIABMAEUAVAAoAEgAZQBsAHAALAAgACAAIABUAFIASQBNACgAVABFAFgAVABTAFAATABJAFQAKAAgAFwAbgAgACAAIAAgACAAIAAgACAAIAAgACAAIAAgACAAIAAgACAAIAAgACAAIAAgACAAIABcACIARgBVAE4AQwBUAEkATwBOADoAIAAgACAAIAAgACAAIAAgACAAIACSIU8AcABlAHIAYQB0AGkAbgBnAE0AYQByAGcAaQBuALsDKAAgAE8AcABlAHIAYQB0AGkAbgBnAEUAYQByAG4AaQBuAGcAcwAsACAAUgBlAHYAZQBuAHUAZQApALYAXAAiACAAJgAgAFwAbgAgACAAIAAgACAAIAAgACAAIAAgACAAIAAgACAAIAAgACAAIAAgACAAIAAgACAAIABcACIARABFAFMAQwBSAEkAUABUAEkATwBOADoAIAAgACAAIAAgACAAIACSIU0AZQBhAHMAdQByAGUAcwAgAGgAbwB3ACAAbQB1AGMAaAAgAHAAcgBvAGYAaQB0ACAAYQAgAGMAbwBtAHAAYQBuAHkAIABtAGEAawBlAHMAIABvAG4AIABhACAAZABvAGwAbABhAHIAIABvAGYAIABzAGEAbABlAHMAIABhAGYAdABlAHIAIABwAGEAeQBpAG4AZwC2AFwAIgAgACYAIABcAG4AIAAgACAAIAAgACAAIAAgACAAIAAgACAAIAAgACAAIAAgACAAIAAgACAAIAAgACAAIAAgACAAIAAgACAAIAAgACAAIAAgACAAIAAgACAAIAAgACAAIABcACIAkiFmAG8AcgAgAHYAYQByAGkAYQBiAGwAZQAgAGMAbwBzAHQAcwAgAG8AZgAgAHAAcgBvAGQAdQBjAHQAaQBvAG4ALAAgAHMAdQBjAGgAIABhAHMAIAB3AGEAZwBlAHMAIABhAG4AZAAgAHIAYQB3ACAAbQBhAHQAZQByAGkAYQBsAHMALAAgAGIAdQB0ACAAtgBcACIAIAAmACAAXABuACAAIAAgACAAIAAgACAAIAAgACAAIAAgACAAIAAgACAAIAAgACAAIAAgACAAIAAgACAAIAAgACAAIAAgACAAIAAgACAAIAAgACAAIAAgACAAIAAgACAAXAAiAJIhYgBlAGYAbwByAGUAIABwAGEAeQBpAG4AZwAgAGkAbgB0AGUAcgBlAHMAdAAgAG8AcgAgAHQAYQB4ACAAKABPAHAAZQByAGEAdABpAG4AZwAgAEUAYQByAG4AaQBuAGcAcwAvAFIAZQB2AGUAbgB1AGUAKQAuALYAXAAiACAAJgAgAFwAbgAgACAAIAAgACAAIAAgACAAIAAgACAAIAAgACAAIAAgACAAIAAgACAAIAAgACAAIABcACIAVwBFAEIAUABBAEcARQA6ACAAIAAgACAAIAAgACAAIAAgACAAIACSIWgAdAB0AHAAcwA6AC8ALwB3AHcAdwAuAGkAbgB2AGUAcwB0AG8AcABlAGQAaQBhAC4AYwBvAG0ALwB0AGUAcgBtAHMALwBvAC8AbwBwAGUAcgBhAHQAaQBuAGcAbQBhAHIAZwBpAG4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PAHAAZQByAGEAdABpAG4AZwBFAGEAcgBuAGkAbgBnAHMAIAAgAJIhKABSAGUAcQB1AGkAcgBlAGQAKQAgAEUAYQByAG4AaQBuAGcAcwAgAEIAZQBmAG8AcgBlACAASQBuAHQAZQByAGUAcwB0ACAAYQBuAGQAIAB0AGEAeAAgACgARQBCAEkAVAApACAAdwBoAGkAYwBoACAAaQBzACAAcgBlAHYAZQBuAHUAZQAgAC0AIABDAE8ARwBTALYAXAAiACAAJgAgAFwAbgAgACAAIAAgACAAIAAgACAAIAAgACAAIAAgACAAIAAgACAAIAAgACAAIAAgACAAIABcACIAUgBlAHYAZQBuAHUAZQAgACAAIAAgACAAIAAgACAAIAAgACAAIACSISgAUgBlAHEAdQBpAHIAZQBkACkAIABSAGUAdgBlAG4AdQBl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NAAwACUAIAAgACAAIAAgACAAIAAgACAAIAAgACAAIAAgACAAIACSIT0AbgBhAGIAbABhAC4AcgAuAE8AcABlAHIAYQB0AGkAbgBnAE0AYQByAGcAaQBuALsDKAAgAC4AOAAsACAAMg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PAHAAZQByAGEAdABpAG4AZwBFAGEAcgBuAGkAbgBnAHMAKQAsAFwAbgAgACAAIAAgACAAIAAgACAAIAAgACAAIAAgACAAIAAgACAAIAAgACAAIAAgACAAIAAgACAAIAAgAEkAUwBPAE0ASQBUAFQARQBEACgAIABSAGUAdgBlAG4AdQBlACkAXABuACAAIAAgACAAIAAgACAAIAAgACAAIAAgACAAIAAgACAAIAAgACAAIAAgACAAIAAgACkALABcAG4AIAAgACAAIAAvAC8AIAAgAFAAcgBvAGMAZQBkAHUAcgBlAFwAbgAgACAAIAAgACAAIAAgACAAUgBlAHMAdQBsAHQALAAgACAAIAAgACAAIAAgACAAIABPAHAAZQByAGEAdABpAG4AZwBFAGEAcgBuAGkAbgBnAHMALwBSAGUAdgBlAG4AdQ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QAHIAZQB0AGEAeABNAGEAcgBnAGkAbgC7A1wAbgAgACAAIAAgAEQARQBTAEMAUgBJAFAAVABJAE8ATgA6ACoALwAvACoAKgBNAGUAYQBzAHUAcgBlAHMAIAB0AGgAZQAgAG8AcABlAHIAYQB0AGkAbgBnACAAZQBmAGYAaQBjAGkAZQBuAGMAeQAgAG8AZgAgAGEAIABjAG8AbQBwAGEAbgB5ACAAKABQAHIAZQB0AGEAeAAgAEUAYQByAG4AaQBuAGcAcwAvAFIAZQB2AGUAbgB1AGUAKQAuACoALwBcAG4AUAByAGUAdABhAHgATQBhAHIAZwBpAG4AuwMgAD0AIABMAEEATQBCAEQAQQAoAFwAbgAvAC8AIAAgAFAAYQByAGEAbQBlAHQAZQByACAARABlAGMAbABhAHIAYQB0AGkAbwBuAHMAXABuACAAIAAgACAAIAAgACAAIABbAFAAcgBlAHQAYQB4AEUAYQByAG4AaQBuAGcAcwBdACwAIAAgAFwAbgAgACAAIAAgACAAIAAgACAAWwBSAGUAdgBlAG4AdQBlAF0ALAAgACAAIAAgAFwAbgAvAC8AIAAgAEgAZQBsAHAAXABuACAAIAAgACAATABFAFQAKABIAGUAbABwACwAIAAgACAAVABSAEkATQAoAFQARQBYAFQAUwBQAEwASQBUACgAIABcAG4AIAAgACAAIAAgACAAIAAgACAAIAAgACAAIAAgACAAIAAgACAAIAAgACAAIAAgACAAXAAiAEYAVQBOAEMAVABJAE8ATgA6ACAAIAAgACAAIAAgAJIhUAByAGUAdABhAHgATQBhAHIAZwBpAG4AuwMoACAAUAByAGUAdABhAHgARQBhAHIAbgBpAG4AZwBzACwAIABSAGUAdgBlAG4AdQBlACkAtgBcACIAIAAmACAAXABuACAAIAAgACAAIAAgACAAIAAgACAAIAAgACAAIAAgACAAIAAgACAAIAAgACAAIAAgAFwAIgBEAEUAUwBDAFIASQBQAFQASQBPAE4AOgAgACAAIACSIU0AZQBhAHMAdQByAGUAcwAgAHQAaABlACAAbwBwAGUAcgBhAHQAaQBuAGcAIABlAGYAZgBpAGMAaQBlAG4AYwB5ACAAbwBmACAAYQAgAGMAbwBtAHAAYQBuAHkAIAAoAFAAcgBlAHQAYQB4ACAARQBhAHIAbgBpAG4AZwBzAC8AUgBlAHYAZQBuAHUAZQApAC4AtgBcACIAIAAmACAAXABuACAAIAAgACAAIAAgACAAIAAgACAAIAAgACAAIAAgACAAIAAgACAAIAAgACAAIAAgAFwAIgBXAEUAQgBQAEEARwBFADoAIAAgACAAIAAgACAAIACSIWgAdAB0AHAAcwA6AC8ALwB3AHcAdwAuAGkAbgB2AGUAcwB0AG8AcABlAGQAaQBhAC4AYwBvAG0ALwB0AGUAcgBtAHMALwBwAC8AcAByAGUAdABhAHgALQBtAGEAcgBnAGkAbgAuAGEAcwBwACAAtgBcACIAIAAm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QAHIAZQB0AGEAeABFAGEAcgBuAGkAbgBnAHMAIACSISgAUgBlAHEAdQBpAHIAZQBkACkAIABFAGEAcgBuAGkAbgBnAHMAIABiAGUAZgBvAHIAZQAgAHQAYQB4ACAAKABFAEIAVAApALYAXAAiACAAJgAgAFwAbgAgACAAIAAgACAAIAAgACAAIAAgACAAIAAgACAAIAAgACAAIAAgACAAIAAgACAAIABcACIAUgBlAHYAZQBuAHUAZQAgACAAIAAgACAAIAAgACAAkiEoAFIAZQBxAHUAaQByAGUAZAApACAAUgBlAHYAZQBuAHUAZQC2AFwAIgAgACYAIABcAG4AIAAgACAAIAAgACAAIAAgACAAIAAgACAAIAAgACAAIAAgACAAIAAgACAAIAAgACAAXAAiAEUAWABBAE0AUABMAEUAUwA6ACAAIAAgACAAIAAgAJIhRgBvAHIAbQB1AGwAYQAgACgAbgBhAGIAbABhAC4AcgAgAGkAcwAgAGEAcwBzAHUAbQBlAGQAIAB0AG8AIABiAGUAIAB0AGgAZQAgAG0AbwBkAHUAbABlACcAcwAgAG4AYQBtAGUAKQC2AFwAIgAgACYAXABuACAAIAAgACAAIAAgACAAIAAgACAAIAAgACAAIAAgACAAIAAgACAAIAAgACAAIAAgAFwAIgA4ACUAIAAgACAAIAAgACAAIAAgACAAIAAgACAAIACSIT0AbgBhAGIAbABhAC4AcgAuAFAAcgBlAHQAYQB4AE0AYQByAGcAaQBuALsDKAAgADQAMAAuADAALAAgADUAMAAw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FAAcgBlAHQAYQB4AEUAYQByAG4AaQBuAGcAcwApACwAXABuACAAIAAgACAAIAAgACAAIAAgACAAIAAgACAAIAAgACAAIAAgACAAIAAgACAAIAAgACAAIAAgACAASQBTAE8ATQBJAFQAVABFAEQAKAAgAFIAZQB2AGUAbgB1AGUAKQBcAG4AIAAgACAAIAAgACAAIAAgACAAIAAgACAAIAAgACAAIAAgACAAIAAgACAAIAAgACAAKQAsAFwAbgAgACAAIAAgAC8ALwAgACAAUAByAG8AYwBlAGQAdQByAGUAXABuACAAIAAgACAAIAAgACAAIABSAGUAcwB1AGwAdAAsACAAIAAgACAAIAAgACAAIAAgAFAAcgBlAHQAYQB4AEUAYQByAG4AaQBuAGcAcwAvAFIAZQB2AGUAbgB1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4AZQB0AFAAcgBvAGYAaQB0AE0AYQByAGcAaQBuALsDXABuACAAIAAgACAARABFAFMAQwBSAEkAUABUAEkATwBOADoAKgAvAC8AKgAqAE0AZQBhAHMAdQByAGUAcwAgAGgAbwB3ACAAbQB1AGMAaAAgAG4AZQB0ACAAaQBuAGMAbwBtAGUAIABvAHIAIABwAHIAbwBmAGkAdAAgAGEAIABjAG8AbQBwAGEAbgB5ACAAZwBlAG4AZQByAGEAdABlAHMAIABhAHMAIABhACAAcABlAHIAYwBlAG4AdABhAGcAZQAgAG8AZgAgAGkAdABzACAAcgBlAHYAZQBuAHUAZQAuACAAXABuACgATgBlAHQAIABJAG4AYwBvAG0AZQAvAFIAZQB2AGUAbgB1AGUAKQAuACoALwBcAG4ATgBlAHQAUAByAG8AZgBpAHQATQBhAHIAZwBpAG4AuwMgAD0AIABMAEEATQBCAEQAQQAoAFwAbgAvAC8AIAAgAFAAYQByAGEAbQBlAHQAZQByACAARABlAGMAbABhAHIAYQB0AGkAbwBuAHMAXABuACAAIAAgACAAIAAgACAAIABbAE4AZQB0AEkAbgBjAG8AbQBlAF0ALAAgACAAXABuACAAIAAgACAAIAAgACAAIABbAFIAZQB2AGUAbgB1AGUAXQAsACAAIAAgACAAXABuAC8ALwAgACAASABlAGwAcABcAG4AIAAgACAAIABMAEUAVAAoAEgAZQBsAHAALAAgACAAIABUAFIASQBNACgAVABFAFgAVABTAFAATABJAFQAKAAgAFwAbgAgACAAIAAgACAAIAAgACAAIAAgACAAIAAgACAAIAAgACAAIAAgACAAIAAgACAAIABcACIARgBVAE4AQwBUAEkATwBOADoAIAAgACAAIAAgACAAkiFOAGUAdABQAHIAbwBmAGkAdABNAGEAcgBnAGkAbgC7AygAIABOAGUAdABJAG4AYwBvAG0AZQAsACAAUgBlAHYAZQBuAHUAZQApALYAXAAiACAAJgAgAFwAbgAgACAAIAAgACAAIAAgACAAIAAgACAAIAAgACAAIAAgACAAIAAgACAAIAAgACAAIABcACIARABFAFMAQwBSAEkAUABUAEkATwBOADoAIAAgACAAkiFNAGUAYQBzAHUAcgBlAHMAIABoAG8AdwAgAG0AdQBjAGgAIABuAGUAdAAgAGkAbgBjAG8AbQBlACAAbwByACAAcAByAG8AZgBpAHQAIABhACAAYwBvAG0AcABhAG4AeQAgAGcAZQBuAGUAcgBhAHQAZQBzACAAYQBzACAAYQAgALYAXAAiACAAJgAgAFwAbgAgACAAIAAgACAAIAAgACAAIAAgACAAIAAgACAAIAAgACAAIAAgACAAIAAgACAAIAAgACAAIAAgACAAIAAgACAAIAAgACAAIAAgACAAIABcACIAkiFwAGUAcgBjAGUAbgB0AGEAZwBlACAAbwBmACAAaQB0AHMAIAByAGUAdgBlAG4AdQBlAC4AIAAoAE4AZQB0ACAASQBuAGMAbwBtAGUALwBSAGUAdgBlAG4AdQBlACkAtgBcACIAIAAmACAAXABuACAAIAAgACAAIAAgACAAIAAgACAAIAAgACAAIAAgACAAIAAgACAAIAAgACAAIAAgAFwAIgBXAEUAQgBQAEEARwBFADoAIAAgACAAIAAgACAAIACSIWgAdAB0AHAAcwA6AC8ALwB3AHcAdwAuAGkAbgB2AGUAcwB0AG8AcABlAGQAaQBhAC4AYwBvAG0ALwB0AGUAcgBtAHMALwBuAC8AbgBlAHQAXwBtAGEAcgBnAGkAbgAuAGEAcwBwACAAtgBcACIAIAAm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OAGUAdABJAG4AYwBvAG0AZQAgACAAIAAgACAAIACSISgAUgBlAHEAdQBpAHIAZQBkACkAIABOAGUAdAAgAEkAbgBjAG8AbQBlACAAaQBuAGMAbAB1AGQAZQBzADoAtgBcACIAIAAmACAAXABuACAAIAAgACAAIAAgACAAIAAgACAAIAAgACAAIAAgACAAIAAgACAAIAAgACAAIAAgACAAIAAgACAAIAAgACAAIAAgACAAIAAgACAAIAAgAFwAIgCSIVIAZQB2AGUAbgB1AGUAtgBcACIAIAAmACAAXABuACAAIAAgACAAIAAgACAAIAAgACAAIAAgACAAIAAgACAAIAAgACAAIAAgACAAIAAgACAAIAAgACAAIAAgACAAIAAgACAAIAAgACAAIAAgAFwAIgCSIUwAZQBzAHMAIABDAE8ARwBTALYAXAAiACAAJgAgAFwAbgAgACAAIAAgACAAIAAgACAAIAAgACAAIAAgACAAIAAgACAAIAAgACAAIAAgACAAIAAgACAAIAAgACAAIAAgACAAIAAgACAAIAAgACAAIABcACIAkiFMAGUAcwBzACAATwBwAGUAcgBhAHQAaQBuAGcAIABhAG4AZAAgAG8AdABoAGUAcgAgAGUAeABwAGUAbgBzAGUAcwC2AFwAIgAgACYAIABcAG4AIAAgACAAIAAgACAAIAAgACAAIAAgACAAIAAgACAAIAAgACAAIAAgACAAIAAgACAAIAAgACAAIAAgACAAIAAgACAAIAAgACAAIAAgACAAXAAiAJIhTABlAHMAcwAgAEkAbgB0AGUAcgBlAHMAdAC2AFwAIgAgACYAIABcAG4AIAAgACAAIAAgACAAIAAgACAAIAAgACAAIAAgACAAIAAgACAAIAAgACAAIAAgACAAIAAgACAAIAAgACAAIAAgACAAIAAgACAAIAAgACAAXAAiAJIhTABlAHMAcwAgAFQAYQB4AGUAcwC2AFwAIgAgACYAIABcAG4AIAAgACAAIAAgACAAIAAgACAAIAAgACAAIAAgACAAIAAgACAAIAAgACAAIAAgACAAXAAiAFIAZQB2AGUAbgB1AGUAIAAgACAAIAAgACAAIAAgAJIhKABSAGUAcQB1AGkAcgBlAGQAKQAgAFIAZQB2AGUAbgB1AGU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NQA2ACUAIAAgACAAIAAgACAAIAAgACAAIAAgACAAkiE9AG4AYQBiAGwAYQAuAHIALgBOAGUAdABQAHIAbwBmAGkAdABNAGEAcgBnAGkAbgC7AygAIAA1ADYALgAwACwAIAAxADAAMA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JAG4AYwBvAG0AZQApACwAXABuACAAIAAgACAAIAAgACAAIAAgACAAIAAgACAAIAAgACAAIAAgACAAIAAgACAAIAAgACAAIAAgACAASQBTAE8ATQBJAFQAVABFAEQAKAAgAFIAZQB2AGUAbgB1AGUAKQBcAG4AIAAgACAAIAAgACAAIAAgACAAIAAgACAAIAAgACAAIAAgACAAIAAgACAAIAAgACAAKQAsAFwAbgAgACAAIAAgAC8ALwAgACAAUAByAG8AYwBlAGQAdQByAGUAXABuACAAIAAgACAAIAAgACAAIABSAGUAcwB1AGwAdAAsACAAIAAgACAAIAAgACAAIAAgAE4AZQB0AEkAbgBjAG8AbQBlAC8AUgBlAHYAZQBuAHU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EMAYQBzAGgARgBsAG8AdwBNAGEAcgBnAGkAbgC7A1wAbgAgACAAIAAgAEQARQBTAEMAUgBJAFAAVABJAE8ATgA6ACoALwAvACoAKgBDAGEAcwBoACAARgBsAG8AdwAgAE0AYQByAGcAaQBuACAAaQBzACAAYQAgAHQAcgB1AHMAdABlAGQAIABtAGUAdAByAGkAYwAgAG8AZgAgAGEAIABjAG8AbQBwAGEAbgB5ABkgcwAgAHAAcgBvAGYAaQB0AGEAYgBpAGwAaQB0AHkAIABhAG4AZAAgAGUAZgBmAGkAYwBpAGUAbgBjAHkAIABcAG4AYQBuAGQAIABpAHQAcwAgAGUAYQByAG4AaQBuAGcAcwAgAHEAdQBhAGwAaQB0AHkAIAAoAEMAYQBzAGgAIABGAGwAbwB3ACAARgByAG8AbQAgAE8AcABlAHIAYQB0AGkAbgBnACAAQQBjAHQAaQB2AGkAdABpAGUAcwAvAFIAZQB2AGUAbgB1AGUAKQAuACoALwBcAG4AQwBhAHMAaABGAGwAbwB3AE0AYQByAGcAaQBuALsDIAA9ACAATABBAE0AQgBEAEEAKABcAG4ALwAvACAAIABQAGEAcgBhAG0AZQB0AGUAcgAgAEQAZQBjAGwAYQByAGEAdABpAG8AbgBzAFwAbgAgACAAIAAgACAAIAAgACAAWwBDAGEAcwBoAEYAbABvAHcARgByAG8AbQBPAHAAZQByAGEAdABpAG4AZwBBAGMAdABpAHYAaQB0AGkAZQBzAF0ALAAgACAAXABuACAAIAAgACAAIAAgACAAIABbAFIAZQB2AGUAbgB1AGUAXQAsACAAIAAgACAAXABuAC8ALwAgACAASABlAGwAcABcAG4AIAAgACAAIABMAEUAVAAoAEgAZQBsAHAALAAgACAAIABUAFIASQBNACgAVABFAFgAVABTAFAATABJAFQAKAAgAFwAbgAgACAAIAAgACAAIAAgACAAIAAgACAAIAAgACAAIAAgACAAIAAgACAAIAAgACAAIABcACIARgBVAE4AQwBUAEkATwBOADoAIAAgACAAIAAgACAAkiFDAGEAcwBoAEYAbABvAHcATQBhAHIAZwBpAG4AuwMoACAATgBlAHQASQBuAGMAbwBtAGUALAAgAFIAZQB2AGUAbgB1AGUAKQC2AFwAIgAgACYAIABcAG4AIAAgACAAIAAgACAAIAAgACAAIAAgACAAIAAgACAAIAAgACAAIAAgACAAIAAgACAAXAAiAEQARQBTAEMAUgBJAFAAVABJAE8ATgA6ACAAIAAgAJIhQwBhAHMAaAAgAEYAbABvAHcAIABNAGEAcgBnAGkAbgAgAGkAcwAgAGEAIAB0AHIAdQBzAHQAZQBkACAAbQBlAHQAcgBpAGMAIABvAGYAIABhACAAYwBvAG0AcABhAG4AeQAZIHMAIABwAHIAbwBmAGkAdABhAGIAaQBsAGkAdAB5ACAAtgBcACIAIAAmACAAXABuACAAIAAgACAAIAAgACAAIAAgACAAIAAgACAAIAAgACAAIAAgACAAIAAgACAAIAAgACAAIAAgACAAIAAgACAAIAAgACAAIAAgACAAIAAgAFwAIgCSIWEAbgBkACAAZQBmAGYAaQBjAGkAZQBuAGMAeQAgAGEAbgBkACAAaQB0AHMAIABlAGEAcgBuAGkAbgBnAHMAIABxAHUAYQBsAGkAdAB5ACAAtgBcACIAIAAmACAAXABuACAAIAAgACAAIAAgACAAIAAgACAAIAAgACAAIAAgACAAIAAgACAAIAAgACAAIAAgACAAIAAgACAAIAAgACAAIAAgACAAIAAgACAAIAAgAFwAIgCSISgAQwBhAHMAaAAgAEYAbABvAHcAIABGAHIAbwBtACAATwBwAGUAcgBhAHQAaQBuAGcAIABBAGMAdABpAHYAaQB0AGkAZQBzAC8AUgBlAHYAZQBuAHUAZQApAC4AtgBcACIAIAAmACAAXABuACAAIAAgACAAIAAgACAAIAAgACAAIAAgACAAIAAgACAAIAAgACAAIAAgACAAIAAgAFwAIgBXAEUAQgBQAEEARwBFADoAIAAgACAAIAAgACAAIACSIWgAdAB0AHAAcwA6AC8ALwB3AHcAdwAuAGkAbgB2AGUAcwB0AG8AcABlAGQAaQBhAC4AYwBvAG0ALwB0AGUAcgBtAHMALwBvAC8AbwBwAGUAcgBhAHQAaQBuAGcALQBjAGEAcwBoAC0AZgBsAG8AdwAtAG0AYQByAGcAaQBuAC4AYQBzAHAAIAC2AFwAIgAgACYAXABuACAAIAAgACAAIAAgACAAIAAgACAAIAAgACAAIAAgACAAIAAgACAAIAAgACAAIAAgAFwAIgBWAEUAUgBTAEkATwBOADoAIAAgACAAIAAgACAAIACSITEAOAAgAEEAdQBnACAAMgAwADIANgC2AFwAIgAgACYAXABuACAAIAAgACAAIAAgACAAIAAgACAAIAAgACAAIAAgACAAIAAgACAAIAAgACAAIAAgAFwAIgBQAEEAUgBBAE0ARQBUAEUAUgBTADoAkiG2AFwAIgAgACYAIABcAG4AIAAgACAAIAAgACAAIAAgACAAIAAgACAAIAAgACAAIAAgACAAIAAgACAAIAAgACAAXAAiAEMAYQBzAGgARgBsAG8AdwBGAHIAbwBtAE8AcABlAHIAYQB0AGkAbgBnAEEAYwB0AGkAdgBpAHQAaQBlAHMAkiEoAFIAZQBxAHUAaQByAGUAZAApACAAQwBhAHMAaAAgAEYAbABvAHcAIABGAHIAbwBtACAATwBwAGUAcgBhAHQAaQBuAGcAIABBAGMAdABpAHYAaQB0AGkAZQBzACAAaQBuAGMAbAB1AGQAZQBzADoAtgBcACIAIAAmACAAXABuACAAIAAgACAAIAAgACAAIAAgACAAIAAgACAAIAAgACAAIAAgACAAIAAgACAAIAAgACAAIAAgACAAIAAgACAAIAAgACAAIAAgACAAIAAgAFwAIgCSIU4AZQB0ACAASQBuAGMAbwBtAGUAtgBcACIAIAAmACAAXABuACAAIAAgACAAIAAgACAAIAAgACAAIAAgACAAIAAgACAAIAAgACAAIAAgACAAIAAgACAAIAAgACAAIAAgACAAIAAgACAAIAAgACAAIAAgAFwAIgCSIU4AbwBuAC0AYwBhAHMAaAAgAEUAeABwAGUAbgBzAGUAcwAgACgARABlAHAAcgBlAGMAaQBhAHQAaQBvAG4AIABhAG4AZAAgAEEAbQBvAHIAdABpAHMAYQB0AGkAbwBuACkAtgBcACIAIAAmACAAXABuACAAIAAgACAAIAAgACAAIAAgACAAIAAgACAAIAAgACAAIAAgACAAIAAgACAAIAAgACAAIAAgACAAIAAgACAAIAAgACAAIAAgACAAIAAgAFwAIgCSIUMAaABhAG4AZwBlACAAaQBuACAAVwBvAHIAawBpAG4AZwAgAEMAYQBwAGkAdABhAGwAtgBcACIAIAAmACAAXABuACAAIAAgACAAIAAgACAAIAAgACAAIAAgACAAIAAgACAAIAAgACAAIAAgACAAIAAgAFwAIgBSAGUAdgBlAG4AdQBlACAAIAAgACAAIAAgACAAIACSISgAUgBlAHEAdQBpAHIAZQBkACkAIABSAGUAdgBlAG4AdQBlALYAXAAiACAAJgAgAFwAbgAgACAAIAAgACAAIAAgACAAIAAgACAAIAAgACAAIAAgACAAIAAgACAAIAAgACAAIABcACIARQBYAEEATQBQAEwARQBTADoAIAAgACAAIAAgACAAkiFGAG8AcgBtAHUAbABhACAAKABuAGEAYgBsAGEALgByACAAaQBzACAAYQBzAHMAdQBtAGUAZAAgAHQAbwAgAGIAZQAgAHQAaABlACAAbQBvAGQAdQBsAGUAJwBzACAAbgBhAG0AZQApALYAXAAiACAAJgBcAG4AIAAgACAAIAAgACAAIAAgACAAIAAgACAAIAAgACAAIAAgACAAIAAgACAAIAAgACAAXAAiADUAMAAuADgAJQAgACAAIAAgACAAIAAgACAAIAAgAJIhPQBuAGEAYgBsAGEALgByAC4AQwBhAHMAaABGAGwAbwB3AE0AYQByAGcAaQBuALsDKAAgADIALgA2ADkANQAsACAANQAuADM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DAGEAcwBoAEYAbABvAHcARgByAG8AbQBPAHAAZQByAGEAdABpAG4AZwBBAGMAdABpAHYAaQB0AGkAZQBzACkALABcAG4AIAAgACAAIAAgACAAIAAgACAAIAAgACAAIAAgACAAIAAgACAAIAAgACAAIAAgACAAIAAgACAAIABJAFMATwBNAEkAVABUAEUARAAoACAAUgBlAHYAZQBuAHUAZQApAFwAbgAgACAAIAAgACAAIAAgACAAIAAgACAAIAAgACAAIAAgACAAIAAgACAAIAAgACAAIAApACwAXABuACAAIAAgACAALwAvACAAIABQAHIAbwBjAGUAZAB1AHIAZQBcAG4AIAAgACAAIAAgACAAIAAgAFIAZQBzAHUAbAB0ACwAIAAgACAAIAAgACAAIAAgACAAQwBhAHMAaABGAGwAbwB3AEYAcgBvAG0ATwBwAGUAcgBhAHQAaQBuAGcAQQBjAHQAaQB2AGkAdABpAGUAcwAvAFIAZQB2AGUAbgB1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FIATwBBALsDXABuACAAIAAgACAARABFAFMAQwBSAEkAUABUAEkATwBOADoAKgAvAC8AKgAqAFIAZQB0AHUAcgBuACAAbwBuACAAYQBzAHMAZQB0AHMAIAAoAFIATwBBACkAIAByAGEAdABpAG8AIABpAG4AZABpAGMAYQB0AGUAcwAgAGgAbwB3ACAAcAByAG8AZgBpAHQAYQBiAGwAZQAgAGEAIABjAG8AbQBwAGEAbgB5ACAAaQBzACAAXABuAGkAbgAgAHIAZQBsAGEAdABpAG8AbgAgAHQAbwAgAGkAdABzACAAdABvAHQAYQBsACAAYQBzAHMAZQB0AHMAIAAoACAATgBlAHQAIABJAG4AYwBvAG0AZQAgAC8AIABUAG8AdABhAGwAIABBAHMAcwBlAHQAcwApACAAKgAvAFwAbgBSAE8AQQC7AyAAPQAgAEwAQQBNAEIARABBACgAXABuAC8ALwAgACAAUABhAHIAYQBtAGUAdABlAHIAIABEAGUAYwBsAGEAcgBhAHQAaQBvAG4AcwBcAG4AIAAgACAAIAAgACAAIAAgAFsATgBlAHQASQBuAGMAbwBtAGUAXQAsACAAIABcAG4AIAAgACAAIAAgACAAIAAgAFsAVABvAHQAYQBsAEEAcwBzAGUAdABzAF0ALAAgACAAIAAgAFwAbgAvAC8AIAAgAEgAZQBsAHAAXABuACAAIAAgACAATABFAFQAKABIAGUAbABwACwAIAAgACAAVABSAEkATQAoAFQARQBYAFQAUwBQAEwASQBUACgAIABcAG4AIAAgACAAIAAgACAAIAAgACAAIAAgACAAIAAgACAAIAAgACAAIAAgACAAIAAgACAAXAAiAEYAVQBOAEMAVABJAE8ATgA6ACAAIAAgACAAIAAgAJIhUgBPAEEAuwMoACAATgBlAHQASQBuAGMAbwBtAGUALAAgAFQAbwB0AGEAbABBAHMAcwBlAHQAcwApALYAXAAiACAAJgAgAFwAbgAgACAAIAAgACAAIAAgACAAIAAgACAAIAAgACAAIAAgACAAIAAgACAAIAAgACAAIABcACIARABFAFMAQwBSAEkAUABUAEkATwBOADoAIAAgACAAkiFSAGUAdAB1AHIAbgAgAG8AbgAgAGEAcwBzAGUAdABzACAAcgBhAHQAaQBvACAAaQBuAGQAaQBjAGEAdABlAHMAIABoAG8AdwAgAHAAcgBvAGYAaQB0AGEAYgBsAGUAIABhACAAYwBvAG0AcABhAG4AeQAgAGkAcwAgALYAXAAiACAAJgAgAFwAbgAgACAAIAAgACAAIAAgACAAIAAgACAAIAAgACAAIAAgACAAIAAgACAAIAAgACAAIAAgACAAIAAgACAAIAAgACAAIAAgACAAIAAgACAAIABcACIAkiFpAG4AIAByAGUAbABhAHQAaQBvAG4AIAB0AG8AIABpAHQAcwAgAHQAbwB0AGEAbAAgAGEAcwBzAGUAdABzACAAKAAgAE4AZQB0ACAASQBuAGMAbwBtAGUAIAAvACAAVABvAHQAYQBsACAAQQBzAHMAZQB0AHMAKQC2AFwAIgAgACYAIABcAG4AIAAgACAAIAAgACAAIAAgACAAIAAgACAAIAAgACAAIAAgACAAIAAgACAAIAAgACAAXAAiAFcARQBCAFAAQQBHAEUAOgAgACAAIAAgACAAIAAgAJIhaAB0AHQAcABzADoALwAvAHcAdwB3AC4AaQBuAHYAZQBzAHQAbwBwAGUAZABpAGEALgBjAG8AbQAvAHQAZQByAG0AcwAvAHIALwByAGUAdAB1AHIAbgBvAG4AYQBzAHMAZQB0AHM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TgBlAHQASQBuAGMAbwBtAGUAIAAgACAAIAAgACAAkiEoAFIAZQBxAHUAaQByAGUAZAApACAATgBlAHQAIABJAG4AYwBvAG0AZQC2AFwAIgAgACYAIABcAG4AIAAgACAAIAAgACAAIAAgACAAIAAgACAAIAAgACAAIAAgACAAIAAgACAAIAAgACAAXAAiAFQAbwB0AGEAbABBAHMAcwBlAHQAcwAgACAAIAAgAJIhKABSAGUAcQB1AGkAcgBlAGQAKQAgAFQAbwB0AGEAbAAgAEEAcwBzAGUAdABzALYAXAAiACAAJgAgAFwAbgAgACAAIAAgACAAIAAgACAAIAAgACAAIAAgACAAIAAgACAAIAAgACAAIAAgACAAIABcACIARQBYAEEATQBQAEwARQBTADoAIAAgACAAIAAgACAAkiFGAG8AcgBtAHUAbABhACAAKABuAGEAYgBsAGEALgByACAAaQBzACAAYQBzAHMAdQBtAGUAZAAgAHQAbwAgAGIAZQAgAHQAaABlACAAbQBvAGQAdQBsAGUAJwBzACAAbgBhAG0AZQApALYAXAAiACAAJgBcAG4AIAAgACAAIAAgACAAIAAgACAAIAAgACAAIAAgACAAIAAgACAAIAAgACAAIAAgACAAXAAiADgAJQAgACAAIAAgACAAIAAgACAAIAAgACAAIAAgAJIhPQBuAGEAYgBsAGEALgByAC4AUgBPAEEAuwMoADEAMgAwADAALAAgADEANQAwADA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4AZQB0AEkAbgBjAG8AbQBlACkALABcAG4AIAAgACAAIAAgACAAIAAgACAAIAAgACAAIAAgACAAIAAgACAAIAAgACAAIAAgACAAIAAgACAAIABJAFMATwBNAEkAVABUAEUARAAoACAAVABvAHQAYQBsAEEAcwBzAGUAdABzACkAXABuACAAIAAgACAAIAAgACAAIAAgACAAIAAgACAAIAAgACAAIAAgACAAIAAgACAAIAAgACkALABcAG4AIAAgACAAIAAvAC8AIAAgAFAAcgBvAGMAZQBkAHUAcgBlAFwAbgAgACAAIAAgACAAIAAgACAAUgBlAHMAdQBsAHQALAAgACAAIAAgACAAIAAgACAAIABOAGUAdABJAG4AYwBvAG0AZQAvAFQAbwB0AGEAbABBAHMAcwBlAHQAc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UgBPAEUAuwNcAG4AIAAgACAAIABEAEUAUwBDAFIASQBQAFQASQBPAE4AOgAqAC8ALwAqACoAUgBlAHQAdQByAG4AIABvAG4AIABlAHEAdQBpAHQAeQAgACgAUgBPAEUAKQAgAHIAYQB0AGkAbwAgAGkAcwAgAGEAIABtAGUAYQBzAHUAcgBlACAAbwBmACAAZgBpAG4AYQBuAGMAaQBhAGwAIABwAGUAcgBmAG8AcgBtAGEAbgBjAGUAIAAoAE4AZQB0ACAASQBuAGMAbwBtAGUALwBTAGgAYQByAGUAaABvAGwAZABlAHIAcwAgAEUAcQB1AGkAdAB5ACkAKgAvAFwAbgBSAE8ARQC7AyAAPQAgAEwAQQBNAEIARABBACgAXABuAC8ALwAgACAAUABhAHIAYQBtAGUAdABlAHIAIABEAGUAYwBsAGEAcgBhAHQAaQBvAG4AcwBcAG4AIAAgACAAIAAgACAAIAAgAFsATgBlAHQASQBuAGMAbwBtAGUAXQAsACAAIABcAG4AIAAgACAAIAAgACAAIAAgAFsAUwBoAGEAcgBlAGgAbwBsAGQAZQByAHMARQBxAHUAaQB0AHkAXQAsACAAIAAgACAAXABuAC8ALwAgACAASABlAGwAcABcAG4AIAAgACAAIABMAEUAVAAoAEgAZQBsAHAALAAgACAAIABUAFIASQBNACgAVABFAFgAVABTAFAATABJAFQAKAAgAFwAbgAgACAAIAAgACAAIAAgACAAIAAgACAAIAAgACAAIAAgACAAIAAgACAAIAAgACAAIABcACIARgBVAE4AQwBUAEkATwBOADoAIAAgACAAIAAgACAAIAAgACAAIACSIVIATwBFALsDKAAgAE4AZQB0AEkAbgBjAG8AbQBlACwAIABTAGgAYQByAGUAaABvAGwAZABlAHIAcwBFAHEAdQBpAHQAeQApALYAXAAiACAAJgAgAFwAbgAgACAAIAAgACAAIAAgACAAIAAgACAAIAAgACAAIAAgACAAIAAgACAAIAAgACAAIABcACIARABFAFMAQwBSAEkAUABUAEkATwBOADoAIAAgACAAIAAgACAAIACSIVIAZQB0AHUAcgBuACAAbwBuACAAZQBxAHUAaQB0AHkAIAByAGEAdABpAG8AIABpAHMAIABjAG8AbgBzAGkAZABlAHIAZQBkACAAYQAgAGcAYQB1AGcAZQAgAG8AZgAgAGEAIABjAG8AcgBwAG8AcgBhAHQAaQBvAG4AJwBzACAAtgBcACIAIAAmACAAXABuACAAIAAgACAAIAAgACAAIAAgACAAIAAgACAAIAAgACAAIAAgACAAIAAgACAAIAAgACAAIAAgACAAIAAgACAAIAAgACAAIAAgACAAIAAgACAAIAAgACAAXAAiAJIhcAByAG8AZgBpAHQAYQBiAGkAbABpAHQAeQAgAGEAbgBkACAAaABvAHcAIABlAGYAZgBpAGMAaQBlAG4AdAAgAGkAdAAgAGkAcwAgAGkAbgAgAGcAZQBuAGUAcgBhAHQAaQBuAGcAIABwAHIAbwBmAGkAdABzALYAXAAiACAAJgAgAFwAbgAgACAAIAAgACAAIAAgACAAIAAgACAAIAAgACAAIAAgACAAIAAgACAAIAAgACAAIAAgACAAIAAgACAAIAAgACAAIAAgACAAIAAgACAAIAAgACAAIAAgAFwAIgCSISgATgBlAHQAIABJAG4AYwBvAG0AZQAvACAAQQB2AGUAcgBhAGcAZQAgAFMAaABhAHIAZQBoAG8AbABkAGUAcgBzACcAIABFAHEAdQBpAHQAeQApALYAXAAiACAAJgBcAG4AIAAgACAAIAAgACAAIAAgACAAIAAgACAAIAAgACAAIAAgACAAIAAgACAAIAAgACAAXAAiAFcARQBCAFAAQQBHAEUAOgAgACAAIAAgACAAIAAgACAAIAAgACAAkiFoAHQAdABwAHMAOgAvAC8AdwB3AHcALgBpAG4AdgBlAHMAdABvAHAAZQBkAGkAYQAuAGMAbwBtAC8AdABlAHIAbQBzAC8AcgAvAHIAZQB0AHUAcgBuAG8AbgBlAHEAdQBpAHQAeQAuAGEAcwBw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kiG2AFwAIgAgACYAIABcAG4AIAAgACAAIAAgACAAIAAgACAAIAAgACAAIAAgACAAIAAgACAAIAAgACAAIAAgACAAXAAiAE4AZQB0AEkAbgBjAG8AbQBlACAAIAAgACAAIAAgACAAIAAgACAAkiEoAFIAZQBxAHUAaQByAGUAZAApACAATgBlAHQAIABJAG4AYwBvAG0AZQC2AFwAIgAgACYAIABcAG4AIAAgACAAIAAgACAAIAAgACAAIAAgACAAIAAgACAAIAAgACAAIAAgACAAIAAgACAAXAAiAFMAaABhAHIAZQBoAG8AbABkAGUAcgBzAEUAcQB1AGkAdAB5ACAAkiEoAFIAZQBxAHUAaQByAGUAZAApACAAQQB2AGUAcgBhAGcAZQAgAFMAaABhAHIAZQBoAG8AbABkAGUAcgBzACcAIABFAHEAdQBpAHQAeQAgAGYAcgBvAG0AIABwAGUAcgBpAG8AZAAgAG8AcABlAG4AIABhAG4AZAAgAGMAbABvAHMAZQAg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MgAzAC4ANgAyADEAMwAlACAAIAAgACAAIAAgACAAIAAgACAAIACSIT0AbgBhAGIAbABhAC4AcgAuAFIATwBFALsDKAAgADUAOQAuADkANwAyACwAIABBAFYARQBSAEEARwBFACgAMgA1ADEALgA2ADMANQAsACAAMgA1ADYALgAxADQANAAp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SQBuAGMAbwBtAGUAKQAsAFwAbgAgACAAIAAgACAAIAAgACAAIAAgACAAIAAgACAAIAAgACAAIAAgACAAIAAgACAAIAAgACAAIAAgAEkAUwBPAE0ASQBUAFQARQBEACgAIABTAGgAYQByAGUAaABvAGwAZABlAHIAcwBFAHEAdQBpAHQAeQApAFwAbgAgACAAIAAgACAAIAAgACAAIAAgACAAIAAgACAAIAAgACAAIAAgACAAIAAgACAAIAApACwAXABuACAAIAAgACAALwAvACAAIABQAHIAbwBjAGUAZAB1AHIAZQBcAG4AIAAgACAAIAAgACAAIAAgAFIAZQBzAHUAbAB0ACwAIAAgACAAIAAgACAAIAAgACAATgBlAHQASQBuAGMAbwBtAGUALwBTAGgAYQByAGUAaABvAGwAZABlAHIAcwBFAHEAdQBpAHQAe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UgBPAEkAuwNcAG4AIAAgACAAIABEAEUAUwBDAFIASQBQAFQASQBPAE4AOgAqAC8ALwAqACoAUgBlAHQAdQByAG4AIABvAG4AIABJAG4AdgBlAHMAdABtAGUAbgB0ACAAKABSAE8ASQApACAAcgBhAHQAaQBvACAAIABtAGUAYQBzAHUAcgBlAHMAIAB0AGgAZQAgAHAAcgBvAGYAaQB0AGEAYgBpAGwAaQB0AHkAIABvAGYAIABhAG4AIABpAG4AdgBlAHMAdABtAGUAbgB0ACAAYgB5ACAAYwBvAG0AcABhAHIAaQBuAGcAIABcAG4AdABoAGUAIABnAGEAaQBuACAAbwByACAAbABvAHMAcwAgAHQAbwAgAGkAdABzACAAYwBvAHMAdAAgACgATgBlAHQAIABSAGUAdAB1AHIAbgAgAG8AbgAgAEkAbgB2AGUAcwB0AG0AZQBuAHQALwBDAG8AcwB0ACAAbwBmACAASQBuAHYAZQBzAHQAbQBlAG4AdAApAC4AKgAvAFwAbgBSAE8ASQC7AyAAPQAgAEwAQQBNAEIARABBACgAXABuAC8ALwAgACAAUABhAHIAYQBtAGUAdABlAHIAIABEAGUAYwBsAGEAcgBhAHQAaQBvAG4AcwBcAG4AIAAgACAAIAAgACAAIAAgAFsATgBlAHQAUgBlAHQAdQByAG4AbwBuAEkAbgB2AGUAcwB0AG0AZQBuAHQAXQAsACAAIABcAG4AIAAgACAAIAAgACAAIAAgAFsAQwBvAHMAdABvAGYASQBuAHYAZQBzAHQAbQBlAG4AdABdACwAIAAgACAAIABcAG4ALwAvACAAIABIAGUAbABwAFwAbgAgACAAIAAgAEwARQBUACgASABlAGwAcAAsACAAIAAgAFQAUgBJAE0AKABUAEUAWABUAFMAUABMAEkAVAAoACAAXABuACAAIAAgACAAIAAgACAAIAAgACAAIAAgACAAIAAgACAAIAAgACAAIAAgACAAIAAgAFwAIgBGAFUATgBDAFQASQBPAE4AOgAgACAAIAAgACAAIAAgACAAIAAgACAAIAAgACAAkiFSAE8ASQC7AygAIABOAGUAdABSAGUAdAB1AHIAbgBvAG4ASQBuAHYAZQBzAHQAbQBlAG4AdAAsACAAQwBvAHMAdABvAGYASQBuAHYAZQBzAHQAbQBlAG4AdAApALYAXAAiACAAJgAgAFwAbgAgACAAIAAgACAAIAAgACAAIAAgACAAIAAgACAAIAAgACAAIAAgACAAIAAgACAAIABcACIARABFAFMAQwBSAEkAUABUAEkATwBOADoAIAAgACAAIAAgACAAIAAgACAAIAAgAJIhUgBlAHQAdQByAG4AIABvAG4AIABJAG4AdgBlAHMAdABtAGUAbgB0ACAAKABSAE8ASQApACAAcgBhAHQAaQBvACAAIABtAGUAYQBzAHUAcgBlAHMAIAB0AGgAZQAgAHAAcgBvAGYAaQB0AGEAYgBpAGwAaQB0AHkAIABvAGYAtgBcACIAIAAmACAAXABuACAAIAAgACAAIAAgACAAIAAgACAAIAAgACAAIAAgACAAIAAgACAAIAAgACAAIAAgACAAIAAgACAAIAAgACAAIAAgACAAIAAgACAAIAAgACAAIAAgACAAIAAgACAAIABcACIAkiFhAG4AIABpAG4AdgBlAHMAdABtAGUAbgB0ACAAYgB5ACAAYwBvAG0AcABhAHIAaQBuAGcAIAB0AGgAZQAgAGcAYQBpAG4AIABvAHIAIABsAG8AcwBzACAAdABvACAAaQB0AHMAIABjAG8AcwB0AC4AIAC2AFwAIgAgACYAIABcAG4AIAAgACAAIAAgACAAIAAgACAAIAAgACAAIAAgACAAIAAgACAAIAAgACAAIAAgACAAIAAgACAAIAAgACAAIAAgACAAIAAgACAAIAAgACAAIAAgACAAIAAgACAAIAAgAFwAIgCSISgATgBlAHQAIABSAGUAdAB1AHIAbgAgAG8AbgAgAEkAbgB2AGUAcwB0AG0AZQBuAHQALwBDAG8AcwB0ACAAbwBmACAASQBuAHYAZQBzAHQAbQBlAG4AdAApALYAXAAiACAAJgAgAFwAbgAgACAAIAAgACAAIAAgACAAIAAgACAAIAAgACAAIAAgACAAIAAgACAAIAAgACAAIABcACIAVwBFAEIAUABBAEcARQA6ACAAIAAgACAAIAAgACAAIAAgACAAIAAgACAAIAAgAJIhaAB0AHQAcABzADoALwAvAHcAdwB3AC4AaQBuAHYAZQBzAHQAbwBwAGUAZABpAGEALgBjAG8AbQAvAHQAZQByAG0AcwAvAHIALwByAGUAdAB1AHIAbgBvAG4AZQBxAHUAaQB0AHkALgBhAHMAcAAgALYAXAAiACAAJgBcAG4AIAAgACAAIAAgACAAIAAgACAAIAAgACAAIAAgACAAIAAgACAAIAAgACAAIAAgACAAXAAiAFYARQBSAFMASQBPAE4AOgAgACAAIAAgACAAIAAgACAAIAAgACAAIAAgACAAIACSITEAOAAgAEEAdQBnACAAMgAwADIANgC2AFwAIgAgACYAXABuACAAIAAgACAAIAAgACAAIAAgACAAIAAgACAAIAAgACAAIAAgACAAIAAgACAAIAAgAFwAIgBQAEEAUgBBAE0ARQBUAEUAUgBTADoAkiG2AFwAIgAgACYAIABcAG4AIAAgACAAIAAgACAAIAAgACAAIAAgACAAIAAgACAAIAAgACAAIAAgACAAIAAgACAAXAAiAE4AZQB0AFIAZQB0AHUAcgBuAG8AbgBJAG4AdgBlAHMAdABtAGUAbgB0ACAAIACSISgAUgBlAHEAdQBpAHIAZQBkACkAIABOAGUAdAAgAFIAZQB0AHUAcgBuACAAbwBuACAASQBuAHYAZQBzAHQAbQBlAG4AdAAgAGkAcwAgAHQAaABlACAAtgBcACIAIAAmACAAXABuACAAIAAgACAAIAAgACAAIAAgACAAIAAgACAAIAAgACAAIAAgACAAIAAgACAAIAAgACAAIAAgACAAIAAgACAAIAAgACAAIAAgACAAIAAgACAAIAAgACAAIAAgACAAIABcACIAkiFmAGkAbgBhAGwAIAB2AGEAbAB1AGUAIABvAGYAIABpAG4AdgBlAHMAdABtAGUAbgB0ACAALQAgAGkAbgBpAHQAaQBhAGwAIAB2AGEAbAB1AGUAIABvAGYAIABpAG4AdgBlAHMAdABtAGUAbgB0ALYAXAAiACAAJgAgAFwAbgAgACAAIAAgACAAIAAgACAAIAAgACAAIAAgACAAIAAgACAAIAAgACAAIAAgACAAIABcACIAQwBvAHMAdABvAGYASQBuAHYAZQBzAHQAbQBlAG4AdAAgACAAIAAgACAAIAAgAJIhKABSAGUAcQB1AGkAcgBlAGQAKQAgAEMAbwBzAHQAIABvAGYAIABJAG4AdgBlAHMAdABtAGUAbgB0ACAAtgBcACIAIAAmACAAXABuACAAIAAgACAAIAAgACAAIAAgACAAIAAgACAAIAAgACAAIAAgACAAIAAgACAAIAAgAFwAIgBFAFgAQQBNAFAATABFAFMAOgAgACAAIAAgACAAIAAgACAAIAAgACAAIAAgACAAkiFGAG8AcgBtAHUAbABhACAAKABuAGEAYgBsAGEALgByACAAaQBzACAAYQBzAHMAdQBtAGUAZAAgAHQAbwAgAGIAZQAgAHQAaABlACAAbQBvAGQAdQBsAGUAJwBzACAAbgBhAG0AZQApALYAXAAiACAAJgBcAG4AIAAgACAAIAAgACAAIAAgACAAIAAgACAAIAAgACAAIAAgACAAIAAgACAAIAAgACAAXAAiADIAOAAuADcANQAlACAAIAAgACAAIAAgACAAIAAgACAAIAAgACAAIAAgACAAIACSIT0AbgBhAGIAbABhAC4AcgAuAFIATwBJALsDKAAgADIAOAA3ADUALAAgADEAMAAwADA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4AZQB0AFIAZQB0AHUAcgBuAG8AbgBJAG4AdgBlAHMAdABtAGUAbgB0ACkALABcAG4AIAAgACAAIAAgACAAIAAgACAAIAAgACAAIAAgACAAIAAgACAAIAAgACAAIAAgACAAIAAgACAAIABJAFMATwBNAEkAVABUAEUARAAoACAAQwBvAHMAdABvAGYASQBuAHYAZQBzAHQAbQBlAG4AdAApAFwAbgAgACAAIAAgACAAIAAgACAAIAAgACAAIAAgACAAIAAgACAAIAAgACAAIAAgACAAIAApACwAXABuACAAIAAgACAALwAvACAAIABQAHIAbwBjAGUAZAB1AHIAZQBcAG4AIAAgACAAIAAgACAAIAAgAFIAZQBzAHUAbAB0ACwAIAAgACAAIAAgACAAIAAgACAATgBlAHQAUgBlAHQAdQByAG4AbwBuAEkAbgB2AGUAcwB0AG0AZQBuAHQALwBDAG8AcwB0AG8AZgBJAG4AdgBlAHMAdABtAGUAbgB0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SAE8ASQBDALsDXABuACAAIAAgACAARABFAFMAQwBSAEkAUABUAEkATwBOADoAKgAvAC8AKgAqAFIAZQB0AHUAcgBuACAAbwBuACAASQBuAHYAZQBzAHQAZQBkACAAYwBhAHAAaQB0AGEAbAAgACAAYQBzAHMAZQBzAHMAZQBzACAAYQAgAGMAbwBtAHAAYQBuAHkAGSBzACAAZQBmAGYAaQBjAGkAZQBuAGMAeQAgAGkAbgAgAGEAbABsAG8AYwBhAHQAaQBuAGcAIABcAG4AYwBhAHAAaQB0AGEAbAAgAHQAbwAgAHAAcgBvAGYAaQB0AGEAYgBsAGUAIABpAG4AdgBlAHMAdABtAGUAbgB0AHMAIAAoAE4AZQB0ACAATwBwAGUAcgBhAHQAaQBuAGcAIABQAHIAbwBmAGkAdAAgAEEAZgB0AGUAcgAgAFQAYQB4AC8ASQBuAHYAZQBzAHQAZQBkACAAQwBhAHAAaQB0AGEAbAApACAAKgAvAFwAbgBSAE8ASQBDALsDIAA9ACAATABBAE0AQgBEAEEAKABcAG4ALwAvACAAIABQAGEAcgBhAG0AZQB0AGUAcgAgAEQAZQBjAGwAYQByAGEAdABpAG8AbgBzAFwAbgAgACAAIAAgACAAIAAgACAAWwBOAGUAdABPAHAAZQByAGEAdABpAG4AZwBQAHIAbwBmAGkAdABBAGYAdABlAHIAVABhAHgAXQAsACAAIABcAG4AIAAgACAAIAAgACAAIAAgAFsASQBuAHYAZQBzAHQAZQBkAEMAYQBwAGkAdABhAGwAXQAsACAAIAAgACAAXABuAC8ALwAgACAASABlAGwAcABcAG4AIAAgACAAIABMAEUAVAAoAEgAZQBsAHAALAAgACAAIABUAFIASQBNACgAVABFAFgAVABTAFAATABJAFQAKAAgAFwAbgAgACAAIAAgACAAIAAgACAAIAAgACAAIAAgACAAIAAgACAAIAAgACAAIAAgACAAIABcACIARgBVAE4AQwBUAEkATwBOADoAIAAgACAAIAAgACAAkiFSAE8ASQBDALsDKAAgAE4AZQB0AE8AcABlAHIAYQB0AGkAbgBnAFAAcgBvAGYAaQB0AEEAZgB0AGUAcgBUAGEAeAAsACAASQBuAHYAZQBzAHQAZQBkAEMAYQBwAGkAdABhAGwAKQC2AFwAIgAgACYAIABcAG4AIAAgACAAIAAgACAAIAAgACAAIAAgACAAIAAgACAAIAAgACAAIAAgACAAIAAgACAAXAAiAEQARQBTAEMAUgBJAFAAVABJAE8ATgA6ACAAIAAgAJIhUgBlAHQAdQByAG4AIABvAG4AIABJAG4AdgBlAHMAdABlAGQAIABjAGEAcABpAHQAYQBsACAAIABhAHMAcwBlAHMAcwBlAHMAIABhACAAYwBvAG0AcABhAG4AeQAZIHMAIABlAGYAZgBpAGMAaQBlAG4AYwB5ACAAaQBuACAAYQBsAGwAbwBjAGEAdABpAG4AZwAgALYAXAAiACAAJgBcAG4AIAAgACAAIAAgACAAIAAgACAAIAAgACAAIAAgACAAIAAgACAAIAAgACAAIAAgACAAIAAgACAAIAAgACAAIAAgACAAIAAgACAAIAAgACAAXAAiAJIhYwBhAHAAaQB0AGEAbAAgAHQAbwAgAHAAcgBvAGYAaQB0AGEAYgBsAGUAIABpAG4AdgBlAHMAdABtAGUAbgB0AHMAIAAoAE4AZQB0ACAATwBwAGUAcgBhAHQAaQBuAGcAIABQAHIAbwBmAGkAdAAgAEEAZgB0AGUAcgAgAFQAYQB4AC8ASQBuAHYAZQBzAHQAZQBkACAAQwBhAHAAaQB0AGEAbAApALYAXAAiACAAJgAgAFwAbgAgACAAIAAgACAAIAAgACAAIAAgACAAIAAgACAAIAAgACAAIAAgACAAIAAgACAAIABcACIAVwBFAEIAUABBAEcARQA6ACAAIAAgACAAIAAgACAAkiFoAHQAdABwAHMAOgAvAC8AdwB3AHcALgBpAG4AdgBlAHMAdABvAHAAZQBkAGkAYQAuAGMAbwBtAC8AdABlAHIAbQBzAC8AcgAvAHIAZQB0AHUAcgBuAG8AbgBpAG4AdgBlAHMAdABtAGUAbgB0AGMAYQBwAGkAdABhAGw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TgBlAHQATwBwAGUAcgBhAHQAaQBuAGcAUAByAG8AZgBpAHQAQQBmAHQAZQByAFQAYQB4AJIhKABSAGUAcQB1AGkAcgBlAGQAKQAgAE4AZQB0ACAATwBwAGUAcgBhAHQAaQBuAGcAIABwAHIAbwBmAGkAdAAgAGEAZgB0AGUAcgAgAFQAYQB4ACAAWwAgAG8AcABlAHIAYQB0AGkAbgBnACAAcAByAG8AZgBpAHQAIAB4ACAAKAAxACAALQAgAGUAZgBmAGUAYwB0AGkAdgBlACAAdABhAHgAIAByAGEAdABlACkAIABdAC4AtgBcACIAIAAmACAAXABuACAAIAAgACAAIAAgACAAIAAgACAAIAAgACAAIAAgACAAIAAgACAAIAAgACAAIAAgAFwAIgBJAG4AdgBlAHMAdABlAGQAQwBhAHAAaQB0AGEAbACSISgAUgBlAHEAdQBpAHIAZQBkACkAIABJAG4AdgBlAHMAdABlAGQAIABDAGEAcABpAHQAYQBsACAAKABEAGUAYgB0ACAAKwAgAEUAcQB1AGkAdAB5ACkALgC2AFwAIgAgACYAIABcAG4AIAAgACAAIAAgACAAIAAgACAAIAAgACAAIAAgACAAIAAgACAAIAAgACAAIAAgACAAXAAiAEUAWABBAE0AUABMAEUAUwA6ACAAIAAgACAAIAAgAJIhRgBvAHIAbQB1AGwAYQAgACgAbgBhAGIAbABhAC4AcgAgAGkAcwAgAGEAcwBzAHUAbQBlAGQAIAB0AG8AIABiAGUAIAB0AGgAZQAgAG0AbwBkAHUAbABlACcAcwAgAG4AYQBtAGUAKQC2AFwAIgAgACYAXABuACAAIAAgACAAIAAgACAAIAAgACAAIAAgACAAIAAgACAAIAAgACAAIAAgACAAIAAgAFwAIgAxADIALgA2ADEAMgAyACUAIAAgACAAIAAgACAAIACSIT0AbgBhAGIAbABhAC4AcgAuAFIATwBJAEMAuwMoACAAMwAyADQANQAsACAAMgA1ADcAMgA5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TwBwAGUAcgBhAHQAaQBuAGcAUAByAG8AZgBpAHQAQQBmAHQAZQByAFQAYQB4ACkALABcAG4AIAAgACAAIAAgACAAIAAgACAAIAAgACAAIAAgACAAIAAgACAAIAAgACAAIAAgACAAIAAgACAAIABJAFMATwBNAEkAVABUAEUARAAoACAASQBuAHYAZQBzAHQAZQBkAEMAYQBwAGkAdABhAGwAKQBcAG4AIAAgACAAIAAgACAAIAAgACAAIAAgACAAIAAgACAAIAAgACAAIAAgACAAIAAgACAAKQAsAFwAbgAgACAAIAAgAC8ALwAgACAAUAByAG8AYwBlAGQAdQByAGUAXABuACAAIAAgACAAIAAgACAAIABSAGUAcwB1AGwAdAAsACAAIAAgACAAIAAgACAAIAAgAE4AZQB0AE8AcABlAHIAYQB0AGkAbgBnAFAAcgBvAGYAaQB0AEEAZgB0AGUAcgBUAGEAeAAvAEkAbgB2AGUAcwB0AGUAZABDAGEAcABpAHQAYQBsACwAXABuACAAIAAgACAALwAvACAAIABSAGUAdAB1AHIAbgAgAFIAZQBzAHUAbAB0AFwAbgAgACAAIAAgACAAIAAgACAAQwBIAE8ATwBTAEUAKABIAGUAbABwAD8AIAArACAAMQAsACAAUgBlAHMAdQBsAHQALAAgAEgAZQBsAHAAKQAgACAAIAAgACAAIAAgACAAXABuACAAIAAgACAAKQBcAG4AKQA7AFwAbgBcAG4AXABuAFwAbgBcAG4AXABuAFwAbgAvAC8AIAAgAE0AYQByAGsAZQB0ACAAVgBhAGwAdQBlACAAUgBhAHQAaQBvAHMAXABuAFwAbgBcAG4AIABcAG4ALwAqACAAIABGAFUATgBDAFQASQBPAE4AIABOAEEATQBFADoAIAAgAFAAcgBpAGMAZQBFAGEAcgBuAGkAbgBnAHMAUgBhAHQAaQBvALsDXABuACAAIAAgACAARABFAFMAQwBSAEkAUABUAEkATwBOADoAKgAvAC8AKgAqAFAAcgBpAGMAZQAtAGUAYQByAG4AaQBuAGcAcwAgAFIAYQB0AGkAbwAgAG0AZQBhAHMAdQByAGUAcwAgAGEAIABjAG8AbQBwAGEAbgB5ACcAcwAgAHMAaABhAHIAZQAgAHAAcgBpAGMAZQAgAHIAZQBsAGEAdABpAHYAZQAgAHQAbwAgAFwAbgBpAHQAcwAgAGUAYQByAG4AaQBuAGcAcwAgAHAAZQByACAAcwBoAGEAcgBlACAAKABTAGgAYQByAGUAIABQAHIAaQBjAGUALwBFAGEAcgBuAGkAbgBnAHMAIABQAGUAcgAgAFMAaABhAHIAZQApAC4AKgAvAFwAbgBQAHIAaQBjAGUARQBhAHIAbgBpAG4AZwBzAFIAYQB0AGkAbwC7AyAAPQAgAEwAQQBNAEIARABBACgAXABuAC8ALwAgACAAUABhAHIAYQBtAGUAdABlAHIAIABEAGUAYwBsAGEAcgBhAHQAaQBvAG4AcwBcAG4AIAAgACAAIAAgACAAIAAgAFsAUwBoAGEAcgBlAFAAcgBpAGMAZQBdACwAIAAgAFwAbgAgACAAIAAgACAAIAAgACAAWwBFAGEAcgBuAGkAbgBnAHMAUABlAHIAUwBoAGEAcgBlAF0ALAAgACAAIAAgAFwAbgAvAC8AIAAgAEgAZQBsAHAAXABuACAAIAAgACAATABFAFQAKABIAGUAbABwACwAIAAgACAAVABSAEkATQAoAFQARQBYAFQAUwBQAEwASQBUACgAIABcAG4AIAAgACAAIAAgACAAIAAgACAAIAAgACAAIAAgACAAIAAgACAAIAAgACAAIAAgACAAXAAiAEYAVQBOAEMAVABJAE8ATgA6ACAAIAAgACAAIAAgACAAIAAgACAAkiFQAHIAaQBjAGUARQBhAHIAbgBpAG4AZwBzAFIAYQB0AGkAbwC7AygAIABTAGgAYQByAGUAUAByAGkAYwBlACwAIABFAGEAcgBuAGkAbgBnAHMAUABlAHIAUwBoAGEAcgBlACkAtgBcACIAIAAmACAAXABuACAAIAAgACAAIAAgACAAIAAgACAAIAAgACAAIAAgACAAIAAgACAAIAAgACAAIAAgAFwAIgBEAEUAUwBDAFIASQBQAFQASQBPAE4AOgAgACAAIAAgACAAIAAgAJIhUAByAGkAYwBlAC0AZQBhAHIAbgBpAG4AZwBzACAAUgBhAHQAaQBvACAAbQBlAGEAcwB1AHIAZQBzACAAYQAgAGMAbwBtAHAAYQBuAHkAJwBzACAAcwBoAGEAcgBlACAAcAByAGkAYwBlACAAcgBlAGwAYQB0AGkAdgBlACAAdABvACAAtgBcACIAIAAmACAAXABuACAAIAAgACAAIAAgACAAIAAgACAAIAAgACAAIAAgACAAIAAgACAAIAAgACAAIAAgACAAIAAgACAAIAAgACAAIAAgACAAIAAgACAAIAAgACAAIAAgACAAXAAiAJIhaQB0AHMAIABlAGEAcgBuAGkAbgBnAHMAIABwAGUAcgAgAHMAaABhAHIAZQAgACgAUwBoAGEAcgBlACAAUAByAGkAYwBlAC8ARQBhAHIAbgBpAG4AZwBzACAAUABlAHIAIABTAGgAYQByAGUAKQAuALYAXAAiACAAJgAgAFwAbgAgACAAIAAgACAAIAAgACAAIAAgACAAIAAgACAAIAAgACAAIAAgACAAIAAgACAAIABcACIAVwBFAEIAUABBAEcARQA6ACAAIAAgACAAIAAgACAAIAAgACAAIACSIWgAdAB0AHAAcwA6AC8ALwB3AHcAdwAuAGkAbgB2AGUAcwB0AG8AcABlAGQAaQBhAC4AYwBvAG0ALwB0AGUAcgBtAHMALwBwAC8AcAByAGkAYwBlAC0AZQBhAHIAbgBpAG4AZwBzAHIAYQB0AGkAbwAuAGEAcwBw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kiG2AFwAIgAgACYAIABcAG4AIAAgACAAIAAgACAAIAAgACAAIAAgACAAIAAgACAAIAAgACAAIAAgACAAIAAgACAAXAAiAFMAaABhAHIAZQBQAHIAaQBjAGUAIAAgACAAIAAgACAAIAAgACAAkiEoAFIAZQBxAHUAaQByAGUAZAApACAAUwBoAGEAcgBlACAAUAByAGkAYwBlACAAKABNAGEAcgBrAGUAdAAgAFYAYQBsAHUAZQAgAFAAZQByACAAUwBoAGEAcgBlACkAIAC2AFwAIgAgACYAIABcAG4AIAAgACAAIAAgACAAIAAgACAAIAAgACAAIAAgACAAIAAgACAAIAAgACAAIAAgACAAXAAiAEUAYQByAG4AaQBuAGcAcwBQAGUAcgBTAGgAYQByAGUAIAAgACAAkiEoAFIAZQBxAHUAaQByAGUAZAApACAARQBhAHIAbgBpAG4AZwBzACAAUABlAHIAIABTAGgAYQByAGU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xADQALgAzADkAOAA4ADEAIAAgACAAIAAgACAAIAAgACAAIAAgAJIhPQBuAGEAYgBsAGEALgByAC4AUAByAGkAYwBlAEUAYQByAG4AaQBuAGcAcwBSAGEAdABpAG8AuwMoACAAMgA0ADIALgA2ADIALAAgADEANgAuADgANQ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TAGgAYQByAGUAUAByAGkAYwBlACkALABcAG4AIAAgACAAIAAgACAAIAAgACAAIAAgACAAIAAgACAAIAAgACAAIAAgACAAIAAgACAAIAAgACAAIABJAFMATwBNAEkAVABUAEUARAAoACAARQBhAHIAbgBpAG4AZwBzAFAAZQByAFMAaABhAHIAZQApAFwAbgAgACAAIAAgACAAIAAgACAAIAAgACAAIAAgACAAIAAgACAAIAAgACAAIAAgACAAIAApACwAXABuACAAIAAgACAALwAvACAAIABQAHIAbwBjAGUAZAB1AHIAZQBcAG4AIAAgACAAIAAgACAAIAAgAFIAZQBzAHUAbAB0ACwAIAAgACAAIAAgACAAIAAgACAAUwBoAGEAcgBlAFAAcgBpAGMAZQAvAEUAYQByAG4AaQBuAGcAcwBQAGUAcgBTAGgAYQBy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FAAcgBpAGMAZQBUAG8AQgBvAG8AawBSAGEAdABpAG8AuwNcAG4AIAAgACAAIABEAEUAUwBDAFIASQBQAFQASQBPAE4AOgAqAC8ALwAqACoATQBhAG4AeQAgAGkAbgB2AGUAcwB0AG8AcgBzACAAdQBzAGUAIAB0AGgAZQAgAHAAcgBpAGMAZQAtAHQAbwAtAGIAbwBvAGsAIAByAGEAdABpAG8AIAAoAFAALwBCACAAcgBhAHQAaQBvACkAIAB0AG8AIABjAG8AbQBwAGEAcgBlACAAYQAgAGYAaQByAG0AJwBzACAAbQBhAHIAawBlAHQAIABcAG4AYwBhAHAAaQB0AGEAbABpAHMAYQB0AGkAbwBuACAAdABvACAAaQB0AHMAIABiAG8AbwBrACAAdgBhAGwAdQBlACAAYQBuAGQAIABsAG8AYwBhAHQAZQAgAHUAbgBkAGUAcgB2AGEAbAB1AGUAZAAgAGMAbwBtAHAAYQBuAGkAZQBzAC4AIAAqAC8AXABuAFAAcgBpAGMAZQBUAG8AQgBvAG8AawBSAGEAdABpAG8AuwMgAD0AIABMAEEATQBCAEQAQQAoAFwAbgAvAC8AIAAgAFAAYQByAGEAbQBlAHQAZQByACAARABlAGMAbABhAHIAYQB0AGkAbwBuAHMAXABuACAAIAAgACAAIAAgACAAIABbAE0AYQByAGsAZQB0AFAAcgBpAGMAZQBQAGUAcgBTAGgAYQByAGUAXQAsACAAIABcAG4AIAAgACAAIAAgACAAIAAgAFsAQgBvAG8AawBWAGEAbAB1AGUAUABlAHIAUwBoAGEAcgBlAF0ALAAgACAAIAAgAFwAbgAvAC8AIAAgAEgAZQBsAHAAXABuACAAIAAgACAATABFAFQAKABIAGUAbABwACwAIAAgACAAVABSAEkATQAoAFQARQBYAFQAUwBQAEwASQBUACgAIABcAG4AIAAgACAAIAAgACAAIAAgACAAIAAgACAAIAAgACAAIAAgACAAIAAgACAAIAAgACAAXAAiAEYAVQBOAEMAVABJAE8ATgA6ACAAIAAgACAAIAAgACAAIAAgACAAkiFQAHIAaQBjAGUAVABvAEIAbwBvAGsAUgBhAHQAaQBvALsDKAAgAE0AYQByAGsAZQB0AFAAcgBpAGMAZQBQAGUAcgBTAGgAYQByAGUALAAgAEIAbwBvAGsAVgBhAGwAdQBlAFAAZQByAFMAaABhAHIAZQBCAHYAcABzACkAtgBcACIAIAAmACAAXABuACAAIAAgACAAIAAgACAAIAAgACAAIAAgACAAIAAgACAAIAAgACAAIAAgACAAIAAgAFwAIgBEAEUAUwBDAFIASQBQAFQASQBPAE4AOgAgACAAIAAgACAAIAAgAJIhTQBhAG4AeQAgAGkAbgB2AGUAcwB0AG8AcgBzACAAdQBzAGUAIAB0AGgAZQAgAHAAcgBpAGMAZQAtAHQAbwAtAGIAbwBvAGsAIAByAGEAdABpAG8AIAAoAFAALwBCACAAcgBhAHQAaQBvACkAIAB0AG8AIABjAG8AbQBwAGEAcgBlACAAYQAgALYAXAAiACAAJgAgAFwAbgAgACAAIAAgACAAIAAgACAAIAAgACAAIAAgACAAIAAgACAAIAAgACAAIAAgACAAIAAgACAAIAAgACAAIAAgACAAIAAgACAAIAAgACAAIAAgACAAIAAgAFwAIgCSIWYAaQByAG0AJwBzACAAbQBhAHIAawBlAHQAIABjAGEAcABpAHQAYQBsAGkAcwBhAHQAaQBvAG4AIAB0AG8AIABpAHQAcwAgAGIAbwBvAGsAIAB2AGEAbAB1AGUAIABhAG4AZAAgAGwAbwBjAGEAdABlACAAdQBuAGQAZQByAHYAYQBsAHUAZQBkACAAYwBvAG0AcABhAG4AaQBlAHMALgC2AFwAIgAgACYAIABcAG4AIAAgACAAIAAgACAAIAAgACAAIAAgACAAIAAgACAAIAAgACAAIAAgACAAIAAgACAAIAAgACAAIAAgACAAIAAgACAAIAAgACAAIAAgACAAIAAgACAAIABcACIAkiEoAE0AYQByAGsAZQB0ACAAUAByAGkAYwBlACAAUABlAHIAIABTAGgAYQByAGUALwBCAG8AbwBrACAAVgBhAGwAdQBlACAAUABlAHIAIABTAGgAYQByAGUAKQC2AFwAIgAgACYAIABcAG4AIAAgACAAIAAgACAAIAAgACAAIAAgACAAIAAgACAAIAAgACAAIAAgACAAIAAgACAAXAAiAFcARQBCAFAAQQBHAEUAOgAgACAAIAAgACAAIAAgACAAIAAgACAAkiFoAHQAdABwAHMAOgAvAC8AdwB3AHcALgBpAG4AdgBlAHMAdABvAHAAZQBkAGkAYQAuAGMAbwBtAC8AdABlAHIAbQBzAC8AcAAvAHAAcgBpAGMAZQAtAHQAbwAtAGIAbwBvAGsAcgBhAHQAaQBvAC4AYQBzAHA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CSIbYAXAAiACAAJgAgAFwAbgAgACAAIAAgACAAIAAgACAAIAAgACAAIAAgACAAIAAgACAAIAAgACAAIAAgACAAIABcACIATQBhAHIAawBlAHQAUAByAGkAYwBlAFAAZQByAFMAaABhAHIAZQCSISgAUgBlAHEAdQBpAHIAZQBkACkAIABNAGEAcgBrAGUAdAAgAFAAcgBpAGMAZQAgAFAAZQByACAAUwBoAGEAcgBlACAAKABDAHUAcgByAGUAbgB0ACAAbQBhAHIAawBlAHQAIABwAHIAaQBjAGUAIABvAGYAIAB0AGgAZQAgAHMAaABhAHIAZQApALYAXAAiACAAJgAgAFwAbgAgACAAIAAgACAAIAAgACAAIAAgACAAIAAgACAAIAAgACAAIAAgACAAIAAgACAAIABcACIAQgBvAG8AawBWAGEAbAB1AGUAUABlAHIAUwBoAGEAcgBlACAAIACSISgAUgBlAHEAdQBpAHIAZQBkACkAIABCAG8AbwBrACAAVgBhAGwAdQBlACAAUABlAHIAIABzAGgAYQByAGUAIAC2AFwAIgAgACYAIABcAG4AIAAgACAAIAAgACAAIAAgACAAIAAgACAAIAAgACAAIAAgACAAIAAgACAAIAAgACAAIAAgACAAIAAgACAAIAAgACAAIAAgACAAIAAgACAAIAAgACAAIABcACIAkiEoAFQAbwB0AGEAbAAgAGEAcwBzAGUAdABzACAALQAgAGkAbgB0AGEAbgBnAGkAYgBsAGUAIABhAHMAcwBlAHQAcwAgAC0AIAB0AG8AdABhAGwAIABsAGkAYQBiAGkAbABpAHQAaQBlAHMAKQAgAPcAIABuAHUAbQBiAGUAcgAgAG8AZgAgAG8AdQB0AHMAdABhAG4AZABpAG4AZwAgAHMAaABhAHIAZQBzACA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yAC4AMAAgACAAIAAgACAAIAAgACAAIAAgACAAIAAgACAAIAAgAJIhPQBuAGEAYgBsAGEALgByAC4AUAByAGkAYwBlAFQAbwBCAG8AbwBrAFIAYQB0AGkAbwC7AygAIAA1ACwAIAAyAC4ANQ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QBhAHIAawBlAHQAUAByAGkAYwBlAFAAZQByAFMAaABhAHIAZQApACwAXABuACAAIAAgACAAIAAgACAAIAAgACAAIAAgACAAIAAgACAAIAAgACAAIAAgACAAIAAgACAAIAAgACAASQBTAE8ATQBJAFQAVABFAEQAKAAgAEIAbwBvAGsAVgBhAGwAdQBlAFAAZQByAFMAaABhAHIAZQApAFwAbgAgACAAIAAgACAAIAAgACAAIAAgACAAIAAgACAAIAAgACAAIAAgACAAIAAgACAAIAApACwAXABuACAAIAAgACAALwAvACAAIABQAHIAbwBjAGUAZAB1AHIAZQBcAG4AIAAgACAAIAAgACAAIAAgAFIAZQBzAHUAbAB0ACwAIAAgACAAIAAgACAAIAAgACAATQBhAHIAawBlAHQAUAByAGkAYwBlAFAAZQByAFMAaABhAHIAZQAvAEIAbwBvAGsAVgBhAGwAdQBlAFAAZQByAFMAaABhAHIAZQ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FAAcgBpAGMAZQBUAG8AUwBhAGwAZQBzAFIAYQB0AGkAbwC7A1wAbgAgACAAIAAgAEQARQBTAEMAUgBJAFAAVABJAE8ATgA6ACoALwAvACoAKgBQAHIAaQBjAGUAIAB0AG8AIABTAGEAbABlAHMAIAAoAFAALwBTACkAIABSAGEAdABpAG8AIABpAHMAIABhAG4AIABpAG4AZABpAGMAYQB0AG8AcgAgAG8AZgAgAHQAaABlACAAdgBhAGwAdQBlACAAdABoAGEAdAAgAGYAaQBuAGEAbgBjAGkAYQBsACAAbQBhAHIAawBlAHQAcwAgAGgAYQB2AGUAIABcAG4AcABsAGEAYwBlAGQAIABvAG4AIABlAGEAYwBoACAAZABvAGwAbABhAHIAIABvAGYAIABhACAAYwBvAG0AcABhAG4AeQAnAHMAIABzAGEAbABlAHMAIABvAHIAIAByAGUAdgBlAG4AdQBlAHMAIAAoAE0AYQByAGsAZQB0ACAAUAByAGkAYwBlACAAUABlAHIAIABTAGgAYQByAGUALwBTAGEAbABlAHMAIABQAGUAcgAgAFMAaABhAHIAZQApAC4AIAAqAC8AXABuAFAAcgBpAGMAZQBUAG8AUwBhAGwAZQBzAFIAYQB0AGkAbwC7AyAAPQAgAEwAQQBNAEIARABBACgAXABuAC8ALwAgACAAUABhAHIAYQBtAGUAdABlAHIAIABEAGUAYwBsAGEAcgBhAHQAaQBvAG4AcwBcAG4AIAAgACAAIAAgACAAIAAgAFsATQBhAHIAawBlAHQAUAByAGkAYwBlAFAAZQByAFMAaABhAHIAZQBdACwAIAAgAFwAbgAgACAAIAAgACAAIAAgACAAWwBTAGEAbABlAHMAUABlAHIAUwBoAGEAcgBlAF0ALAAgACAAIAAgAFwAbgAvAC8AIAAgAEgAZQBsAHAAXABuACAAIAAgACAATABFAFQAKABIAGUAbABwACwAIAAgACAAVABSAEkATQAoAFQARQBYAFQAUwBQAEwASQBUACgAIABcAG4AIAAgACAAIAAgACAAIAAgACAAIAAgACAAIAAgACAAIAAgACAAIAAgACAAIAAgACAAXAAiAEYAVQBOAEMAVABJAE8ATgA6ACAAIAAgACAAIAAgACAAIAAgACAAkiFQAHIAaQBjAGUAVABvAFMAYQBsAGUAcwBSAGEAdABpAG8AuwMoACAATQBhAHIAawBlAHQAUAByAGkAYwBlAFAAZQByAFMAaABhAHIAZQAsACAAUwBhAGwAZQBzAFAAZQByAFMAaABhAHIAZQApALYAXAAiACAAJgAgAFwAbgAgACAAIAAgACAAIAAgACAAIAAgACAAIAAgACAAIAAgACAAIAAgACAAIAAgACAAIABcACIARABFAFMAQwBSAEkAUABUAEkATwBOADoAIAAgACAAIAAgACAAIACSIVAAcgBpAGMAZQAgAHQAbwAgAFMAYQBsAGUAcwAgACgAUAAvAFMAKQAgAFIAYQB0AGkAbwAgAGkAcwAgAGEAbgAgAGkAbgBkAGkAYwBhAHQAbwByACAAbwBmACAAdABoAGUAIAB2AGEAbAB1AGUAIAB0AGgAYQB0ACAAZgBpAG4AYQBuAGMAaQBhAGwAIABtAGEAcgBrAGUAdABzACAAaABhAHYAZQC2AFwAIgAgACYAIABcAG4AIAAgACAAIAAgACAAIAAgACAAIAAgACAAIAAgACAAIAAgACAAIAAgACAAIAAgACAAIAAgACAAIAAgACAAIAAgACAAIAAgACAAIAAgACAAIAAgACAAIABcACIAkiFwAGwAYQBjAGUAZAAgAG8AbgAgAGUAYQBjAGgAIABkAG8AbABsAGEAcgAgAG8AZgAgAGEAIABjAG8AbQBwAGEAbgB5ACcAcwAgAHMAYQBsAGUAcwAgAG8AcgAgAHIAZQB2AGUAbgB1AGUAcwAgACgATQBhAHIAawBlAHQAIABQAHIAaQBjAGUAIABQAGUAcgAgAFMAaABhAHIAZQAvAFMAYQBsAGUAcwAgAFAAZQByACAAUwBoAGEAcgBlACkALgC2AFwAIgAgACYAIABcAG4AIAAgACAAIAAgACAAIAAgACAAIAAgACAAIAAgACAAIAAgACAAIAAgACAAIAAgACAAXAAiAFcARQBCAFAAQQBHAEUAOgAgACAAIAAgACAAIAAgACAAIAAgACAAkiFoAHQAdABwAHMAOgAvAC8AdwB3AHcALgBpAG4AdgBlAHMAdABvAHAAZQBkAGkAYQAuAGMAbwBtAC8AdABlAHIAbQBzAC8AcAAvAHAAcgBpAGMAZQAtAHQAbwAtAHMAYQBsAGUAcwByAGEAdABpAG8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NAGEAcgBrAGUAdABQAHIAaQBjAGUAUABlAHIAUwBoAGEAcgBlAJIhKABSAGUAcQB1AGkAcgBlAGQAKQAgAE0AYQByAGsAZQB0ACAAUAByAGkAYwBlACAAUABlAHIAIABTAGgAYQByAGUAIAAoAEMAdQByAHIAZQBuAHQAIABtAGEAcgBrAGUAdAAgAHAAcgBpAGMAZQAgAG8AZgAgAHQAaABlACAAcwBoAGEAcgBlACkAtgBcACIAIAAmACAAXABuACAAIAAgACAAIAAgACAAIAAgACAAIAAgACAAIAAgACAAIAAgACAAIAAgACAAIAAgAFwAIgBTAGEAbABlAHMAUABlAHIAUwBoAGEAcgBlACAAIAAgACAAIAAgAJIhKABSAGUAcQB1AGkAcgBlAGQAKQAgAEEAbgBuAHUAYQBsACAAUwBhAGwAZQBzACAAUABlAHIAIABTAGgAYQByAGUAIAAoAFIAZQB2AGUAbgB1AGUAIABwAHIAaQBvAHIAIAAxADIAIABtAG8AbgB0AGgAcwApACA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0AC4ANQA1ACAAIAAgACAAIAAgACAAIAAgACAAIAAgACAAIAAgAJIhPQBuAGEAYgBsAGEALgByAC4AUAByAGkAYwBlAFQAbwBTAGEAbABlAHMAUgBhAHQAaQBvALsDKAAgADQANQA1AC4AMAAsACAAMQAwADA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QBhAHIAawBlAHQAUAByAGkAYwBlAFAAZQByAFMAaABhAHIAZQApACwAXABuACAAIAAgACAAIAAgACAAIAAgACAAIAAgACAAIAAgACAAIAAgACAAIAAgACAAIAAgACAAIAAgACAASQBTAE8ATQBJAFQAVABFAEQAKAAgAFMAYQBsAGUAcwBQAGUAcgBTAGgAYQByAGUAKQBcAG4AIAAgACAAIAAgACAAIAAgACAAIAAgACAAIAAgACAAIAAgACAAIAAgACAAIAAgACAAKQAsAFwAbgAgACAAIAAgAC8ALwAgACAAUAByAG8AYwBlAGQAdQByAGUAXABuACAAIAAgACAAIAAgACAAIABSAGUAcwB1AGwAdAAsACAAIAAgACAAIAAgACAAIAAgAE0AYQByAGsAZQB0AFAAcgBpAGMAZQBQAGUAcgBTAGgAYQByAGUALwBTAGEAbABlAHMAUABlAHIAUwBoAGEAcgBl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UAByAGkAYwBlAFQAbwBDAGEAcwBoAHMAUgBhAHQAaQBvALsDXABuACAAIAAgACAARABFAFMAQwBSAEkAUABUAEkATwBOADoAKgAvAC8AKgAqAFAAcgBpAGMAZQAgAHQAbwAgAEMAYQBzAGgAIAAoAFAALwBDAEYAKQAgAFIAYQB0AGkAbwAgAGkAcwAgAGEAIABzAHQAbwBjAGsAIAB2AGEAbAB1AGEAdABpAG8AbgAgAGkAbgBkAGkAYwBhAHQAbwByACAAbwByACAAbQB1AGwAdABpAHAAbABlACAAdABoAGEAdAAgAG0AZQBhAHMAdQByAGUAcwAgAFwAbgB0AGgAZQAgAHYAYQBsAHUAZQAgAG8AZgAgAGEAIABzAHQAbwBjAGsAGSBzACAAcAByAGkAYwBlACAAcgBlAGwAYQB0AGkAdgBlACAAdABvACAAaQB0AHMAIABvAHAAZQByAGEAdABpAG4AZwAgAGMAYQBzAGgAIABmAGwAbwB3ACAAcABlAHIAIABzAGgAYQByAGUAIABcAG4AKABNAGEAcgBrAGUAdAAgAFAAcgBpAGMAZQAgAFAAZQByACAAUwBoAGEAcgBlAC8ATwBwAGUAcgBhAHQAaQBuAGcAIABDAGEAcwBoACAARgBsAG8AdwAgAFAAZQByACAAUwBoAGEAcgBlACkALgAgACoALwBcAG4AUAByAGkAYwBlAFQAbwBDAGEAcwBoAFIAYQB0AGkAbwC7AyAAPQAgAEwAQQBNAEIARABBACgAXABuAC8ALwAgACAAUABhAHIAYQBtAGUAdABlAHIAIABEAGUAYwBsAGEAcgBhAHQAaQBvAG4AcwBcAG4AIAAgACAAIAAgACAAIAAgAFsATQBhAHIAawBlAHQAUAByAGkAYwBlAFAAZQByAFMAaABhAHIAZQBdACwAIAAgAFwAbgAgACAAIAAgACAAIAAgACAAWwBPAHAAZQByAGEAdABpAG4AZwBDAGEAcwBoAEYAbABvAHcAUABlAHIAUwBoAGEAcgBlAF0ALAAgACAAIAAgAFwAbgAvAC8AIAAgAEgAZQBsAHAAXABuACAAIAAgACAATABFAFQAKABIAGUAbABwACwAIAAgACAAVABSAEkATQAoAFQARQBYAFQAUwBQAEwASQBUACgAIABcAG4AIAAgACAAIAAgACAAIAAgACAAIAAgACAAIAAgACAAIAAgACAAIAAgACAAIAAgACAAXAAiAEYAVQBOAEMAVABJAE8ATgA6ACAAIAAgACAAIAAgACAAIAAgACAAkiFQAHIAaQBjAGUAVABvAEMAYQBzAGgAUgBhAHQAaQBvALsDKAAgAE0AYQByAGsAZQB0AFAAcgBpAGMAZQBQAGUAcgBTAGgAYQByAGUALAAgAFMAYQBsAGUAcwBQAGUAcgBTAGgAYQByAGUAKQC2AFwAIgAgACYAIABcAG4AIAAgACAAIAAgACAAIAAgACAAIAAgACAAIAAgACAAIAAgACAAIAAgACAAIAAgACAAXAAiAEQARQBTAEMAUgBJAFAAVABJAE8ATgA6ACAAIAAgACAAIAAgACAAkiFQAHIAaQBjAGUAIAB0AG8AIABDAGEAcwBoACAAKABQAC8AQwBGACkAIABSAGEAdABpAG8AIAAgAGkAcwAgAGEAIABzAHQAbwBjAGsAIAB2AGEAbAB1AGEAdABpAG8AbgAgAGkAbgBkAGkAYwBhAHQAbwByACAAbwByACAAbQB1AGwAdABpAHAAbABlACAAdABoAGEAdAAgALYAXAAiACAAJgAgAFwAbgAgACAAIAAgACAAIAAgACAAIAAgACAAIAAgACAAIAAgACAAIAAgACAAIAAgACAAIAAgACAAIAAgACAAIAAgACAAIAAgACAAIAAgACAAIAAgACAAIAAgAFwAIgCSIW0AZQBhAHMAdQByAGUAcwAgAHQAaABlACAAdgBhAGwAdQBlACAAbwBmACAAYQAgAHMAdABvAGMAawAZIHMAIABwAHIAaQBjAGUAIAByAGUAbABhAHQAaQB2AGUAIAB0AG8AIABpAHQAcwAgAG8AcABlAHIAYQB0AGkAbgBnACAAYwBhAHMAaAAgAGYAbABvAHcAIAC2AFwAIgAgACYAIABcAG4AIAAgACAAIAAgACAAIAAgACAAIAAgACAAIAAgACAAIAAgACAAIAAgACAAIAAgACAAIAAgACAAIAAgACAAIAAgACAAIAAgACAAIAAgACAAIAAgACAAIABcACIAkiFwAGUAcgAgAHMAaABhAHIAZQAgACgATQBhAHIAawBlAHQAIABQAHIAaQBjAGUAIABQAGUAcgAgAFMAaABhAHIAZQAvAE8AcABlAHIAYQB0AGkAbgBnACAAQwBhAHMAaAAgAEYAbABvAHcAIABQAGUAcgAgAFMAaABhAHIAZQApAC4AtgBcACIAIAAmACAAXABuACAAIAAgACAAIAAgACAAIAAgACAAIAAgACAAIAAgACAAIAAgACAAIAAgACAAIAAgAFwAIgBXAEUAQgBQAEEARwBFADoAIAAgACAAIAAgACAAIAAgACAAIAAgAJIhaAB0AHQAcABzADoALwAvAHcAdwB3AC4AaQBuAHYAZQBzAHQAbwBwAGUAZABpAGEALgBjAG8AbQAvAHQAZQByAG0AcwAvAHAALwBwAHIAaQBjAGUALQB0AG8ALQBjAGEAcwBoAC0AZgBsAG8AdwByAGEAdABpAG8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NAGEAcgBrAGUAdABQAHIAaQBjAGUAUABlAHIAUwBoAGEAcgBlAJIhKABSAGUAcQB1AGkAcgBlAGQAKQAgAE0AYQByAGsAZQB0ACAAUAByAGkAYwBlACAAUABlAHIAIABTAGgAYQByAGUAIAAoAEMAdQByAHIAZQBuAHQAIABtAGEAcgBrAGUAdAAgAHAAcgBpAGMAZQAgAG8AZgAgAHQAaABlACAAcwBoAGEAcgBlACkAtgBcACIAIAAmACAAXABuACAAIAAgACAAIAAgACAAIAAgACAAIAAgACAAIAAgACAAIAAgACAAIAAgACAAIAAgAFwAIgBPAHAAZQByAGEAdABpAG4AZwBDAGEAcwBoAEYAbABvAHcAUABlAHIAUwBoAGEAcgBlAJIhKABSAGUAcQB1AGkAcgBlAGQAKQAgAE8AcABlAHIAYQB0AGkAbgBnACAAQwBhAHMAaAAgAEYAbABvAHcAIABmAG8AcgAgAHAAcgBpAG8AcgAgADEAMgAgAG0AbwBuAHQAaABzAC8AUwBoAGEAcgBlAHMAIABvAHUAdABzAHQAYQBuAGQAaQBuAGcAIAC2AFwAIgAgACYAIABcAG4AIAAgACAAIAAgACAAIAAgACAAIAAgACAAIAAgACAAIAAgACAAIAAgACAAIAAgACAAXAAiAEUAWABBAE0AUABMAEUAUwA6ACAAIAAgACAAIAAgACAAIAAgACAAkiFGAG8AcgBtAHUAbABhACAAKABuAGEAYgBsAGEALgByACAAaQBzACAAYQBzAHMAdQBtAGUAZAAgAHQAbwAgAGIAZQAgAHQAaABlACAAbQBvAGQAdQBsAGUAJwBzACAAbgBhAG0AZQApALYAXAAiACAAJgBcAG4AIAAgACAAIAAgACAAIAAgACAAIAAgACAAIAAgACAAIAAgACAAIAAgACAAIAAgACAAXAAiADIAIAAgACAAIAAgACAAIAAgACAAIAAgACAAIAAgACAAIAAgACAAkiE9AG4AYQBiAGwAYQAuAHIALgBQAHIAaQBjAGUAVABvAEMAYQBzAGgAUgBhAHQAaQBvALsDKAAgADIAMAAwAC4AMAAsACAAMQAwADA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QBhAHIAawBlAHQAUAByAGkAYwBlAFAAZQByAFMAaABhAHIAZQApACwAXABuACAAIAAgACAAIAAgACAAIAAgACAAIAAgACAAIAAgACAAIAAgACAAIAAgACAAIAAgACAAIAAgACAASQBTAE8ATQBJAFQAVABFAEQAKAAgAE8AcABlAHIAYQB0AGkAbgBnAEMAYQBzAGgARgBsAG8AdwBQAGUAcgBTAGgAYQByAGUAKQBcAG4AIAAgACAAIAAgACAAIAAgACAAIAAgACAAIAAgACAAIAAgACAAIAAgACAAIAAgACAAKQAsAFwAbgAgACAAIAAgAC8ALwAgACAAUAByAG8AYwBlAGQAdQByAGUAXABuACAAIAAgACAAIAAgACAAIABSAGUAcwB1AGwAdAAsACAAIAAgACAAIAAgACAAIAAgAE0AYQByAGsAZQB0AFAAcgBpAGMAZQBQAGUAcgBTAGgAYQByAGUALwBPAHAAZQByAGEAdABpAG4AZwBDAGEAcwBoAEYAbABvAHcAUABlAHIAUwBoAGEAcgBl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QgBWAFAAUwC7A1wAbgAgACAAIAAgAEQARQBTAEMAUgBJAFAAVABJAE8ATgA6ACoALwAvACoAKgBCAG8AbwBrACAAdgBhAGwAdQBlACAAcABlAHIAIABzAGgAYQByAGUAIAByAGEAdABpAG8AIABpAHMAIABhAG4AIABpAG4AZABpAGMAYQB0AG8AcgAgAG8AZgAgAHQAaABlACAAdgBhAGwAdQBlACAAbwBmACAAYQAgAGMAbwBtAHAAYQBuAHkAGSBzACAAcwB0AG8AYwBrACAAXABuACgAUwBoAGEAcgBlAGgAbwBsAGQAZQByAHMAJwAgAEUAcQB1AGkAdAB5ACAALQAgAFAAcgBlAGYAZQByAHIAZQBkACAAUwB0AG8AYwBrACkALwBBAHYAZQByAGEAZwBlACAAUwBoAGEAcgBlAHMAIABPAHUAdABzAHQAYQBuAGQAaQBuAGcAKQAgACoALwBcAG4AQgBWAFAAUwC7AyAAPQAgAEwAQQBNAEIARABBACgAXABuAC8ALwAgACAAUABhAHIAYQBtAGUAdABlAHIAIABEAGUAYwBsAGEAcgBhAHQAaQBvAG4AcwBcAG4AIAAgACAAIAAgACAAIAAgAFsAUwBoAGEAcgBlAGgAbwBsAGQAZQByAHMARQBxAHUAaQB0AHkAXQAsACAAXABuACAAIAAgACAAIAAgACAAIABbAFAAcgBlAGYAZQByAHIAZQBkAFMAdABvAGMAawBdACAALABcAG4AIAAgACAAIAAgACAAIAAgAFsAQQB2AGUAcgBhAGcAZQBTAGgAYQByAGUAcwBPAHUAdABzAHQAYQBuAGQAaQBuAGcAXQAsACAAIAAgACAAXABuAC8ALwAgACAASABlAGwAcABcAG4AIAAgACAAIABMAEUAVAAoAEgAZQBsAHAALAAgACAAIABUAFIASQBNACgAVABFAFgAVABTAFAATABJAFQAKAAgAFwAbgAgACAAIAAgACAAIAAgACAAIAAgACAAIAAgACAAIAAgACAAIAAgACAAIAAgACAAIABcACIARgBVAE4AQwBUAEkATwBOADoAIAAgACAAIAAgACAAIAAgACAAIACSIUIAVgBQAFMAuwMoACAAUwBoAGEAcgBlAGgAbwBsAGQAZQByAHMARQBxAHUAaQB0AHkALAAgAFAAcgBlAGYAZQByAHIAZQBkAFMAdABvAGMAawAsACAAQQB2AGUAcgBhAGcAZQBTAGgAYQByAGUAcwBPAHUAdABzAHQAYQBuAGQAaQBuAGcAIAApALYAXAAiACAAJgAgAFwAbgAgACAAIAAgACAAIAAgACAAIAAgACAAIAAgACAAIAAgACAAIAAgACAAIAAgACAAIABcACIARABFAFMAQwBSAEkAUABUAEkATwBOADoAIAAgACAAIAAgACAAIACSIUIAbwBvAGsAIAB2AGEAbAB1AGUAIABwAGUAcgAgAHMAaABhAHIAZQAgAHIAYQB0AGkAbwAgAGkAcwAgAGEAbgAgAGkAbgBkAGkAYwBhAHQAbwByACAAbwBmACAAdABoAGUAIAB2AGEAbAB1AGUAIABvAGYAIABhACAAYwBvAG0AcABhAG4AeQAZIHMAIABzAHQAbwBjAGsAtgBcACIAIAAmACAAXABuACAAIAAgACAAIAAgACAAIAAgACAAIAAgACAAIAAgACAAIAAgACAAIAAgACAAIAAgACAAIAAgACAAIAAgACAAIAAgACAAIAAgACAAIAAgACAAIAAgACAAXAAiAJIhKABTAGgAYQByAGUAaABvAGwAZABlAHIAcwAnACAARQBxAHUAaQB0AHkAIAAtACAAUAByAGUAZgBlAHIAcgBlAGQAIABTAHQAbwBjAGsAKQAvAEEAdgBlAHIAYQBnAGUAIABTAGgAYQByAGUAcwAgAE8AdQB0AHMAdABhAG4AZABpAG4AZwApALYAXAAiACAAJgAgAFwAbgAgACAAIAAgACAAIAAgACAAIAAgACAAIAAgACAAIAAgACAAIAAgACAAIAAgACAAIABcACIAVwBFAEIAUABBAEcARQA6ACAAIAAgACAAIAAgACAAIAAgACAAIACSIWgAdAB0AHAAcwA6AC8ALwBjAG8AcgBwAG8AcgBhAHQAZQBmAGkAbgBhAG4AYwBlAGkAbgBzAHQAaQB0AHUAdABlAC4AYwBvAG0ALwByAGUAcwBvAHUAcgBjAGUAcwAvAHYAYQBsAHUAYQB0AGkAbwBuAC8AYgBvAG8AawAtAHYAYQBsAHUAZQAtAHAAZQByAC0AcwBoAGEAcgBlAC0AYgB2AHAAcwAvACAAtgBcACIAIAAmAFwAbgAgACAAIAAgACAAIAAgACAAIAAgACAAIAAgACAAIAAgACAAIAAgACAAIAAgACAAIABcACIAVgBFAFIAUwBJAE8ATgA6ACAAIAAgACAAIAAgACAAIAAgACAAIACSITEAOAAgAEEAdQBnACAAMgAwADIANgC2AFwAIgAgACYAXABuACAAIAAgACAAIAAgACAAIAAgACAAIAAgACAAIAAgACAAIAAgACAAIAAgACAAIAAgAFwAIgBQAEEAUgBBAE0ARQBUAEUAUgBTADoAkiG2AFwAIgAgACYAIABcAG4AIAAgACAAIAAgACAAIAAgACAAIAAgACAAIAAgACAAIAAgACAAIAAgACAAIAAgACAAXAAiAFMAaABhAHIAZQBoAG8AbABkAGUAcgBzAEUAcQB1AGkAdAB5ACAAkiEoAFIAZQBxAHUAaQByAGUAZAApACAAUwBoAGEAcgBlAGgAbwBsAGQAZQByAHMAJwAgAEUAcQB1AGkAdAB5ACAAKAB0AG8AdABhAGwAIABhAHMAcwBlAHQAcwAgAC0AIAB0AG8AdABhAGwAIABsAGkAYQBiAGkAbABpAHQAaQBlAHMAKQAgALYAXAAiACAAJgAgAFwAbgAgACAAIAAgACAAIAAgACAAIAAgACAAIAAgACAAIAAgACAAIAAgACAAIAAgACAAIABcACIAUAByAGUAZgBlAHIAcgBlAGQAUwB0AG8AYwBrACAAIAAgACAAIACSISgAUgBlAHEAdQBpAHIAZQBkACkAIABQAHIAZQBmAGUAcgByAGUAZAAgAFMAdABvAGMAawAgACgAcwBlAGMAdQByAGkAdABpAGUAcwAgAHQAaABhAHQAIAByAGUAcAByAGUAcwBlAG4AdAAgAG8AdwBuAGUAcgBzAGgAaQBwACAAaQBuACAAYQAgAGMAbwByAHAAbwByAGEAdABpAG8AbgApAC4AtgBcACIAIAAmACAAXABuACAAIAAgACAAIAAgACAAIAAgACAAIAAgACAAIAAgACAAIAAgACAAIAAgACAAIAAgAFwAIgBBAHYAZQByAGEAZwBlAFMAaABhAHIAZQBzAE8AdQB0AHMAdABhAG4AZABpAG4AZwCSISgAUgBlAHEAdQBpAHIAZQBkACkAIABBAHYAZQByAGEAZwBlACAAUwBoAGEAcgBlAHMAIABPAHUAdAAgAFMAdABhAG4AZABpAG4AZwAgALYAXAAiACAAJgAgAFwAbgAgACAAIAAgACAAIAAgACAAIAAgACAAIAAgACAAIAAgACAAIAAgACAAIAAgACAAIABcACIARQBYAEEATQBQAEwARQBTADoAIAAgACAAIAAgACAAIAAgACAAIACSIUYAbwByAG0AdQBsAGEAIAAoAG4AYQBiAGwAYQAuAHIAIABpAHMAIABhAHMAcwB1AG0AZQBkACAAdABvACAAYgBlACAAdABoAGUAIABtAG8AZAB1AGwAZQAnAHMAIABuAGEAbQBlACkAtgBcACIAIAAmAFwAbgAgACAAIAAgACAAIAAgACAAIAAgACAAIAAgACAAIAAgACAAIAAgACAAIAAgACAAIABcACIANQAgACAAIAAgACAAIAAgACAAIAAgACAAIAAgACAAIAAgACAAIACSIT0AbgBhAGIAbABhAC4AcgAuAEIAVgBQAFMAuwMoADIAMAAuADAALAAgADUALgAwACwAIABBAFYARQBSAEEARwBFACgAIAAyAC4AOQAsACAAMwAuADEAKQ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FMAaABhAHIAZQBoAG8AbABkAGUAcgBzAEUAcQB1AGkAdAB5ACkALABcAG4AIAAgACAAIAAgACAAIAAgACAAIAAgACAAIAAgACAAIAAgACAAIAAgACAAIAAgACAAIAAgACAAIABJAFMATwBNAEkAVABUAEUARAAoACAAQQB2AGUAcgBhAGcAZQBTAGgAYQByAGUAcwBPAHUAdABzAHQAYQBuAGQAaQBuAGcAKQBcAG4AIAAgACAAIAAgACAAIAAgACAAIAAgACAAIAAgACAAIAAgACAAIAAgACAAIAAgACAAKQAsAFwAbgAgACAAIAAgAC8ALwAgACAAUAByAG8AYwBlAGQAdQByAGUAXABuACAAIAAgACAAIAAgACAAIABSAGUAcwB1AGwAdAAsACAAIAAgACAAIAAgACAAIAAgACgAUwBoAGEAcgBlAGgAbwBsAGQAZQByAHMARQBxAHUAaQB0AHkAIAAtACAAUAByAGUAZgBlAHIAcgBlAGQAUwB0AG8AYwBrACkALwBBAHYAZQByAGEAZwBlAFMAaABhAHIAZQBzAE8AdQB0AHMAdABhAG4AZABpAG4AZ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QwBBAFAARQBSAGEAdABpAG8AuwNcAG4AIAAgACAAIABEAEUAUwBDAFIASQBQAFQASQBPAE4AOgAqAC8ALwAqACoAQwBBAFAARQAgAFIAYQB0AGkAbwAgAGkAcwAgAGEAIAB2AGEAbAB1AGEAdABpAG8AbgAgAG0AZQBhAHMAdQByAGUAIAB0AGgAYQB0ACAAdQBzAGUAcwAgAHIAZQBhAGwAIABlAGEAcgBuAGkAbgBnAHMAIABwAGUAcgAgAHMAaABhAHIAZQAgACgARQBQAFMAKQAgAG8AdgBlAHIAIABhACAAMQAwAC0AeQBlAGEAcgAgAHAAZQByAGkAbwBkAFwAbgB0AG8AIABzAG0AbwBvAHQAaAAgAG8AdQB0ACAAZgBsAHUAYwB0AHUAYQB0AGkAbwBuAHMAIABpAG4AIABjAG8AcgBwAG8AcgBhAHQAZQAgAHAAcgBvAGYAaQB0AHMAIAB0AGgAYQB0ACAAbwBjAGMAdQByACAAbwB2AGUAcgAgAGQAaQBmAGYAZQByAGUAbgB0ACAAcABlAHIAaQBvAGQAcwAgAG8AZgAgAGEAIABiAHUAcwBpAG4AZQBzAHMAXABuAGMAeQBjAGwAZQAgACgAYQBrAGEAIABTAGgAaQBsAGwAZQByACAAUABFACAAUgBhAHQAaQBvACkAIAAoAFMAaABhAHIAZQAgAFAAcgBpAGMAZQAvAFQAZQBuACAAWQBlAGEAcgAgAEEAdgBlAHIAYQBnAGUAIABFAGEAcgBuAGkAbgBnAHMAIABJAG4AZgBsAGEAdABpAG8AbgAgAEEAZABqAHUAcwB0AGUAZAApACAAKgAvAFwAbgBDAEEAUABFAFIAYQB0AGkAbwC7AyAAPQAgAEwAQQBNAEIARABBACgAXABuAC8ALwAgACAAUABhAHIAYQBtAGUAdABlAHIAIABEAGUAYwBsAGEAcgBhAHQAaQBvAG4AcwBcAG4AIAAgACAAIAAgACAAIAAgAFsAUwBoAGEAcgBlAFAAcgBpAGMAZQBdACwAIAAgAFwAbgAgACAAIAAgACAAIAAgACAAWwBUAGUAbgBZAGUAYQByAEEAdgBlAHIAYQBnAGUARQBhAHIAbgBpAG4AZwBzAEkAbgBmAGwAYQB0AGkAbwBuAEEAZABqAHUAcwB0AGUAZABdACwAIAAgACAAIABcAG4ALwAvACAAIABIAGUAbABwAFwAbgAgACAAIAAgAEwARQBUACgASABlAGwAcAAsACAAIAAgAFQAUgBJAE0AKABUAEUAWABUAFMAUABMAEkAVAAoACAAXABuACAAIAAgACAAIAAgACAAIAAgACAAIAAgACAAIAAgACAAIAAgACAAIAAgACAAIAAgAFwAIgBGAFUATgBDAFQASQBPAE4AOgAgACAAIAAgACAAIACSIUMAQQBQAEUAUgBhAHQAaQBvALsDKAAgAFMAaABhAHIAZQBQAHIAaQBjAGUALAAgAFQAZQBuAFkAZQBhAHIAQQB2AGUAcgBhAGcAZQBFAGEAcgBuAGkAbgBnAHMASQBuAGYAbABhAHQAaQBvAG4AQQBkAGoAdQBzAHQAZQBkACAAKQC2AFwAIgAgACYAIABcAG4AIAAgACAAIAAgACAAIAAgACAAIAAgACAAIAAgACAAIAAgACAAIAAgACAAIAAgACAAXAAiAEQARQBTAEMAUgBJAFAAVABJAE8ATgA6ACAAIAAgAJIhQwBBAFAARQAgAFIAYQB0AGkAbwAgAGkAcwAgAGEAIAB2AGEAbAB1AGEAdABpAG8AbgAgAG0AZQBhAHMAdQByAGUAIAB0AGgAYQB0ACAAdQBzAGUAcwAgAHIAZQBhAGwAIABlAGEAcgBuAGkAbgBnAHMAIABwAGUAcgAgAHMAaABhAHIAZQAgACgARQBQAFMAKQAgAG8AdgBlAHIAIABhACAAMQAwAC0AeQBlAGEAcgAgAHAAZQByAGkAbwBkACAAtgBcACIAIAAmACAAXABuACAAIAAgACAAIAAgACAAIAAgACAAIAAgACAAIAAgACAAIAAgACAAIAAgACAAIAAgACAAIAAgACAAIAAgACAAIAAgACAAIAAgACAAIAAgACAAXAAiAJIhdABvACAAcwBtAG8AbwB0AGgAIABvAHUAdAAgAGYAbAB1AGMAdAB1AGEAdABpAG8AbgBzACAAaQBuACAAYwBvAHIAcABvAHIAYQB0AGUAIABwAHIAbwBmAGkAdABzACAAdABoAGEAdAAgAG8AYwBjAHUAcgAgAG8AdgBlAHIAIABkAGkAZgBmAGUAcgBlAG4AdAAgAHAAZQByAGkAbwBkAHMAIABvAGYAIABhACAAYgB1AHMAaQBuAGUAcwBzACAAtgBcACIAIAAmACAAXABuACAAIAAgACAAIAAgACAAIAAgACAAIAAgACAAIAAgACAAIAAgACAAIAAgACAAIAAgACAAIAAgACAAIAAgACAAIAAgACAAIAAgACAAIAAgACAAXAAiAJIhYwB5AGMAbABlACAAKABhAGsAYQAgAFMAaABpAGwAbABlAHIAIABQAEUAIABSAGEAdABpAG8AKQAgACgAUwBoAGEAcgBlACAAUAByAGkAYwBlAC8AVABlAG4AIABZAGUAYQByACAAQQB2AGUAcgBhAGcAZQAgAEUAYQByAG4AaQBuAGcAcwAgAEkAbgBmAGwAYQB0AGkAbwBuACAAQQBkAGoAdQBzAHQAZQBkACkAtgBcACIAIAAmACAAXABuACAAIAAgACAAIAAgACAAIAAgACAAIAAgACAAIAAgACAAIAAgACAAIAAgACAAIAAgAFwAIgBXAEUAQgBQAEEARwBFADoAIAAgACAAIAAgACAAIACSIWgAdAB0AHAAcwA6AC8ALwB3AHcAdwAuAGkAbgB2AGUAcwB0AG8AcABlAGQAaQBhAC4AYwBvAG0ALwB0AGUAcgBtAHMALwBjAC8AYwBhAHAAZQAtAHIAYQB0AGkAbwAuAGEAcwBwACAAtgBcACIAIAAm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TAGgAYQByAGUAUAByAGkAYwBlACAAIAAgACAAIACSISgAUgBlAHEAdQBpAHIAZQBkACkAIABDAHUAcgByAGUAbgB0ACAAcwB0AG8AYwBrACAAcAByAGkAYwBlACAAtgBcACIAIAAmACAAXABuACAAIAAgACAAIAAgACAAIAAgACAAIAAgACAAIAAgACAAIAAgACAAIAAgACAAIAAgAFwAIgBUAGUAbgBZAGUAYQByAEEAdgBlAHIAYQBnAGUARQBhAHIAbgBpAG4AZwBzAEkAbgBmAGwAYQB0AGkAbwBuAEEAZABqAHUAcwB0AGUAZACSISgAUgBlAHEAdQBpAHIAZQBkACkAIABBAHYAZQByAGEAZwBlACAAZQBhAHIAbgBpAG4AZwBzACAAcABlAHIAIABzAGgAYQByAGUAIABmAG8AcgAgADEAMAAgAHkAZQBhAHIAcwAgAGEAZABqAHUAcwB0AGUAZAAgAGYAbwByACAAaQBuAGYAbABhAHQAaQBvAG4AIAC2AFwAIgAgACYAIABcAG4AIAAgACAAIAAgACAAIAAgACAAIAAgACAAIAAgACAAIAAgACAAIAAgACAAIAAgACAAXAAiAEUAWABBAE0AUABMAEUAUwA6ACAAIAAgACAAIAAgAJIhRgBvAHIAbQB1AGwAYQAgACgAbgBhAGIAbABhAC4AcgAgAGkAcwAgAGEAcwBzAHUAbQBlAGQAIAB0AG8AIABiAGUAIAB0AGgAZQAgAG0AbwBkAHUAbABlACcAcwAgAG4AYQBtAGUAKQC2AFwAIgAgACYAXABuACAAIAAgACAAIAAgACAAIAAgACAAIAAgACAAIAAgACAAIAAgACAAIAAgACAAIAAgAFwAIgAxADAAIAAgACAAIAAgACAAIAAgACAAIAAgACAAIACSIT0AbgBhAGIAbABhAC4AcgAuAEMAQQBQAEUAUgBhAHQAaQBvALsDKAAgADEAMAAwAC4AMAAsACAAMQAwAC4AMAAg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UwBoAGEAcgBlAFAAcgBpAGMAZQApACwAXABuACAAIAAgACAAIAAgACAAIAAgACAAIAAgACAAIAAgACAAIAAgACAAIAAgACAAIAAgACAAIAAgACAASQBTAE8ATQBJAFQAVABFAEQAKAAgAFQAZQBuAFkAZQBhAHIAQQB2AGUAcgBhAGcAZQBFAGEAcgBuAGkAbgBnAHMASQBuAGYAbABhAHQAaQBvAG4AQQBkAGoAdQBzAHQAZQBkACkAXABuACAAIAAgACAAIAAgACAAIAAgACAAIAAgACAAIAAgACAAIAAgACAAIAAgACAAIAAgACkALABcAG4AIAAgACAAIAAvAC8AIAAgAFAAcgBvAGMAZQBkAHUAcgBlAFwAbgAgACAAIAAgACAAIAAgACAAUgBlAHMAdQBsAHQALAAgACAAIAAgACAAIAAgACAAIABTAGgAYQByAGUAUAByAGkAYwBlAC8AVABlAG4AWQBlAGEAcgBBAHYAZQByAGEAZwBlAEUAYQByAG4AaQBuAGcAcwBJAG4AZgBsAGEAdABpAG8AbgBBAGQAagB1AHMAdABlAGQ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QAUABSALsDXABuACAAIAAgACAARABFAFMAQwBSAEkAUABUAEkATwBOADoAKgAvAC8AKgAqAEQAaQB2AGkAZABlAG4AZAAgAFAAYQB5AG8AdQB0ACAAUgBhAHQAaQBvACAAaQBzACAAdABoAGUAIABwAGUAcgBjAGUAbgB0AGEAZwBlACAAbwBmACAAZQBhAHIAbgBpAG4AZwBzACAAcABhAGkAZAAgAHQAbwAgAHMAaABhAHIAZQBoAG8AbABkAGUAcgBzACAAdgBpAGEAIABkAGkAdgBpAGQAZQBuAGQAcwBcAG4AIAAgACAAIAAoAEQAaQB2AGkAZABlAG4AZABzAFAAYQBpAGQALwBOAGUAdABJAG4AYwBvAG0AZQApACAAKgAvAFwAbgBEAFAAUgC7AyAAPQAgAEwAQQBNAEIARABBACgAXABuAC8ALwAgACAAUABhAHIAYQBtAGUAdABlAHIAIABEAGUAYwBsAGEAcgBhAHQAaQBvAG4AcwBcAG4AIAAgACAAIAAgACAAIAAgAFsARABpAHYAaQBkAGUAbgBkAHMAUABhAGkAZABdACwAIAAgAFwAbgAgACAAIAAgACAAIAAgACAAWwBOAGUAdABJAG4AYwBvAG0AZQBdACwAIAAgACAAIABcAG4ALwAvACAAIABIAGUAbABwAFwAbgAgACAAIAAgAEwARQBUACgASABlAGwAcAAsACAAIAAgAFQAUgBJAE0AKABUAEUAWABUAFMAUABMAEkAVAAoACAAXABuACAAIAAgACAAIAAgACAAIAAgACAAIAAgACAAIAAgACAAIAAgACAAIAAgACAAIAAgAFwAIgBGAFUATgBDAFQASQBPAE4AOgAgACAAIAAgACAAIACSIUQAUABSALsDKAAgAEQAaQB2AGkAZABlAG4AZABzAFAAYQBpAGQALAAgAE4AZQB0AEkAbgBjAG8AbQBlACAAKQC2AFwAIgAgACYAIABcAG4AIAAgACAAIAAgACAAIAAgACAAIAAgACAAIAAgACAAIAAgACAAIAAgACAAIAAgACAAXAAiAEQARQBTAEMAUgBJAFAAVABJAE8ATgA6ACAAIAAgAJIhRABpAHYAaQBkAGUAbgBkACAAUABhAHkAbwB1AHQAIABSAGEAdABpAG8AIABpAHMAIAB0AGgAZQAgAHAAZQByAGMAZQBuAHQAYQBnAGUAIABvAGYAIABlAGEAcgBuAGkAbgBnAHMAIABwAGEAaQBkACAAdABvACAAcwBoAGEAcgBlAGgAbwBsAGQAZQByAHMAIAB2AGkAYQAgAGQAaQB2AGkAZABlAG4AZABzALYAXAAiACAAJgAgAFwAbgAgACAAIAAgACAAIAAgACAAIAAgACAAIAAgACAAIAAgACAAIAAgACAAIAAgACAAIAAgACAAIAAgACAAIAAgACAAIAAgACAAIAAgACAAIABcACIAkiEoAEQAaQB2AGkAZABlAG4AZABzAFAAYQBpAGQALwBOAGUAdABJAG4AYwBvAG0AZQApALYAXAAiACAAJgAgAFwAbgAgACAAIAAgACAAIAAgACAAIAAgACAAIAAgACAAIAAgACAAIAAgACAAIAAgACAAIABcACIAVwBFAEIAUABBAEcARQA6ACAAIAAgACAAIAAgACAAkiFoAHQAdABwAHMAOgAvAC8AdwB3AHcALgBpAG4AdgBlAHMAdABvAHAAZQBkAGkAYQAuAGMAbwBtAC8AdABlAHIAbQBzAC8AZAAvAGQAaQB2AGkAZABlAG4AZABwAGEAeQBvAHUAdAByAGEAdABpAG8ALgBhAHMAcAAgALYAXAAiACAAJgBcAG4AIAAgACAAIAAgACAAIAAgACAAIAAgACAAIAAgACAAIAAgACAAIAAgACAAIAAgACAAXAAiAFYARQBSAFMASQBPAE4AOgAgACAAIAAgACAAIAAgAJIhMQA4ACAAQQB1AGcAIAAyADAAMgA2ALYAXAAiACAAJgBcAG4AIAAgACAAIAAgACAAIAAgACAAIAAgACAAIAAgACAAIAAgACAAIAAgACAAIAAgACAAXAAiAFAAQQBSAEEATQBFAFQARQBSAFMAOgCSIbYAXAAiACAAJgAgAFwAbgAgACAAIAAgACAAIAAgACAAIAAgACAAIAAgACAAIAAgACAAIAAgACAAIAAgACAAIABcACIARABpAHYAaQBkAGUAbgBkAHMAUABhAGkAZAAgACAAkiEoAFIAZQBxAHUAaQByAGUAZAApACAARABpAHYAaQBkAGUAbgBkAHMAIABwAGEAaQBkACAAtgBcACIAIAAmACAAXABuACAAIAAgACAAIAAgACAAIAAgACAAIAAgACAAIAAgACAAIAAgACAAIAAgACAAIAAgAFwAIgBOAGUAdABJAG4AYwBvAG0AZQAgACAAIAAgACAAIACSISgAUgBlAHEAdQBpAHIAZQBkACkAIABOAGUAdAAgAEkAbgBjAG8AbQBlALYAXAAiACAAJgAgAFwAbgAgACAAIAAgACAAIAAgACAAIAAgACAAIAAgACAAIAAgACAAIAAgACAAIAAgACAAIABcACIARQBYAEEATQBQAEwARQBTADoAIAAgACAAIAAgACAAkiFGAG8AcgBtAHUAbABhACAAKABuAGEAYgBsAGEALgByACAAaQBzACAAYQBzAHMAdQBtAGUAZAAgAHQAbwAgAGIAZQAgAHQAaABlACAAbQBvAGQAdQBsAGUAJwBzACAAbgBhAG0AZQApALYAXAAiACAAJgBcAG4AIAAgACAAIAAgACAAIAAgACAAIAAgACAAIAAgACAAIAAgACAAIAAgACAAIAAgACAAXAAiADIANQAlACAAIAAgACAAIAAgACAAIAAgACAAIAAgAJIhPQBuAGEAYgBsAGEALgByAC4ARABQAFIAuwMoACAANQAuADAALAAgADIAMA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EAGkAdgBpAGQAZQBuAGQAcwBQAGEAaQBkACkALABcAG4AIAAgACAAIAAgACAAIAAgACAAIAAgACAAIAAgACAAIAAgACAAIAAgACAAIAAgACAAIAAgACAAIABJAFMATwBNAEkAVABUAEUARAAoACAATgBlAHQASQBuAGMAbwBtAGUAKQBcAG4AIAAgACAAIAAgACAAIAAgACAAIAAgACAAIAAgACAAIAAgACAAIAAgACAAIAAgACAAKQAsAFwAbgAgACAAIAAgAC8ALwAgACAAUAByAG8AYwBlAGQAdQByAGUAXABuACAAIAAgACAAIAAgACAAIABSAGUAcwB1AGwAdAAsACAAIAAgACAAIAAgACAAIAAgAEQAaQB2AGkAZABlAG4AZABzAFAAYQBpAGQALwBOAGUAdABJAG4AYwBvAG0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pAHYAaQBkAGUAbgBkAFkAaQBlAGwAZABSAGEAdABpAG8AuwNcAG4AIAAgACAAIABEAEUAUwBDAFIASQBQAFQASQBPAE4AOgAqAC8ALwAqACoARABpAHYAaQBkAGUAbgBkACAAeQBpAGUAbABkACAAcgBhAHQAaQBvACAAcwBoAG8AdwBzACAAaABvAHcAIABtAHUAYwBoACAAYQAgAGMAbwBtAHAAYQBuAHkAIABwAGEAeQBzACAAbwB1AHQAIABpAG4AIABkAGkAdgBpAGQAZQBuAGQAcwAgAFwAbgBlAGEAYwBoACAAeQBlAGEAcgAgAHIAZQBsAGEAdABpAHYAZQAgAHQAbwAgAGkAdABzACAAcwB0AG8AYwBrACAAcAByAGkAYwBlACAAKABBAG4AbgB1AGEAbAAgAEQAaQB2AGkAZABlAG4AZABzACAAUABlACAAcgBTAGgAYQByAGUALwBTAGgAYQByAGUAIABQAHIAaQBjAGUAKQAgACoALwBcAG4ARABpAHYAaQBkAGUAbgBkAFkAaQBlAGwAZABSAGEAdABpAG8AuwMgAD0AIABMAEEATQBCAEQAQQAoAFwAbgAvAC8AIAAgAFAAYQByAGEAbQBlAHQAZQByACAARABlAGMAbABhAHIAYQB0AGkAbwBuAHMAXABuACAAIAAgACAAIAAgACAAIABbAEEAbgBuAHUAYQBsAEQAaQB2AGkAZABlAG4AZABzAFAAZQByAFMAaABhAHIAZQBdACwAIAAgAFwAbgAgACAAIAAgACAAIAAgACAAWwBTAGgAYQByAGUAUAByAGkAYwBlAF0ALAAgACAAIAAgAFwAbgAvAC8AIAAgAEgAZQBsAHAAXABuACAAIAAgACAATABFAFQAKABIAGUAbABwACwAIAAgACAAVABSAEkATQAoAFQARQBYAFQAUwBQAEwASQBUACgAIABcAG4AIAAgACAAIAAgACAAIAAgACAAIAAgACAAIAAgACAAIAAgACAAIAAgACAAIAAgACAAXAAiAEYAVQBOAEMAVABJAE8ATgA6ACAAIAAgACAAIAAgAJIhRABpAHYAaQBkAGUAbgBkAFkAaQBlAGwAZABSAGEAdABpAG8AuwMoACAAQQBuAG4AdQBhAGwARABpAHYAaQBkAGUAbgBkAHMAUABlAHIAUwBoAGEAcgBlACwAIABTAGgAYQByAGUAUAByAGkAYwBlACkAtgBcACIAIAAmACAAXABuACAAIAAgACAAIAAgACAAIAAgACAAIAAgACAAIAAgACAAIAAgACAAIAAgACAAIAAgAFwAIgBEAEUAUwBDAFIASQBQAFQASQBPAE4AOgAgACAAIACSIUQAaQB2AGkAZABlAG4AZAAgAHkAaQBlAGwAZAAgAHIAYQB0AGkAbwAgAHMAaABvAHcAcwAgAGgAbwB3ACAAbQB1AGMAaAAgAGEAIABjAG8AbQBwAGEAbgB5ACAAcABhAHkAcwAgAG8AdQB0ACAAaQBuACAAZABpAHYAaQBkAGUAbgBkAHMAIAC2AFwAIgAgACYAIABcAG4AIAAgACAAIAAgACAAIAAgACAAIAAgACAAIAAgACAAIAAgACAAIAAgACAAIAAgACAAIAAgACAAIAAgACAAIAAgACAAIAAgACAAIAAgACAAXAAiAJIhZQBhAGMAaAAgAHkAZQBhAHIAIAByAGUAbABhAHQAaQB2AGUAIAB0AG8AIABpAHQAcwAgAHMAdABvAGMAawAgAHAAcgBpAGMAZQAgACgAQQBuAG4AdQBhAGwAIABEAGkAdgBpAGQAZQBuAGQAcwAgAFAAZQAgAHIAUwBoAGEAcgBlAC8AUwBoAGEAcgBlACAAUAByAGkAYwBlACkAtgBcACIAIAAmACAAXABuACAAIAAgACAAIAAgACAAIAAgACAAIAAgACAAIAAgACAAIAAgACAAIAAgACAAIAAgAFwAIgBXAEUAQgBQAEEARwBFADoAIAAgACAAIAAgACAAIACSIWgAdAB0AHAAcwA6AC8ALwB3AHcAdwAuAGkAbgB2AGUAcwB0AG8AcABlAGQAaQBhAC4AYwBvAG0ALwB0AGUAcgBtAHMALwBkAC8AZABpAHYAaQBkAGUAbgBkAHkAaQBlAGwAZAAuAGEAcwBwACAAtgBcACIAIAAmAFwAbgAgACAAIAAgACAAIAAgACAAIAAgACAAIAAgACAAIAAgACAAIAAgACAAIAAgACAAIABcACIAVgBFAFIAUwBJAE8ATgA6ACAAIAAgACAAIAAgACAAkiExADgAIABBAHUAZwAgADIAMAAyADYAtgBcACIAIAAmAFwAbgAgACAAIAAgACAAIAAgACAAIAAgACAAIAAgACAAIAAgACAAIAAgACAAIAAgACAAIABcACIAUABBAFIAQQBNAEUAVABFAFIAUwA6AJIhtgBcACIAIAAmACAAXABuACAAIAAgACAAIAAgACAAIAAgACAAIAAgACAAIAAgACAAIAAgACAAIAAgACAAIAAgAFwAIgBBAG4AbgB1AGEAbABEAGkAdgBpAGQAZQBuAGQAcwBQAGUAcgBTAGgAYQByAGUAkiEoAFIAZQBxAHUAaQByAGUAZAApACAAQQBuAG4AdQBhAGwAIABEAGkAdgBpAGQAZQBuAGQAcwAgAFAAZQByACAAUwBoAGEAcgBlACAAtgBcACIAIAAmACAAXABuACAAIAAgACAAIAAgACAAIAAgACAAIAAgACAAIAAgACAAIAAgACAAIAAgACAAIAAgAFwAIgBTAGgAYQByAGUAUAByAGkAYwBlACAAIAAgACAAIACSISgAUgBlAHEAdQBpAHIAZQBkACkAIABNAGEAcgBrAGUAdAAgAHYAYQBsAHUAZQAgAHAAZQByACAAcwBoAGEAcgBlACAAtgBcACIAIAAmACAAXABuACAAIAAgACAAIAAgACAAIAAgACAAIAAgACAAIAAgACAAIAAgACAAIAAgACAAIAAgAFwAIgBFAFgAQQBNAFAATABFAFMAOgAgACAAIAAgACAAIACSIUYAbwByAG0AdQBsAGEAIAAoAG4AYQBiAGwAYQAuAHIAIABpAHMAIABhAHMAcwB1AG0AZQBkACAAdABvACAAYgBlACAAdABoAGUAIABtAG8AZAB1AGwAZQAnAHMAIABuAGEAbQBlACkAtgBcACIAIAAmAFwAbgAgACAAIAAgACAAIAAgACAAIAAgACAAIAAgACAAIAAgACAAIAAgACAAIAAgACAAIABcACIAMgAuADYANgA2ADcAJQAgACAAIAAgACAAIAAgACAAkiE9AG4AYQBiAGwAYQAuAHIALgBEAGkAdgBpAGQAZQBuAGQAWQBpAGUAbABkAFIAYQB0AGkAbwC7AygAIAAxAC4AMgAsACAANAA1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QQBuAG4AdQBhAGwARABpAHYAaQBkAGUAbgBkAHMAUABlAHIAUwBoAGEAcgBlACkALABcAG4AIAAgACAAIAAgACAAIAAgACAAIAAgACAAIAAgACAAIAAgACAAIAAgACAAIAAgACAAIAAgACAAIABJAFMATwBNAEkAVABUAEUARAAoACAAUwBoAGEAcgBlAFAAcgBpAGMAZQApAFwAbgAgACAAIAAgACAAIAAgACAAIAAgACAAIAAgACAAIAAgACAAIAAgACAAIAAgACAAIAApACwAXABuACAAIAAgACAALwAvACAAIABQAHIAbwBjAGUAZAB1AHIAZQBcAG4AIAAgACAAIAAgACAAIAAgAFIAZQBzAHUAbAB0ACwAIAAgACAAIAAgACAAIAAgACAAQQBuAG4AdQBhAGwARABpAHYAaQBkAGUAbgBkAHMAUABlAHIAUwBoAGEAcgBlAC8AUwBoAGEAcgBlAFAAcgBpAGMAZQ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EUAUABTALsDXABuACAAIAAgACAARABFAFMAQwBSAEkAUABUAEkATwBOADoAKgAvAC8AKgAqAEUAYQByAG4AaQBuAGcAcwAgAHAAZQByACAAcwBoAGEAcgBlACAAbQBlAGEAcwB1AHIAZQBzACAAcAByAG8AZgBpAHQAYQBiAGkAbABpAHQAeQAgAGkAbgBkAGkAYwBhAHQAaQBuAGcAIABoAG8AdwAgAG0AdQBjAGgAIABwAHIAbwBmAGkAdAAgAGUAYQBjAGgAIABcAG4AbwB1AHQAcwB0AGEAbgBkAGkAbgBnACAAcwBoAGEAcgBlACAAbwBmACAAYwBvAG0AbQBvAG4AIABzAHQAbwBjAGsAIABoAGEAcwAgAGUAYQByAG4AZQBkACAAXABuACAAIAAgACAAKABOAGUAdAAgAEkAbgBjAG8AbQBlACAALQAgAFAAcgBlAGYAZQByAHIAZQBkACAARABpAHYAaQBkAGUAbgBkAHMAKQAvAEUAbgBkACAATwBmACAAUABlAHIAaQBvAGQAIABDAG8AbQBtAG8AbgAgAFMAaABhAHIAZQBzACAATwB1AHQAcwB0AGEAbgBkAGkAbgBnACkAIAAqAC8AXABuAEUAUABTALsDIAA9ACAATABBAE0AQgBEAEEAKABcAG4ALwAvACAAIABQAGEAcgBhAG0AZQB0AGUAcgAgAEQAZQBjAGwAYQByAGEAdABpAG8AbgBzAFwAbgAgACAAIAAgACAAIAAgACAAWwBOAGUAdABJAG4AYwBvAG0AZQBdACwAIAAgAFwAbgAgACAAIAAgACAAIAAgACAAWwBQAHIAZQBmAGUAcgByAGUAZABEAGkAdgBpAGQAZQBuAGQAcwBdACwAIAAgACAAIABcAG4AIAAgACAAIAAgACAAIAAgAFsARQBuAGQATwBmAFAAZQByAGkAbwBkAEMAbwBtAG0AbwBuAFMAaABhAHIAZQBzAE8AdQB0AHMAdABhAG4AZABpAG4AZwBdACwAIAAgACAAIABcAG4ALwAvACAAIABIAGUAbABwAFwAbgAgACAAIAAgAEwARQBUACgASABlAGwAcAAsACAAIAAgAFQAUgBJAE0AKABUAEUAWABUAFMAUABMAEkAVAAoACAAXABuACAAIAAgACAAIAAgACAAIAAgACAAIAAgACAAIAAgACAAIAAgACAAIAAgACAAIAAgAFwAIgBGAFUATgBDAFQASQBPAE4AOgAgACAAIAAgACAAIAAgACAAIAAgAJIhRQBQAFMAuwMoACAATgBlAHQASQBuAGMAbwBtAGUALAAgAFAAcgBlAGYAZQByAHIAZQBkAEQAaQB2AGkAZABlAG4AZABzACwAIABFAG4AZABPAGYAUABlAHIAaQBvAGQAQwBvAG0AbQBvAG4AUwBoAGEAcgBlAHMATwB1AHQAcwB0AGEAbgBkAGkAbgBnACkAtgBcACIAIAAmACAAXABuACAAIAAgACAAIAAgACAAIAAgACAAIAAgACAAIAAgACAAIAAgACAAIAAgACAAIAAgAFwAIgBEAEUAUwBDAFIASQBQAFQASQBPAE4AOgAgACAAIAAgACAAIAAgAJIhRQBhAHIAbgBpAG4AZwBzACAAcABlAHIAIABzAGgAYQByAGUAIABtAGUAYQBzAHUAcgBlAHMAIABwAHIAbwBmAGkAdABhAGIAaQBsAGkAdAB5ACAAaQBuAGQAaQBjAGEAdABpAG4AZwAgAGgAbwB3ACAAbQB1AGMAaAAgAHAAcgBvAGYAaQB0ACAAZQBhAGMAaAAgALYAXAAiACAAJgAgAFwAbgAgACAAIAAgACAAIAAgACAAIAAgACAAIAAgACAAIAAgACAAIAAgACAAIAAgACAAIAAgACAAIAAgACAAIAAgACAAIAAgACAAIAAgACAAIAAgACAAIAAgAFwAIgCSIW8AdQB0AHMAdABhAG4AZABpAG4AZwAgAHMAaABhAHIAZQAgAG8AZgAgAGMAbwBtAG0AbwBuACAAcwB0AG8AYwBrACAAaABhAHMAIABlAGEAcgBuAGUAZAAgALYAXAAiACAAJgAgAFwAbgAgACAAIAAgACAAIAAgACAAIAAgACAAIAAgACAAIAAgACAAIAAgACAAIAAgACAAIAAgACAAIAAgACAAIAAgACAAIAAgACAAIAAgACAAIAAgACAAIAAgAFwAIgCSISgATgBlAHQAIABJAG4AYwBvAG0AZQAgAC0AIABQAHIAZQBmAGUAcgByAGUAZAAgAEQAaQB2AGkAZABlAG4AZABzACkALwBFAG4AZAAgAE8AZgAgAFAAZQByAGkAbwBkACAAQwBvAG0AbQBvAG4AIABTAGgAYQByAGUAcwAgAE8AdQB0AHMAdABhAG4AZABpAG4AZwApALYAXAAiACAAJgAgAFwAbgAgACAAIAAgACAAIAAgACAAIAAgACAAIAAgACAAIAAgACAAIAAgACAAIAAgACAAIABcACIAVwBFAEIAUABBAEcARQA6ACAAIAAgACAAIAAgACAAIAAgACAAIACSIWgAdAB0AHAAcwA6AC8ALwB3AHcAdwAuAGkAbgB2AGUAcwB0AG8AcABlAGQAaQBhAC4AYwBvAG0ALwB0AGUAcgBtAHMALwBlAC8AZQBwAHMALgBhAHMAcAAgALYAXAAiACAAJgBcAG4AIAAgACAAIAAgACAAIAAgACAAIAAgACAAIAAgACAAIAAgACAAIAAgACAAIAAgACAAXAAiAFYARQBSAFMASQBPAE4AOgAgACAAIAAgACAAIAAgACAAIAAgACAAkiExADgAIABBAHUAZwAgADIAMAAyADYAtgBcACIAIAAmAFwAbgAgACAAIAAgACAAIAAgACAAIAAgACAAIAAgACAAIAAgACAAIAAgACAAIAAgACAAIABcACIAUABBAFIAQQBNAEUAVABFAFIAUwA6AJIhtgBcACIAIAAmACAAXABuACAAIAAgACAAIAAgACAAIAAgACAAIAAgACAAIAAgACAAIAAgACAAIAAgACAAIAAgAFwAIgBOAGUAdABJAG4AYwBvAG0AZQAgACAAIAAgACAAIAAgACAAIAAgAJIhKABSAGUAcQB1AGkAcgBlAGQAKQAgAE4AZQB0ACAASQBuAGMAbwBtAGUAIAC2AFwAIgAgACYAIABcAG4AIAAgACAAIAAgACAAIAAgACAAIAAgACAAIAAgACAAIAAgACAAIAAgACAAIAAgACAAXAAiAFAAcgBlAGYAZQByAHIAZQBkAEQAaQB2AGkAZABlAG4AZABzACAAkiEoAFIAZQBxAHUAaQByAGUAZAApACAARABpAHYAaQBkAGUAbgBkAHMAIABwAGEAaQBkACAAbwBuACAAcAByAGUAZgBlAHIAZQBkACAAcwB0AG8AYwBrALYAXAAiACAAJgAgAFwAbgAgACAAIAAgACAAIAAgACAAIAAgACAAIAAgACAAIAAgACAAIAAgACAAIAAgACAAIABcACIARQBuAGQATwBmAFAAZQByAGkAbwBkAEMAbwBtAG0AbwBuAFMAaABhAHIAZQBzAE8AdQB0AHMAdABhAG4AZABpAG4AZwCSISgAUgBlAHEAdQBpAHIAZQBkACkAIABFAG4AZAAgAG8AZgAgAFAAZQByAGkAbwBkAHMAIABDAG8AbQBtAG8AbgAgAFMAaABhAHIAZQBzACAAbwB1AHQAcwB0AGEAbgBkAGkAbgBnACAAbwByACAAtgBcACIAIAAmACAAXABuACAAIAAgACAAIAAgACAAIAAgACAAIAAgACAAIAAgACAAIAAgACAAIAAgACAAIAAgACAAIAAgACAAIAAgACAAIAAgACAAIAAgACAAIAAgACAAIAAgACAAXAAiAJIhVwBlAGkAZwBoAHQAZQBkACAAYQB2AGUAcgBhAGcAZQAgAG4AdQBtAGIAZQByACAAbwBmACAAcwBoAGEAcgBlAHMAIABvAHUAdABzAHQAYQBuAGQAaQBuAGc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xAC4AOQAwADkANQA0ADgAIAAgACAAIAAgACAAIAAgACAAIAAgAJIhPQBuAGEAYgBsAGEALgByAC4ARQBQAFMAuwMoACAANwAuADYALAAgADAALAAgADMALgA5ADg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JAG4AYwBvAG0AZQApACwAXABuACAAIAAgACAAIAAgACAAIAAgACAAIAAgACAAIAAgACAAIAAgACAAIAAgACAAIAAgACAAIAAgACAASQBTAE8ATQBJAFQAVABFAEQAKAAgAFAAcgBlAGYAZQByAHIAZQBkAEQAaQB2AGkAZABlAG4AZABzACkALABcAG4AIAAgACAAIAAgACAAIAAgACAAIAAgACAAIAAgACAAIAAgACAAIAAgACAAIAAgACAAIAAgACAAIABJAFMATwBNAEkAVABUAEUARAAoACAARQBuAGQATwBmAFAAZQByAGkAbwBkAEMAbwBtAG0AbwBuAFMAaABhAHIAZQBzAE8AdQB0AHMAdABhAG4AZABpAG4AZwApAFwAbgAgACAAIAAgACAAIAAgACAAIAAgACAAIAAgACAAIAAgACAAIAAgACAAIAAgACAAIAApACwAXABuACAAIAAgACAALwAvACAAIABQAHIAbwBjAGUAZAB1AHIAZQBcAG4AIAAgACAAIAAgACAAIAAgAFIAZQBzAHUAbAB0ACwAIAAgACAAIAAgACAAIAAgACAAKABOAGUAdABJAG4AYwBvAG0AZQAtAFAAcgBlAGYAZQByAHIAZQBkAEQAaQB2AGkAZABlAG4AZABzACkALwBFAG4AZABPAGYAUABlAHIAaQBvAGQAQwBvAG0AbQBvAG4AUwBoAGEAcgBlAHMATwB1AHQAcwB0AGEAbgBkAGkAbgBn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SAGUAdABlAG4AdABpAG8AbgBSAGEAdABpAG8AuwNcAG4AIAAgACAAIABEAEUAUwBDAFIASQBQAFQASQBPAE4AOgAqAC8ALwAqACoAUgBlAHQAZQBuAHQAaQBvAG4AIABSAGEAdABpAG8AIABpAHMAIAB0AGgAZQAgAHAAcgBvAHAAbwByAHQAaQBvAG4AIABvAGYAIABlAGEAcgBuAGkAbgBnAHMAIABrAGUAcAB0ACAAYgBhAGMAawAgAGkAbgAgAHQAaABlACAAXABuAGIAdQBzAGkAbgBlAHMAcwAgAGEAcwAgAHIAZQB0AGEAaQBuAGUAZAAgAGUAYQByAG4AaQBuAGcAcwAgACgAUgBlAHQAYQBpAG4AZQBkACAARQBhAHIAbgBpAG4AZwBzAC8ATgBlAHQAIABJAG4AYwBvAG0AZQApAC4AIAAqAC8AXABuAFIAZQB0AGUAbgB0AGkAbwBuAFIAYQB0AGkAbwC7AyAAPQAgAEwAQQBNAEIARABBACgAXABuAC8ALwAgACAAUABhAHIAYQBtAGUAdABlAHIAIABEAGUAYwBsAGEAcgBhAHQAaQBvAG4AcwBcAG4AIAAgACAAIAAgACAAIAAgAFsAUgBlAHQAYQBpAG4AZQBkAEUAYQByAG4AaQBuAGcAcwBdACwAIAAgAFwAbgAgACAAIAAgACAAIAAgACAAWwBOAGUAdABJAG4AYwBvAG0AZQBdACwAIAAgACAAIABcAG4ALwAvACAAIABIAGUAbABwAFwAbgAgACAAIAAgAEwARQBUACgASABlAGwAcAAsACAAIAAgAFQAUgBJAE0AKABUAEUAWABUAFMAUABMAEkAVAAoACAAXABuACAAIAAgACAAIAAgACAAIAAgACAAIAAgACAAIAAgACAAIAAgACAAIAAgACAAIAAgAFwAIgBGAFUATgBDAFQASQBPAE4AOgAgACAAIAAgACAAIAAgACAAIAAgAJIhUgBlAHQAZQBuAHQAaQBvAG4AUgBhAHQAaQBvALsDKAAgAFIAZQB0AGEAaQBuAGUAZABFAGEAcgBuAGkAbgBnAHMALAAgAE4AZQB0AEkAbgBjAG8AbQBlACAAKQC2AFwAIgAgACYAIABcAG4AIAAgACAAIAAgACAAIAAgACAAIAAgACAAIAAgACAAIAAgACAAIAAgACAAIAAgACAAXAAiAEQARQBTAEMAUgBJAFAAVABJAE8ATgA6ACAAIAAgACAAIAAgACAAkiFSAGUAdABlAG4AdABpAG8AbgAgAFIAYQB0AGkAbwAgAGkAcwAgAHQAaABlACAAcAByAG8AcABvAHIAdABpAG8AbgAgAG8AZgAgAGUAYQByAG4AaQBuAGcAcwAgAGsAZQBwAHQAIABiAGEAYwBrACAAaQBuACAAdABoAGUAIAC2AFwAIgAgACYAIABcAG4AIAAgACAAIAAgACAAIAAgACAAIAAgACAAIAAgACAAIAAgACAAIAAgACAAIAAgACAAIAAgACAAIAAgACAAIAAgACAAIAAgACAAIAAgACAAIAAgACAAIABcACIAkiFiAHUAcwBpAG4AZQBzAHMAIABhAHMAIAByAGUAdABhAGkAbgBlAGQAIABlAGEAcgBuAGkAbgBnAHMAIAAoAFIAZQB0AGEAaQBuAGUAZAAgAEUAYQByAG4AaQBuAGcAcwAvAE4AZQB0ACAASQBuAGMAbwBtAGUAKQAuALYAXAAiACAAJgAgAFwAbgAgACAAIAAgACAAIAAgACAAIAAgACAAIAAgACAAIAAgACAAIAAgACAAIAAgACAAIABcACIAVwBFAEIAUABBAEcARQA6ACAAIAAgACAAIAAgACAAIAAgACAAIACSIWgAdAB0AHAAcwA6AC8ALwB3AHcAdwAuAGkAbgB2AGUAcwB0AG8AcABlAGQAaQBhAC4AYwBvAG0ALwB0AGUAcgBtAHMALwByAC8AcgBlAHQAZQBuAHQAaQBvAG4AcgBhAHQAaQBvAC4AYQBzAHAAIAC2AFwAIgAgACYAXABuACAAIAAgACAAIAAgACAAIAAgACAAIAAgACAAIAAgACAAIAAgACAAIAAgACAAIAAgAFwAIgBWAEUAUgBTAEkATwBOADoAIAAgACAAIAAgACAAIAAgACAAIAAgAJIhMQA4ACAAQQB1AGcAIAAyADAAMgA2ALYAXAAiACAAJgBcAG4AIAAgACAAIAAgACAAIAAgACAAIAAgACAAIAAgACAAIAAgACAAIAAgACAAIAAgACAAXAAiAFAAQQBSAEEATQBFAFQARQBSAFMAOgCSIbYAXAAiACAAJgAgAFwAbgAgACAAIAAgACAAIAAgACAAIAAgACAAIAAgACAAIAAgACAAIAAgACAAIAAgACAAIABcACIAUgBlAHQAYQBpAG4AZQBkAEUAYQByAG4AaQBuAGcAcwAgACAAIACSISgAUgBlAHEAdQBpAHIAZQBkACkAIABSAGUAdABhAGkAbgBlAGQAIABFAGEAcgBuAGkAbgBnAHMAIAAoAE4AZQB0ACAASQBuAGMAbwBtAGUAIAAtACAAcABhAGkAZAAgAGQAaQB2AGkAZABlAG4AZABzACkAtgBcACIAIAAmACAAXABuACAAIAAgACAAIAAgACAAIAAgACAAIAAgACAAIAAgACAAIAAgACAAIAAgACAAIAAgAFwAIgBOAGUAdABJAG4AYwBvAG0AZQAgACAAIAAgACAAIAAgACAAIAAgAJIhKABSAGUAcQB1AGkAcgBlAGQAKQAgAE4AZQB0ACAASQBuAGMAbwBtAGUAtgBcACIAIAAmACAAXABuACAAIAAgACAAIAAgACAAIAAgACAAIAAgACAAIAAgACAAIAAgACAAIAAgACAAIAAgAFwAIgBFAFgAQQBNAFAATABFAFMAOgAgACAAIAAgACAAIAAgACAAIAAgAJIhRgBvAHIAbQB1AGwAYQAgACgAbgBhAGIAbABhAC4AcgAgAGkAcwAgAGEAcwBzAHUAbQBlAGQAIAB0AG8AIABiAGUAIAB0AGgAZQAgAG0AbwBkAHUAbABlACcAcwAgAG4AYQBtAGUAKQC2AFwAIgAgACYAXABuACAAIAAgACAAIAAgACAAIAAgACAAIAAgACAAIAAgACAAIAAgACAAIAAgACAAIAAgAFwAIgAxADgAOQAuADkAJQAgACAAIAAgACAAIAAgACAAIAAgACAAIAAgAJIhPQBuAGEAYgBsAGEALgByAC4AUgBlAHQAZQBuAHQAaQBvAG4AUgBhAHQAaQBvALsDKAAgADQAMQAuADkAOAAxACwAIAAyADIALgAxADEAMg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SAGUAdABhAGkAbgBlAGQARQBhAHIAbgBpAG4AZwBzACkALABcAG4AIAAgACAAIAAgACAAIAAgACAAIAAgACAAIAAgACAAIAAgACAAIAAgACAAIAAgACAAIAAgACAAIABJAFMATwBNAEkAVABUAEUARAAoACAATgBlAHQASQBuAGMAbwBtAGUAKQBcAG4AIAAgACAAIAAgACAAIAAgACAAIAAgACAAIAAgACAAIAAgACAAIAAgACAAIAAgACAAKQAsAFwAbgAgACAAIAAgAC8ALwAgACAAUAByAG8AYwBlAGQAdQByAGUAXABuACAAIAAgACAAIAAgACAAIABSAGUAcwB1AGwAdAAsACAAIAAgACAAIAAgACAAIAAgAFIAZQB0AGEAaQBuAGUAZABFAGEAcgBuAGkAbgBnAHMALwBOAGUAdABJAG4AYwBvAG0AZQAsAFwAbgAgACAAIAAgAC8ALwAgACAAUgBlAHQAdQByAG4AIABSAGUAcwB1AGwAdABcAG4AIAAgACAAIAAgACAAIAAgAEMASABPAE8AUwBFACgASABlAGwAcAA/ACAAKwAgADEALAAgAFIAZQBzAHUAbAB0ACwAIABIAGUAbABwACkAIAAgACAAIAAgACAAIAAgAFwAbgAgACAAIAAgACkAXABuACkAOwAiAH0ALAB7ACIAcABhAHQAaAAiADoAIgAvAHAAcgBvAGoAZQBjAHQAcwAvAG4AYQBiAGwAYQAuAHUAIgAsACIAdABlAHgAdAAiADoAIgAvACoAIAAgAEYAVQBOAEMAVABJAE8ATgAgAE4AQQBNAEUAOgAgACAAQQBiAG8AdQB0ALsDXABuACAAIAAgACAARABFAFMAQwBSAEkAUABUAEkATwBOADoAKgAvAC8AKgAqAEQAaQBzAHAAbABhAHkAcwAgAHQAaABpAHMAIABtAG8AZAB1AGwAZQAnAHMAIAByAGUAcABvAHMAaQB0AG8AcgB5ACAAVQBSAEwAIABhAG4AZAAgAGYAdQBuAGMAdABpAG8AbgAgAGwAaQBzAHQAKgAvAFwAbgBcAG4AQQBiAG8AdQB0ALsDIAA9ACAAVABSAEkATQAoAFQARQBYAFQAUwBQAEwASQBUACgAXABuACAAIAAgACAAXAAiAEEAYgBvAHUAdAA6ACAAIAAgACAAIAAgACAAIAAgACAAIAAgACAAIAAgACAAIAAgACAAIAAgAJIhQgBhAHMAaQBjACAAZgB1AG4AYwB0AGkAbwBuAHMAIABmAG8AcgAgAHcAbwByAGsAaQBuAGcAIAB3AGkAdABoACAAZAB5AG4AYQBtAGkAYwAgAGEAcgByAGEAeQBzAC4AIABTAHUAZwBnAGUAcwB0AGUAZAAgAG0AbwBkAHUAbABlACAAbgBhAG0AZQA6ACAAbgBhAGIAbABhAC4AdQC2AFwAIgAgACYAXABuACAAIAAgACAAXAAiAFYAZQByAHMAaQBvAG4AOgAgACAAIAAgACAAIAAgACAAIAAgACAAIAAgACAAIAAgACAAIAAgAJIhMQA4ACAAQQB1AGcAIAAyADAAMgA2ALYAXAAiACAAJgBcAG4AIAAgACAAIABcACIAUgBlAHAAbwBzAGkAdABvAHIAeQA6ACAAIAAgACAAIAAgACAAIAAgACAAIAAgACAAIAAgACAAIAAgAJIhaAB0AHQAcABzADoALwAvAGcAaQB0AGgAdQBiAC4AYwBvAG0ALwByAHkAYQBuAGQAdQBnAHUAaQBkAC8ATgBhAGIAbABhACAAtgBcACIAIAAmAFwAbgAgACAAIAAgAFwAIgCSIbYAXAAiACAAJgBcAG4AIAAgACAAIABcACIARgB1AG4AYwB0AGkAbwBuACAAIAAgACAAIAAgACAAIAAgACAAIAAgACAAIAAgACAAIAAgACAAkiFEAGUAcwBjAHIAaQBwAHQAaQBvAG4AtgBcACIAIAAmACAAXABuACAAIAAgACAAXAAiAEEAYgBvAHUAdAC7AyAAIAAgACAAIAAgACAAIAAgACAAIAAgACAAIAAgACAAIAAgACAAIAAgAJIhUAByAG8AZAB1AGMAZQBzACAAdABoAGkAcwAgAHQAYQBiAGwAZQC2AFwAIgAgACYAIABcAG4AIAAgACAAIABcACIAQwBvAHUAbgB0AEMAuwMgACAAIAAgACAAIAAgACAAIAAgACAAIAAgACAAIAAgACAAIAAgACAAkiFDAG8AdQBuAHQAIABoAG8AdwAgAG0AYQBuAHkAIABvAGYAIABvAG4AZQAgAG8AcgAgAG0AbwByAGUAIABjAGgAYQByAGEAYwB0AGUAcgBzACAAYQByAGUAIABpAG4AIABhACAAdABlAHgAdAAgAHMAdAByAGkAbgBnALYAXAAiACAAJgBcAG4AIAAgACAAIABcACIAUwB1AG0AQwBvAGwAcwC7AyAAIAAgACAAIAAgACAAIAAgACAAIAAgACAAIAAgACAAIAAgACAAkiFHAGUAdAAgAHQAaABlACAAdABvAHQAYQBsACAAbwBmACAAZQBhAGMAaAAgAGMAbwBsAHUAbQBuALYAXAAiACAAJgAgAFwAbgAgACAAIAAgAFwAIgBTAHUAbQBSAG8AdwBzALsDIAAgACAAIAAgACAAIAAgACAAIAAgACAAIAAgACAAIAAgACAAIACSIUcAZQB0ACAAdABoAGUAIAB0AG8AdABhAGwAIABvAGYAIABlAGEAYwBoACAAcgBvAHcAtgBcACIAIAAmACAAXABuACAAIAAgACAAXAAiAEEAdgBnAEMAbwBsAHMAuwMgACAAIAAgACAAIAAgACAAIAAgACAAIAAgACAAIAAgACAAIAAgAJIhRwBlAHQAIAB0AGgAZQAgAGEAdgBlAHIAYQBnAGUAIABvAGYAIABlAGEAYwBoACAAYwBvAGwAdQBtAG4AtgBcACIAIAAmACAAXABuACAAIAAgACAAXAAiAEEAdgBnAFIAbwB3AHMAuwMgACAAIAAgACAAIAAgACAAIAAgACAAIAAgACAAIAAgACAAIAAgAJIhRwBlAHQAIAB0AGgAZQAgAGEAdgBlAHIAYQBnAGUAIABvAGYAIABlAGEAYwBoACAAcgBvAHcAtgBcACIAIAAmACAAXABuACAAIAAgACAAXAAiAE0AaQBuAEMAbwBsAHMAuwMgACAAIAAgACAAIAAgACAAIAAgACAAIAAgACAAIAAgACAAIAAgAJIhRwBlAHQAIAB0AGgAZQAgAG0AaQBuAGkAbQB1AG0AIABvAGYAIABlAGEAYwBoACAAYwBvAGwAdQBtAG4AtgBcACIAIAAmACAAXABuACAAIAAgACAAXAAiAE0AaQBuAFIAbwB3AHMAuwMgACAAIAAgACAAIAAgACAAIAAgACAAIAAgACAAIAAgACAAIAAgAJIhRwBlAHQAIAB0AGgAZQAgAG0AaQBuAGkAbQB1AG0AIABvAGYAIABlAGEAYwBoACAAcgBvAHcAtgBcACIAIAAmACAAXABuACAAIAAgACAAXAAiAE0AYQB4AEMAbwBsAHMAuwMgACAAIAAgACAAIAAgACAAIAAgACAAIAAgACAAIAAgACAAIAAgAJIhRwBlAHQAIAB0AGgAZQAgAG0AYQB4AGkAbQB1AG0AIABvAGYAIABlAGEAYwBoACAAYwBvAGwAdQBtAG4AtgBcACIAIAAmACAAXABuACAAIAAgACAAXAAiAE0AYQB4AFIAbwB3AHMAuwMgACAAIAAgACAAIAAgACAAIAAgACAAIAAgACAAIAAgACAAIAAgAJIhRwBlAHQAIAB0AGgAZQAgAG0AYQB4AGkAbQB1AG0AIABvAGYAIABlAGEAYwBoACAAcgBvAHcAtgBcACIAIAAmACAAXABuACAAIAAgACAAXAAiAEMAbwB1AG4AdABDAG8AbABzALsDIAAgACAAIAAgACAAIAAgACAAIAAgACAAIAAgACAAIAAgAJIhRwBlAHQAIAB0AGgAZQAgAGMAbwB1AG4AdAAgAG8AZgAgAG4AdQBtAGIAZQByAHMAIABpAG4AIABlAGEAYwBoACAAYwBvAGwAdQBtAG4AtgBcACIAIAAmACAAXABuACAAIAAgACAAXAAiAEMAbwB1AG4AdABSAG8AdwBzALsDIAAgACAAIAAgACAAIAAgACAAIAAgACAAIAAgACAAIAAgAJIhRwBlAHQAIAB0AGgAZQAgAGMAbwB1AG4AdAAgAG8AZgAgAG4AdQBtAGIAZQByAHMAIABpAG4AIABlAGEAYwBoACAAcgBvAHcAtgBcACIAIAAmACAAXABuACAAIAAgACAAXAAiAEMAbwB1AG4AdABBAEMAbwBsAHMAuwMgACAAIAAgACAAIAAgACAAIAAgACAAIAAgACAAIAAgAJIhRwBlAHQAIAB0AGgAZQAgAGMAbwB1AG4AdAAgAG8AZgAgAGUAdgBlAHIAeQB0AGgAaQBuAGcAIABvAGYAIABlAGEAYwBoACAAYwBvAGwAdQBtAG4AtgBcACIAIAAmACAAXABuACAAIAAgACAAXAAiAEMAbwB1AG4AdABBAFIAbwB3AHMAuwMgACAAIAAgACAAIAAgACAAIAAgACAAIAAgACAAIAAgAJIhRwBlAHQAIAB0AGgAZQAgAGMAbwB1AG4AdAAgAG8AZgAgAGUAdgBlAHIAeQB0AGgAaQBuAGcAIABvAGYAIABlAGEAYwBoACAAcgBvAHcAtgBcACIAIAAmACAAXABuACAAIAAgACAAXAAiAEkAcwBCAGUAdAB3AGUAZQBuALsDIAAgACAAIAAgACAAIAAgACAAIAAgACAAIAAgACAAIAAgAJIhRABlAHQAZQByAG0AaQBuAGUAIABpAGYAIABhACAAdgBhAGwAdQBlACAAaQBzACAAYgBlAHQAdwBlAGUAbgAgAGEAIABsAG8AdwBlAHIAIABhAG4AZAAgAHUAcABwAGUAcgAgAGwAaQBtAGkAdAAuALYAXAAiACAAJgAgAFwAbgAgACAAIAAgAFwAIgBJAHMASQBuAEwAaQBzAHQAuwMgACAAIAAgACAAIAAgACAAIAAgACAAIAAgACAAIAAgACAAIACSIUQAZQB0AGUAcgBtAGkAbgBlACAAaQBmACAAYQAgAHYAYQBsAHUAZQAgAGkAcwAgAG8AbgBlACAAbwBmACAAYQAgAGwAaQBzAHQAIABvAGYAIABpAHQAZQBtAHMALgC2AFwAIgAgACYAXABuACAAIAAgACAAXAAiAFIAYQBuAGcAZQBUAG8ARABBALsDIAAgACAAIAAgACAAIAAgACAAIAAgACAAIAAgACAAIAAgAJIhQwBvAG4AdgBlAHIAdAAgAGEAIAByAGEAbgBnAGUAIAByAGUAZgBlAHIAZQBuAGMAZQAgAHQAbwAgAGEAIABkAHkAbgBhAG0AaQBjACAAYQByAHIAYQB5ACAAcgBlAGYAZQByAGUAbgBjAGUAXAAiACwAXABuACAAIAAgACAAXAAiAJIhXAAiACwAXAAiALYAXAAiAFwAbgAgACAAIAAgACkAXABuACkAOwBcAG4AXABuAFwAbgBcAG4ALwAqACAAIABGAFUATgBDAFQASQBPAE4AIABOAEEATQBFADoAIAAgAEMAbwB1AG4AdABDALsDXABuACAAIAAgACAARABFAFMAQwBSAEkAUABUAEkATwBOADoAKgAvAC8AKgAqAEMAbwB1AG4AdAAgAG8AYwBjAHUAcgByAGUAbgBjAGUAcwAgAG8AZgAgAGMAaABhAHIAYQBjAHQAZQByACgAcwApACAAaQBuACAAYQAgAHMAdAByAGkAbgBnACoALwBcAG4AQwBvAHUAbgB0AEMAuwMgAD0AIABMAEEATQBCAEQAQQAoAFwAbgAvAC8AIAAgAFAAYQByAGEAbQBlAHQAZQByACAARABlAGMAbABhAHIAYQB0AGkAbwBuAHMAXABuACAAIAAgACAAIAAgACAAIABbAFQAZQB4AHQAXQAsAFwAbgAgACAAIAAgACAAIAAgACAAWwBDAGgAYQByAGEAYwB0AGUAcgBzAF0ALABcAG4ALwAvACAAIABIAGUAbABwAFwAbgAgACAAIAAgAEwARQBUACgASABlAGwAcAAsACAAIAAgACAAIAAgACAAVABSAEkATQAoAFQARQBYAFQAUwBQAEwASQBUACgAIABcAG4AIAAgACAAIAAgACAAIAAgACAAIAAgACAAIAAgACAAIAAgACAAIAAgACAAIAAgACAAIAAgACAAIABcACIARgBVAE4AQwBUAEkATwBOADoAIAAgACAAIAAgACAAkiFDAG8AdQBuAHQAQwC7AygAIABUAGUAeAB0ACwAIABDAGgAYQByAGEAYwB0AGUAcgBzACkAtgBcACIAIAAmAFwAbgAgACAAIAAgACAAIAAgACAAIAAgACAAIAAgACAAIAAgACAAIAAgACAAIAAgACAAIAAgACAAIAAgAFwAIgBEAEUAUwBDAFIASQBQAFQASQBPAE4AOgAgACAAIACSIUMAbwB1AG4AdAAgAGgAbwB3ACAAbQBhAG4AeQAgAG8AZgAgAG8AbgBlACAAbwByACAAbQBvAHIAZQAgAGMAaABhAHIAYQBjAHQAZQByAHMAIABhAHIAZQAgAGkAbgAgAGEAIABzAHQAcgBpAG4AZwAu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VABlAHgAdAAgACAAIAAgACAAIAAgACAAIAAgACAAkiEoAFIAZQBxAHUAaQByAGUAZAApACAAVABoAGUAIABzAHQAcgBpAG4AZwAgAHQAbwAgAGkAbgB0AGUAcgByAG8AZwBhAHQAZQC2AFwAIgAgACYAIABcAG4AIAAgACAAIAAgACAAIAAgACAAIAAgACAAIAAgACAAIAAgACAAIAAgACAAIAAgACAAIAAgACAAIABcACIAQwBoAGEAcgBhAGMAdABlAHIAcwAgACAAIAAgACAAkiEoAFIAZQBxAHUAaQByAGUAZAApACAAQQAgAHMAaQBuAGcAbABlACAAYwBoAGEAcgBhAGMAdABlAHIALAAgAG8AcgAgAEMAUwBWACAAbwBmACAAYwBoAGEAcgBhAGMAdABlAHIAcwAgAHQAbwAgAGYAaQBuAGQAIABpAG4AIABUAGUAeAB0ALYAXAAiACAAJgAgAFwAbgAgACAAIAAgACAAIAAgACAAIAAgACAAIAAgACAAIAAgACAAIAAgACAAIAAgACAAIAAgACAAIAAgACAAIAAgACAAIAAgACAAIAAgACAAIAAgACAAIAAgAFwAIgCSIU4ATwBUAEUAIQAgAEMAYQBzAGUAIABzAGUAbgBzAGkAdABpAHYAZQ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DAG8AdQBuAHQAQwC7AygAIABcACIAXAAiAE0AYQByAHkAIABoAGEAZAAgAGEAIABsAGkAdAB0AGwAZQAgAGwAYQBtAGIAXAAiAFwAIgAsACAAXAAiAFwAIgBhACwAYgBcACIAXAAiACkAXAAiACwAIABcAG4AIAAgACAAIAAgACAAIAAgACAAIAAgACAAIAAgACAAIAAgACAAIAAgACAAIAAgACAAXAAiAJIhXAAiACwAIABcACIAtgBcACIAIAApAFwAbgAgACAAIAAgACAAIAAgACAAIAAgACAAIAAgACAAIAAgACAAIAAgACAAKQAsAFwAbgAgACAAIAAgAC8ALwAgACAAQwBoAGUAYwBrACAAaQBuAHAAdQB0AHMAIAAtACAATwBtAGkAdAB0AGUAZAAgAHIAZQBxAHUAaQByAGUAZAAgAGEAcgBnAHUAbQBlAG4AdABzAFwAbgAgACAAIAAgACAAIAAgAEgAZQBsAHAAPwAsACAAIAAgACAAIAAgACAAIAAgACAAIABPAFIAKAAgAEkAUwBPAE0ASQBUAFQARQBEACgAIABUAGUAeAB0ACkALABcAG4AIAAgACAAIAAgACAAIAAgACAAIAAgACAAIAAgACAAIAAgACAAIAAgACAAIAAgACAAIAAgACAAIABJAFMATwBNAEkAVABUAEUARAAoACAAQwBoAGEAcgBhAGMAdABlAHIAcwApAFwAbgAgACAAIAAgACAAIAAgACAAIAAgACAAIAAgACAAIAAgACAAIAAgACAAIAAgACAAIAApACwAXABuACAAIAAgACAALwAvACAAIABTAGUAdAAgAGQAZQBmAGEAdQBsAHQAcwBcAG4AIAAgACAAIAAgACAAIAAgAEMAaABhAHIAYQBjAHQAZQByAHMALAAgACAAIAAgACAAVABFAFgAVABTAFAATABJAFQAKAAgAEMAaABhAHIAYQBjAHQAZQByAHMALAAgAFwAIgAsAFwAIgAgACkALABcAG4AIAAgACAAIAAvAC8AIAAgAFAAcgBvAGMAZQBkAHUAcgBlAFwAbgAgACAAIAAgACAAIAAgACAAUgBlAHMAdQBsAHQALAAgACAAIAAgACAAIAAgACAAIABMAEUATgAoAFQAZQB4AHQAKQAgAC0AIABTAFUATQAoAEwARQBOACgAVABFAFgAVABTAFAATABJAFQAKAAgAFQAZQB4AHQALAAgAEMAaABhAHIAYQBjAHQAZQByAHMAKQApACk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TAHUAbQBSAG8AdwBzALsDXABuACAAIAAgACAARABFAFMAQwBSAEkAUABUAEkATwBOADoAKgAvAC8AKgAqAEcAZQB0ACAAdABoAGUAIAB0AG8AdABhAGwAIABmAG8AcgAgAGUAYQBjAGgAIAByAG8AdwAqAC8AXABuAFMAdQBt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VMAdQBtAFIAbwB3AHMAuwMoACAAQQByAHIAYQB5ACkAtgBcACIAIAAmAFwAbgAgACAAIAAgACAAIAAgACAAIAAgACAAIAAgACAAIAAgACAAIAAgACAAIAAgACAAIAAgACAAIAAgAFwAIgBEAEUAUwBDAFIASQBQAFQASQBPAE4AOgAgACAAIACSIUcAZQB0ACAAdABoAGUAIAB0AG8AdABhAGwAIABvAGYAIABlAGEAYwBoACAAcgBvAHc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0AG8AdABhAGwAbABlAGQAIABiAHkAIAByAG8Adw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FMAdQBtAFIAbwB3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FMAVQBNACg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FMAdQBtAEMAbwBsAHMAuwNcAG4AIAAgACAAIABEAEUAUwBDAFIASQBQAFQASQBPAE4AOgAqAC8ALwAqACoARwBlAHQAIAB0AGgAZQAgAHQAbwB0AGEAbAAgAGYAbwByACAAZQBhAGMAaAAgAEMAbwBsAHUAbQBuACoALwBcAG4AUwB1AG0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UwB1AG0AQwBvAGwAcwC7AygAIABBAHIAcgBhAHkAKQC2AFwAIgAgACYAXABuACAAIAAgACAAIAAgACAAIAAgACAAIAAgACAAIAAgACAAIAAgACAAIAAgACAAIAAgACAAIAAgACAAXAAiAEQARQBTAEMAUgBJAFAAVABJAE8ATgA6ACAAIAAgAJIhRwBlAHQAIAB0AGgAZQAgAHQAbwB0AGEAbAAgAG8AZgAgAGUAYQBjAGgAIABjAG8AbAB1AG0Abg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HQAbwB0AGEAbABsAGUAZAAgAGIAeQAgAGMAbwBsAHUAbQBu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UwB1AG0AQwBvAGw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UwBVAE0AK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QB2AGcAUgBvAHcAcwC7A1wAbgAgACAAIAAgAEQARQBTAEMAUgBJAFAAVABJAE8ATgA6ACoALwAvACoAKgBHAGUAdAAgAHQAaABlACAAYQB2AGUAcgBhAGcAZQAgAGYAbwByACAAZQBhAGMAaAAgAHIAbwB3ACoALwBcAG4AQQB2AGcAUgBvAHc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QB2AGcAUgBvAHcAcwC7AygAIABBAHIAcgBhAHkAKQC2AFwAIgAgACYAXABuACAAIAAgACAAIAAgACAAIAAgACAAIAAgACAAIAAgACAAIAAgACAAIAAgACAAIAAgACAAIAAgACAAXAAiAEQARQBTAEMAUgBJAFAAVABJAE8ATgA6ACAAIAAgAJIhRwBlAHQAIAB0AGgAZQAgAGEAdgBlAHIAYQBnAGUAIABvAGYAIABlAGEAYwBoACAAcgBvAHc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hAHYAZQByAGEAZwBlAGQAIABiAHkAIAByAG8Adw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EAdgBnAFIAbwB3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EAVgBFAFIAQQBHAEU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QB2AGcAQwBvAGwAcwC7A1wAbgAgACAAIAAgAEQARQBTAEMAUgBJAFAAVABJAE8ATgA6ACoALwAvACoAKgBHAGUAdAAgAHQAaABlACAAYQB2AGUAcgBhAGcAZQAgAGYAbwByACAAZQBhAGMAaAAgAEMAbwBsAHUAbQBuACoALwBcAG4AQQB2AGc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UwB1AG0AQwBvAGwAcwC7AygAIABBAHIAcgBhAHkAKQC2AFwAIgAgACYAXABuACAAIAAgACAAIAAgACAAIAAgACAAIAAgACAAIAAgACAAIAAgACAAIAAgACAAIAAgACAAIAAgACAAXAAiAEQARQBTAEMAUgBJAFAAVABJAE8ATgA6ACAAIAAgAJIhRwBlAHQAIAB0AGgAZQAgAGEAdgBlAHIAYQBnAGUAIABmAG8AcgAgAGUAYQBjAGgAIABDAG8AbAB1AG0Abg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EAdgBlAHIAYQBnAGUAZAAgAGIAeQAgAGMAbwBsAHUAbQBu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QQB2AGcAQwBvAGw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QQBWAEUAUgBBAEcARQAo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NAGkAbgBSAG8AdwBzALsDXABuACAAIAAgACAARABFAFMAQwBSAEkAUABUAEkATwBOADoAKgAvAC8AKgAqAEcAZQB0ACAAdABoAGUAIABtAGkAbgBpAG0AdQBtACAAZgBvAHIAIABlAGEAYwBoACAAcgBvAHcAKgAvAFwAbgBNAGkAbgBSAG8Adw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kAbgBSAG8AdwBzALsDKAAgAEEAcgByAGEAeQApALYAXAAiACAAJgBcAG4AIAAgACAAIAAgACAAIAAgACAAIAAgACAAIAAgACAAIAAgACAAIAAgACAAIAAgACAAIAAgACAAIABcACIARABFAFMAQwBSAEkAUABUAEkATwBOADoAIAAgACAAkiFHAGUAdAAgAHQAaABlACAAbQBpAG4AaQBtAHUAbQAgAG8AZgAgAGUAYQBjAGgAIAByAG8Adw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aQBuAGkAbQB1AG0AIABiAHkAIAByAG8Adw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0AaQBuAFIAbwB3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0ASQBOACg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0AaQBuAEMAbwBsAHMAuwNcAG4AIAAgACAAIABEAEUAUwBDAFIASQBQAFQASQBPAE4AOgAqAC8ALwAqACoARwBlAHQAIAB0AGgAZQAgAG0AaQBuAGkAbQB1AG0AIABmAG8AcgAgAGUAYQBjAGgAIABDAG8AbAB1AG0AbgAqAC8AXABuAE0AaQBuAEMAbwBs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0AaQBuAEMAbwBsAHMAuwMoACAAQQByAHIAYQB5ACkAtgBcACIAIAAmAFwAbgAgACAAIAAgACAAIAAgACAAIAAgACAAIAAgACAAIAAgACAAIAAgACAAIAAgACAAIAAgACAAIAAgAFwAIgBEAEUAUwBDAFIASQBQAFQASQBPAE4AOgAgACAAIACSIUcAZQB0ACAAdABoAGUAIABtAGkAbgBpAG0AdQBtACAAZgBvAHIAIABlAGEAYwBoACAAQwBvAGwAdQBtAG4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mAGkAbgBkACAAdABoAGUAIABtAGkAbgB1AG0AdQBtACAAYgB5ACAAYwBvAGwAdQBtAG4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NAGkAbgBDAG8AbA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NAEkATgAo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NAGEAeABSAG8AdwBzALsDXABuACAAIAAgACAARABFAFMAQwBSAEkAUABUAEkATwBOADoAKgAvAC8AKgAqAEcAZQB0ACAAdABoAGUAIABtAGEAeABpAG0AdQBtACAAZgBvAHIAIABlAGEAYwBoACAAcgBvAHcAKgAvAFwAbgBNAGEAeABSAG8Adw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EAeABSAG8AdwBzALsDKAAgAEEAcgByAGEAeQApALYAXAAiACAAJgBcAG4AIAAgACAAIAAgACAAIAAgACAAIAAgACAAIAAgACAAIAAgACAAIAAgACAAIAAgACAAIAAgACAAIABcACIARABFAFMAQwBSAEkAUABUAEkATwBOADoAIAAgACAAkiFHAGUAdAAgAHQAaABlACAAbQBhAHgAaQBtAHUAbQAgAG8AZgAgAGUAYQBjAGgAIAByAG8AdwC2AFwAIgAgACYAIABcAG4AIAAgACAAIAAgACAAIAAgACAAIAAgACAAIAAgACAAIAAgACAAIAAgACAAIAAgACAAIAAgACAAIABcACIAVwBFAEIAUABBAEcARQA6ACAAIAAgACAAIAAgACAAkiFoAHQAdABwAHMAOgAvAC8AZwBpAHQAaAB1AGIALgBjAG8AbQAvAHIAeQBhAG4AZAB1AGcAdQBpAGQALwBOAGEAYgBsAGEAtgBcACIAIAAmAFwAbgAgACAAIAAgACAAIAAgACAAIAAgACAAIAAgACAAIAAgACAAIAAgACAAIAAgACAAIAAgACAAIAAgAFwAIgBWAEUAUgBTAEkATwBOADoAIAAgACAAIAAgACAAIACSITEAO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YQB4AGkAbQB1AG0AIABiAHkAIAByAG8Adw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0AYQB4AFIAbwB3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0AQQBYACg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0AYQB4AEMAbwBsAHMAuwNcAG4AIAAgACAAIABEAEUAUwBDAFIASQBQAFQASQBPAE4AOgAqAC8ALwAqACoARwBlAHQAIAB0AGgAZQAgAG0AYQB4AGkAbQB1AG0AIABmAG8AcgAgAGUAYQBjAGgAIABDAG8AbAB1AG0AbgAqAC8AXABuAE0AYQB4AEMAbwBs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0AYQB4AEMAbwBsAHMAuwMoACAAQQByAHIAYQB5ACkAtgBcACIAIAAmAFwAbgAgACAAIAAgACAAIAAgACAAIAAgACAAIAAgACAAIAAgACAAIAAgACAAIAAgACAAIAAgACAAIAAgAFwAIgBEAEUAUwBDAFIASQBQAFQASQBPAE4AOgAgACAAIACSIUcAZQB0ACAAdABoAGUAIABtAGkAbgBpAG0AdQBtACAAZgBvAHIAIABlAGEAYwBoACAAQwBvAGwAdQBtAG4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mAGkAbgBkACAAdABoAGUAIABtAGEAeABpAG0AdQBtACAAYgB5ACAAYwBvAGwAdQBtAG4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NAGEAeABDAG8AbA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NAEEAWAAo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DAG8AdQBuAHQAQQBSAG8AdwBzALsDXABuACAAIAAgACAARABFAFMAQwBSAEkAUABUAEkATwBOADoAKgAvAC8AKgAqAEMAbwB1AG4AdAAgAGUAdgBlAHIAeQB0AGgAaQBuAGcAIABpAG4AIABlAGEAYwBoACAAcgBvAHcAKgAvAFwAbgBDAG8AdQBuAHQAQQBSAG8Adw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DAG8AdQBuAHQAQQBSAG8AdwBzALsDKAAgAEEAcgByAGEAeQApALYAXAAiACAAJgBcAG4AIAAgACAAIAAgACAAIAAgACAAIAAgACAAIAAgACAAIAAgACAAIAAgACAAIAAgACAAIAAgACAAIABcACIARABFAFMAQwBSAEkAUABUAEkATwBOADoAIAAgACAAkiFDAG8AdQBuAHQAIABlAHYAZQByAHkAdABoAGkAbgBnACAAaQBuACAAZQBhAGMAaAAgAHIAbwB3ALYAXAAiACAAJgAgAFwAbgAgACAAIAAgACAAIAAgACAAIAAgACAAIAAgACAAIAAgACAAIAAgACAAIAAgACAAIAAgACAAIAAgAFwAIgBXAEUAQgBQAEEARwBFADoAIAAgACAAIAAgACAAIACSIWgAdAB0AHAAcwA6AC8ALwBnAGkAdABoAHUAYgAuAGMAbwBtAC8AcgB5AGEAbgBkAHUAZwB1AGkAZAAvAE4AYQBiAGwAYQC2AFwAIgAgACYAXABuACAAIAAgACAAIAAgACAAIAAgACAAIAAgACAAIAAgACAAIAAgACAAIAAgACAAIAAgACAAIAAgACAAXAAiAFYARQBSAFMASQBPAE4AOgAgACAAIAAgACAAIAAgAJIhMQA4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YwBvAHUAbgB0AGUAZAAuALYAXAAiACAAJgAgAFwAbgAgACAAIAAgACAAIAAgACAAIAAgACAAIAAgACAAIAAgACAAIAAgACAAIAAgACAAIAAgACAAIAAgAFwAIgBFAFgAQQBNAFAATABFAFMAOgAgACAAIAAgACAAIACSIUYAbwByAG0AdQBsAGEAIAAoAG4AYQBiAGwAYQAuAGUAIABpAHMAIABhAHMAcwB1AG0AZQBkACAAdABvACAAYgBlACAAdABoAGUAIABtAG8AZAB1AGwAZQAnAHMAIABuAGEAbQBlACkAtgBcACIAIAAmAFwAbgAgACAAIAAgACAAIAAgACAAIAAgACAAIAAgACAAIAAgACAAIAAgACAAIAAgACAAIAAgACAAIAAgACAAIAAgACAAIAAgACAAIAAgACAAIAAgACAAIAAgAFwAIgCSIT0AbgBhAGIAbABhAC4AZQAuAEMAbwB1AG4AdABBAFIAbwB3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QwBPAFUATgBUAEEAKAAg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DAG8AdQBuAHQAQQBDAG8AbABzALsDXABuACAAIAAgACAARABFAFMAQwBSAEkAUABUAEkATwBOADoAKgAvAC8AKgAqAEMAbwB1AG4AdAAgAGUAdgBlAHIAeQB0AGgAaQBuAGcAIABpAG4AIABlAGEAYwBoACAAcgBvAHcAKgAvAFwAbgBDAG8AdQBuAHQAQQ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DAG8AdQBuAHQAQQBDAG8AbABzALsDKAAgAEEAcgByAGEAeQAgACkAtgBcACIAIAAmAFwAbgAgACAAIAAgACAAIAAgACAAIAAgACAAIAAgACAAIAAgACAAIAAgACAAIAAgACAAIAAgACAAIAAgAFwAIgBEAEUAUwBDAFIASQBQAFQASQBPAE4AOgAgACAAIACSIUMAbwB1AG4AdAAgAGUAdgBlAHIAeQB0AGgAaQBuAGcAIABpAG4AIABlAGEAYwBoACAAYwBvAGwAdQBtAG4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jAG8AdQBuAHQAZQBkAC4AtgBcACIAIAAmACAAXABuACAAIAAgACAAIAAgACAAIAAgACAAIAAgACAAIAAgACAAIAAgACAAIAAgACAAIAAgACAAIAAgACAAXAAiAEUAWABBAE0AUABMAEUAUwA6ACAAIAAgACAAIAAgAJIhRgBvAHIAbQB1AGwAYQAgACgAbgBhAGIAbABhAC4AZQAgAGkAcwAgAGEAcwBzAHUAbQBlAGQAIAB0AG8AIABiAGUAIAB0AGgAZQAgAG0AbwBkAHUAbABlACcAcwAgAG4AYQBtAGUAKQC2AFwAIgAgACYAXABuACAAIAAgACAAIAAgACAAIAAgACAAIAAgACAAIAAgACAAIAAgACAAIAAgACAAIAAgACAAIAAgACAAIAAgACAAIAAgACAAIAAgACAAIAAgACAAIAAgACAAXAAiAJIhPQBuAGEAYgBsAGEALgBlAC4AQwBvAHUAbgB0AEEAQwBvAGwAcwC7AygAIABDAEgATwBPAFMARQAoACAAUgBBAE4ARABBAFIAUgBBAFkAKAAgADUALAAgADUALAAgADEALAAgADUAKQAsAFwAIgBcACIAQQBcACIAXAAiACwAIABcACIAXAAiAEIAXAAiAFwAIgAsACAAXAAiAFwAIgBcACIAXAAiACwAIAAxACwAIAAy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DAE8AVQBOAFQAQQAoACA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SAG8AdwBzALsDXABuACAAIAAgACAARABFAFMAQwBSAEkAUABUAEkATwBOADoAKgAvAC8AKgAqAEMAbwB1AG4AdAAgAG4AdQBtAGIAZQByAHMAIABpAG4AIABlAGEAYwBoACAAcgBvAHcAKgAvAFwAbgBDAG8AdQBuAHQAUgBvAHc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wBvAHUAbgB0AFIAbwB3AHMAuwMoACAAQQByAHIAYQB5ACkAtgBcACIAIAAmAFwAbgAgACAAIAAgACAAIAAgACAAIAAgACAAIAAgACAAIAAgACAAIAAgACAAIAAgACAAIAAgACAAIAAgAFwAIgBEAEUAUwBDAFIASQBQAFQASQBPAE4AOgAgACAAIACSIUMAbwB1AG4AdAAgAG4AdQBtAGIAZQByAHMAIABpAG4AIABlAGEAYwBoACAAcgBvAHc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bgB1AG0AYgBlAHIAcwAgAHQAbwAgAGIAZQAgAGMAbwB1AG4AdABlAGQ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DAG8AdQBuAHQAUgBvAHcAcwC7AygAIABDAEgATwBPAFMARQAoACAAUgBBAE4ARABBAFIAUgBBAFkAKAAgADUALAAgADUALAAgADEALAAgADUAKQAsAFwAIgBcACIAQQBcACIAXAAiACwAIABcACIAXAAiAEIAXAAiAFwAIgAsACAAXAAiAFwAIgBcACIAXAAiACwAIAAxACwAIAAy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DAE8AVQBOAFQAKAAg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DAG8AdQBuAHQAQwBvAGwAcwC7A1wAbgAgACAAIAAgAEQARQBTAEMAUgBJAFAAVABJAE8ATgA6ACoALwAvACoAKgBDAG8AdQBuAHQAIABuAHUAbQBiAGUAcgBzACAAaQBuACAAZQBhAGMAaAAgAHIAbwB3ACoALwBcAG4AQwBvAHUAbgB0AEMAbwBs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MAbwB1AG4AdABDAG8AbABzALsDKAAgAEEAcgByAGEAeQAsACkAtgBcACIAIAAmAFwAbgAgACAAIAAgACAAIAAgACAAIAAgACAAIAAgACAAIAAgACAAIAAgACAAIAAgACAAIAAgACAAIAAgAFwAIgBEAEUAUwBDAFIASQBQAFQASQBPAE4AOgAgACAAIACSIUMAbwB1AG4AdAAgAG4AdQBtAGIAZQByAHMAIABpAG4AIABlAGEAYwBoACAAYwBvAGwAdQBtAG4AtgBcACIAIAAmACAAXABuACAAIAAgACAAIAAgACAAIAAgACAAIAAgACAAIAAgACAAIAAgACAAIAAgACAAIAAgACAAIAAgACAAXAAiAFcARQBCAFAAQQBHAEUAOgAgACAAIAAgACAAIAAgAJIhaAB0AHQAcABzADoALwAvAGcAaQB0AGgAdQBiAC4AYwBvAG0ALwByAHkAYQBuAGQAdQBnAHUAaQBkAC8ATgBhAGIAbABhALYAXAAiACAAJgBcAG4AIAAgACAAIAAgACAAIAAgACAAIAAgACAAIAAgACAAIAAgACAAIAAgACAAIAAgACAAIAAgACAAIABcACIAVgBFAFIAUwBJAE8ATgA6ACAAIAAgACAAIAAgACAAkiExADg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bgB1AG0AYgBlAHIAcwAgAHQAbwAgAGIAZQAgAGMAbwB1AG4AdABlAGQALgC2AFwAIgAgACYAIABcAG4AIAAgACAAIAAgACAAIAAgACAAIAAgACAAIAAgACAAIAAgACAAIAAgACAAIAAgACAAIAAgACAAIABcACIARQBYAEEATQBQAEwARQBTADoAIAAgACAAIAAgACAAkiFGAG8AcgBtAHUAbABhACAAKABuAGEAYgBsAGEALgBlACAAaQBzACAAYQBzAHMAdQBtAGUAZAAgAHQAbwAgAGIAZQAgAHQAaABlACAAbQBvAGQAdQBsAGUAJwBzACAAbgBhAG0AZQApALYAXAAiACAAJgBcAG4AIAAgACAAIAAgACAAIAAgACAAIAAgACAAIAAgACAAIAAgACAAIAAgACAAIAAgACAAIAAgACAAIAAgACAAIAAgACAAIAAgACAAIAAgACAAIAAgACAAIABcACIAkiE9AG4AYQBiAGwAYQAuAGUALgBDAG8AdQBuAHQAQwBvAGwAcwC7AygAIABDAEgATwBPAFMARQAoACAAUgBBAE4ARABBAFIAUgBBAFkAKAAgADUALAAgADUALAAgADEALAAgADUAKQAsAFwAIgBcACIAQQBcACIAXAAiACwAIABcACIAXAAiAEIAXAAiAFwAIgAsACAAXAAiAFwAIgBcACIAXAAiACwAIAAxACwAIAAy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DAE8AVQBOAFQAKAAg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AgACAAIAAgAEkAcwBCAGUAdAB3AGUAZQBuALsDXABuACAAIAAgACAARABFAFMAQwBSAEkAUABUAEkATwBOADoAKgAvAC8AKgAqAEQAZQB0AGUAcgBtAGkAbgBlACAAaQBmACAAYQAgAHYAYQBsAHUAZQAgAGkAcwAgAGIAZQB0AHcAZQBlAG4AIABhACAAbABvAHcAZQByACAAYQBuAGQAIAB1AHAAcABlAHIAIABsAGkAbQBpAHQAKgAvAFwAbgBJAHMAQgBlAHQAdwBlAGUAbgC7AyAAPQAgAEwAQQBNAEIARABBACgAXABuAC8ALwAgACAAUABhAHIAYQBtAGUAdABlAHIAIABEAGUAYwBsAGEAcgBhAHQAaQBvAG4AcwBcAG4AIAAgACAAIABbAFYAYQBsAHUAZQBdACwAXABuACAAIAAgACAAWwBMAG8AdwBdACwAXABuACAAIAAgACAAWwBIAGkAXQAsAFwAbgAgACAAIAAgAFsASQBuAGMAbAB1AHMAaQB2AGUAXQAsAFwAbgAvAC8AIAAgAEgAZQBsAHAAXABuACAAIAAgACAATABFAFQAKABIAGUAbABwACwAIAAgACAAIAAgACAAIAAgACAAIAAgAFQAUgBJAE0AKABUAEUAWABUAFMAUABMAEkAVAAoACAAXABuACAAIAAgACAAIAAgACAAIAAgACAAIAAgACAAIAAgACAAIAAgACAAIAAgACAAIAAgACAAIAAgACAAXAAiAEYAVQBOAEMAVABJAE8ATgA6ACAAIAAgACAAIAAgAJIhSQBzAEIAZQB0AHcAZQBlAG4AuwMoACAAVgBhAGwAdQBlACwAIABMAG8AdwAsACAASABpACwAIABbAEkAbgBjAGwAdQBzAGkAdgBlAF0AKQC2AFwAIgAgACYAXABuACAAIAAgACAAIAAgACAAIAAgACAAIAAgACAAIAAgACAAIAAgACAAIAAgACAAIAAgACAAIAAgACAAXAAiAEQARQBTAEMAUgBJAFAAVABJAE8ATgA6ACAAIAAgAJIhRABlAHQAZQByAG0AaQBuAGUAIABpAGYAIABhACAAdgBhAGwAdQBlACAAaQBzACAAYgBlAHQAdwBlAGUAbgAgAGEAIABsAG8AdwBlAHIAIABhAG4AZAAgAHUAcABwAGUAcgAgAGwAaQBtAGkAdAAuALYAXAAiACAAJgAgAFwAbgAgACAAIAAgACAAIAAgACAAIAAgACAAIAAgACAAIAAgACAAIAAgACAAIAAgACAAIAAgACAAIAAgAFwAIgBQAEEAUgBBAE0ARQBUAEUAUgBTADoAIAAgACAAIACSIbYAXAAiACAAJgAgAFwAbgAgACAAIAAgACAAIAAgACAAIAAgACAAIAAgACAAIAAgACAAIAAgACAAIAAgACAAIAAgACAAIAAgAFwAIgBWAGEAbAB1AGUAIAAgACAAIAAgACAAIAAgACAAIACSISgAUgBlAHEAdQBpAHIAZQBkACkAIABBACAAdgBhAGwAdQBlACAAbwByACAAYQByAHIAYQB5ACAAbwBmACAAdgBhAGwAdQBlAHMAIAB0AG8AIABjAG8AbQBwAGEAcgBlAC4AtgBcACIAIAAmACAAXABuACAAIAAgACAAIAAgACAAIAAgACAAIAAgACAAIAAgACAAIAAgACAAIAAgACAAIAAgACAAIAAgACAAXAAiAEwAbwAgACAAIAAgACAAIAAgACAAIAAgACAAIAAgAJIhKABSAGUAcQB1AGkAcgBlAGQAKQAgAFQAaABlACAAbABvAHcAZQByACAAbABpAG0AaQB0ACAAdABoAGEAdAAgAHQAaABlACAAdgBhAGwAdQBlACAAbQB1AHMAdAAgAGIAZQAgAGcAcgBlAGEAdABlAHIAIAB0AGgAYQBuALYAXAAiACAAJgBcAG4AIAAgACAAIAAgACAAIAAgACAAIAAgACAAIAAgACAAIAAgACAAIAAgACAAIAAgACAAIAAgACAAIABcACIASABpACAAIAAgACAAIAAgACAAIAAgACAAIAAgACAAkiEoAFIAZQBxAHUAaQByAGUAZAApACAAVABoAGUAIABsAG8AdwBlAHIAIABsAGkAbQBpAHQAIAB0AGgAYQB0ACAAdABoAGUAIAB2AGEAbAB1AGUAIABtAHUAcwB0ACAAYgBlACAAbABlAHMAcwAgAHQAaABhAG4AtgBcACIAIAAmAFwAbgAgACAAIAAgACAAIAAgACAAIAAgACAAIAAgACAAIAAgACAAIAAgACAAIAAgACAAIAAgACAAIAAgAFwAIgBJAG4AYwBsAHUAcwBpAHYAZQAgACAAIAAgACAAIACSISgATwBwAHQAaQBvAG4AYQBsACkAIABJAGYAIABzAGUAdAAgAHQAbwAgAFQAUgBVAEUAIAAoAGQAZQBmAGEAdQBsAHQAKQAgAHQAaABlACAAdgBhAGwAdQBlACAAYwBhAG4AIABiAGUAIABlAHEAdQBhAGwAIAB0AG8AIABMAG8AIABhAG4AZAAvAG8AcgAgAEgAaQC2AFwAIgAgACYAXABuACAAIAAgACAAIAAgACAAIAAgACAAIAAgACAAIAAgACAAIAAgACAAIAAgACAAIAAgACAAIAAgACAAXAAiAJIhtgBcACIAIAAmAFwAbgAgACAAIAAgACAAIAAgACAAIAAgACAAIAAgACAAIAAgACAAIAAgACAAIAAgACAAIAAgACAAIAAgAFwAIgBFAFgAQQBNAFAATABFAFMAIAAgACAAIAAgACAAIAA6AJIhtgBcACIAIAAmACAAXABuACAAIAAgACAAIAAgACAAIAAgACAAIAAgACAAIAAgACAAIAAgACAAIAAgACAAIAAgACAAIAAgACAAXAAiAFIAZQBzAHUAbAB0ACAAIAAgACAAIAAgACAAIAAgAJIhRgBvAHIAbQB1AGwAYQC2AFwAIgAgACYAXABuACAAIAAgACAAIAAgACAAIAAgACAAIAAgACAAIAAgACAAIAAgACAAIAAgACAAIAAgACAAIAAgACAAXAAiAEYAQQBMAFMARQAgACAAIAAgACAAIAAgACAAIAAgAJIhPQBJAHMAQgBlAHQAdwBlAGUAbgC7AygAMQAsACAAMgAsACAANAApALYAXAAiACAAJgAgAFwAbgAgACAAIAAgACAAIAAgACAAIAAgACAAIAAgACAAIAAgACAAIAAgACAAIAAgACAAIAAgACAAIAAgAFwAIgBUAFIAVQBFACAAIAAgACAAIAAgACAAIAAgACAAIACSIT0ASQBzAEIAZQB0AHcAZQBlAG4AuwMoADIALAAgADIALAAgADQAKQC2AFwAIgAgACYAIABcAG4AIAAgACAAIAAgACAAIAAgACAAIAAgACAAIAAgACAAIAAgACAAIAAgACAAIAAgACAAIAAgACAAIABcACIARgBBAEwAUwBFACAAIAAgACAAIAAgACAAIAAgACAAkiE9AEkAcwBCAGUAdAB3AGUAZQBuALsDKAAyACwAIAAyACwAIAA0ACwAIABGAEEATABTAEU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CkALABcAG4AIAAgACAAIAAgACAAIAAgACAAIAAgACAAIAAgACAAIAAgACAAIAAgACAAIAAgACAAIAAgACAAIABJAFMATwBNAEkAVABUAEUARAAoACAATABvAHcAKQAsAFwAbgAgACAAIAAgACAAIAAgACAAIAAgACAAIAAgACAAIAAgACAAIAAgACAAIAAgACAAIAAgACAAIAAgAEkAUwBPAE0ASQBUAFQARQBEACgAIABIAGkAKQBcAG4AIAAgACAAIAAgACAAIAAgACAAIAAgACAAIAAgACAAIAAgACAAIAAgACAAIAAgACAAKQAsAFwAbgAgACAAIAAgAC8ALwAgACAAUAByAG8AYwBlAGQAdQByAGUAXABuACAAIAAgACAAIAAgACAAIABSAGUAcwB1AGwAdAAsACAAIAAgACAAIAAgACAAIAAgAEkARgAoACAASQBuAGMAbAB1AHMAaQB2AGUALAAgAFwAbgAgACAAIAAgACAAIAAgACAAIAAgACAAIAAgACAAIAAgACAAIAAgACAAIAAgACAAIAAgACAAIAAgACgAVgBhAGwAdQBlACAAPgA9ACAATABvAHcAKQAgACoAIAAoAFYAYQBsAHUAZQAgADwAPQAgAEgAaQApACAAPQAgADEALAAgAFwAbgAgACAAIAAgACAAIAAgACAAIAAgACAAIAAgACAAIAAgACAAIAAgACAAIAAgACAAIAAgACAAIAAgACgAVgBhAGwAdQBlACAAPgAgAEwAbwB3ACkAIAAqACAAKABWAGEAbAB1AGUAIAA8ACAASABpACkAIAA9ACAAMQBcAG4AIAAgACAAIAAgACAAIAAgACAAIAAgACAAIAAgACAAIAAgACAAIAAgACAAIAAgACA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IAAgACAAIABJAHMASQBuAEwAaQBzAHQAuwNcAG4AIAAgACAAIABEAEUAUwBDAFIASQBQAFQASQBPAE4AOgAqAC8ALwAqACoARABlAHQAZQByAG0AaQBuAGUAIABpAGYAIABhACAAdgBhAGwAdQBlACAAaQBzACAAYgBlAHQAdwBlAGUAbgAgAGEAIABsAG8AdwBlAHIAIABhAG4AZAAgAHUAcABwAGUAcgAgAGwAaQBtAGkAdAAqAC8AXABuAEkAcwBJAG4ATABpAHMAdAC7AyAAPQAgAEwAQQBNAEIARABBACgAXABuAC8ALwAgACAAUABhAHIAYQBtAGUAdABlAHIAIABEAGUAYwBsAGEAcgBhAHQAaQBvAG4AcwBcAG4AIAAgACAAIABbAFYAYQBsAHUAZQBdACwAXABuACAAIAAgACAAWwBMAEkAUwBUAF0ALABcAG4ALwAvACAAIABIAGUAbABwAFwAbgAgACAAIAAgAEwARQBUACgASABlAGwAcAAsACAAIAAgACAAIAAgACAAIAAgACAAIABUAFIASQBNACgAVABFAFgAVABTAFAATABJAFQAKAAgAFwAbgAgACAAIAAgACAAIAAgACAAIAAgACAAIAAgACAAIAAgACAAIAAgACAAIAAgACAAIAAgACAAIAAgAFwAIgBGAFUATgBDAFQASQBPAE4AOgAgACAAIAAgACAAIACSIUkAcwBJAG4ATABpAHMAdAC7AygAIABWAGEAbAB1AGUALAAgAEwAaQBzAHQAKQC2AFwAIgAgACYAXABuACAAIAAgACAAIAAgACAAIAAgACAAIAAgACAAIAAgACAAIAAgACAAIAAgACAAIAAgACAAIAAgACAAXAAiAEQARQBTAEMAUgBJAFAAVABJAE8ATgA6ACAAIAAgAJIhRABlAHQAZQByAG0AaQBuAGUAIABpAGYAIABhACAAdgBhAGwAdQBlACAAaQBzACAAbwBuAGUAIABvAGYAIABhACAAbABpAHMAdAAgAG8AZgAgAGkAdABlAG0AcwAuALYAXAAiACAAJgAgAFwAbgAgACAAIAAgACAAIAAgACAAIAAgACAAIAAgACAAIAAgACAAIAAgACAAIAAgACAAIAAgACAAIAAgAFwAIgBQAEEAUgBBAE0ARQBUAEUAUgBTADoAIAAgACAAIACSIbYAXAAiACAAJgAgAFwAbgAgACAAIAAgACAAIAAgACAAIAAgACAAIAAgACAAIAAgACAAIAAgACAAIAAgACAAIAAgACAAIAAgAFwAIgBWAGEAbAB1AGUAIAAgACAAIAAgACAAIAAgACAAIACSISgAUgBlAHEAdQBpAHIAZQBkACkAIABBACAAdgBhAGwAdQBlACAAbwByACAAYQByAHIAYQB5ACAAbwBmACAAdgBhAGwAdQBlAHMAIAB0AG8AIABjAG8AbQBwAGEAcgBlAC4AtgBcACIAIAAmACAAXABuACAAIAAgACAAIAAgACAAIAAgACAAIAAgACAAIAAgACAAIAAgACAAIAAgACAAIAAgACAAIAAgACAAXAAiAEwAaQBzAHQAIAAgACAAIAAgACAAIAAgACAAIAAgAJIhKABSAGUAcQB1AGkAcgBlAGQAKQAgAEEAIABsAGkAcwB0ACAAbwBmACAAdgBhAGwAdQBlAHMAIAB0AG8AIABjAGgAZQBjAGsAtgBcACIAIAAmAFwAbgAgACAAIAAgACAAIAAgACAAIAAgACAAIAAgACAAIAAgACAAIAAgACAAIAAgACAAIAAgACAAIAAgAFwAIgCSIbYAXAAiACAAJgBcAG4AIAAgACAAIAAgACAAIAAgACAAIAAgACAAIAAgACAAIAAgACAAIAAgACAAIAAgACAAIAAgACAAIABcACIARQBYAEEATQBQAEwARQBTACAAIAAgACAAIAAgACAAOgCSIbYAXAAiACAAJgAgAFwAbgAgACAAIAAgACAAIAAgACAAIAAgACAAIAAgACAAIAAgACAAIAAgACAAIAAgACAAIAAgACAAIAAgAFwAIgBSAGUAcwB1AGwAdAAgACAAIAAgACAAIAAgACAAIACSIUYAbwByAG0AdQBsAGEAtgBcACIAIAAmAFwAbgAgACAAIAAgACAAIAAgACAAIAAgACAAIAAgACAAIAAgACAAIAAgACAAIAAgACAAIAAgACAAIAAgAFwAIgBGAEEATABTAEUAIAAgACAAIAAgACAAIAAgACAAIACSIT0ASQBzAEkAbgBMAGkAcwB0ALsDKAAxACwAIAB7ADIALAAzACwANAB9ACkAtgBcACIAIAAmACAAXABuACAAIAAgACAAIAAgACAAIAAgACAAIAAgACAAIAAgACAAIAAgACAAIAAgACAAIAAgACAAIAAgACAAXAAiAFQAUgBVAEUAIAAgACAAIAAgACAAIAAgACAAIAAgAJIhPQBJAHMASQBuAEwAaQBzAHQAuwMoADEALAAgAHsAMQAsADMALAA1AH0AKQC2AFwAIgAgACY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ApACwAXABuACAAIAAgACAAIAAgACAAIAAgACAAIAAgACAAIAAgACAAIAAgACAAIAAgACAAIAAgACAAIAAgACAASQBTAE8ATQBJAFQAVABFAEQAKAAgAEwASQBTAFQAKQBcAG4AIAAgACAAIAAgACAAIAAgACAAIAAgACAAIAAgACAAIAAgACAAIAAgACAAIAAgACAAKQAsAFwAbgAgACAAIAAgAC8ALwAgACAAUAByAG8AYwBlAGQAdQByAGUAXABuACAAIAAgACAAIAAgACAAIABSAGUAcwB1AGwAdAAsACAAIAAgACAAIAAgACAAIAAgAE4ATwBUACgAIABJAFMATgBBACgAIABNAEEAVABDAEgAKAAgAFYAYQBsAHUAZQAsACAATABpAHMAdAAsACAAMAApACk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UgBhAG4AZwBlAFQAbwBEAEEAuwNcAG4AIAAgACAAIABEAEUAUwBDAFIASQBQAFQASQBPAE4AOgAqAC8ALwAqACoAQwBvAG4AdgBlAHIAdAAgAGEAIAByAGEAbgBnAGUAIAByAGUAZgBlAHIAZQBuAGMAZQAgAHQAbwAgAGEAIABkAHkAbgBhAG0AaQBjACAAYQByAHIAYQB5ACAAcgBlAGYAZQByAGUAbgBjAGUAKgAvAFwAbgBSAGEAbgBnAGUAVABvAEQAQQC7AyAAPQAgAEwAQQBNAEIARABBACgAXABuAC8ALwAgACAAUABhAHIAYQBtAGUAdABlAHIAIABEAGUAYwBsAGEAcgBhAHQAaQBvAG4AcwBcAG4AIAAgACAAIABbAFIAYQBuAGcAZQBdACwAXABuACAAIAAgACAAWwBSAG8AdwBzAF0ALABcAG4AIAAgACAAIABbAEMAbwBsAHUAbQBuAHM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IAAgACAAIACSIVIAYQBuAGcAZQBUAG8ARABBALsDKABSAGEAbgBnAGUALAAgAFsAUgBvAHcAcwBdACwAIABbAEMAbwBsAHUAbQBuAHMAXQApALYAXAAiACAAJgBcAG4AIAAgACAAIAAgACAAIAAgACAAIAAgACAAIAAgACAAIAAgACAAIAAgACAAIAAgACAAIAAgACAAIABcACIARABFAFMAQwBSAEkAUABUAEkATwBOADoAIAAgACAAIAAgACAAIACSIUMAbwBuAHYAZQByAHQAIABhACAAcgBhAG4AZwBlACAAcgBlAGYAZQByAGUAbgBjAGUAIAB0AG8AIABhACAAZAB5AG4AYQBtAGkAYwAgAGEAcgByAGEAeQAgAHIAZQBmAGUAcgBlAG4AYwBlAC4AtgBcACIAIAAmACAAXABuACAAIAAgACAAIAAgACAAIAAgACAAIAAgACAAIAAgACAAIAAgACAAIAAgACAAIAAgACAAIAAgACAAXAAiAFcARQBCAFMASQBUAEUAOgAgACAAIAAgACAAIAAgACAAIAAgACAAkiFoAHQAdABwAHMAOgAvAC8AZwBpAHQAaAB1AGIALgBjAG8AbQAvAHIAeQBhAG4AZAB1AGcAdQBpAGQALwBOAGEAYgBsAGEAtgBcACIAIAAmAFwAbgAgACAAIAAgACAAIAAgACAAIAAgACAAIAAgACAAIAAgACAAIAAgACAAIAAgACAAIAAgACAAIAAgAFwAIgBQAEEAUgBBAE0ARQBUAEUAUgBTADoAIAAgACAAIAAgACAAIAAgAJIhtgBcACIAIAAmACAAXABuACAAIAAgACAAIAAgACAAIAAgACAAIAAgACAAIAAgACAAIAAgACAAIAAgACAAIAAgACAAIAAgACAAXAAiAFIAYQBuAGcAZQAgACAAIAAgACAAIAAgACAAIAAgACAAIAAgACAAkiEoAFIAZQBxAHUAaQByAGUAZAApACAAQQAgAHIAZQBmAGUAcgBlAG4AYwBlACAAdABvACAAdABoAGUAIAByAGEAbgBnAGUAIAB0AG8AIABiAGUAIABjAG8AbgB2AGUAcgB0AGUAZAAuALYAXAAiACAAJgBcAG4AIAAgACAAIAAgACAAIAAgACAAIAAgACAAIAAgACAAIAAgACAAIAAgACAAIAAgACAAIAAgACAAIABcACIAUgBvAHcAcwAgACAAIAAgACAAIAAgACAAIAAgACAAIAAgACAAIACSISgATwBwAHQAaQBvAG4AYQBsACkAIABOAHUAbQBiAGUAcgAgAG8AZgAgAHIAbwB3AHMAIABmAG8AcgAgAHQAaABlACAAZAB5AG4AYQBtAGkAYwAgAGEAcgByAGEAeQAuACAARABlAGYAYQB1AGwAdABzACAAdABvACAAMQAuALYAXAAiACAAJgBcAG4AIAAgACAAIAAgACAAIAAgACAAIAAgACAAIAAgACAAIAAgACAAIAAgACAAIAAgACAAIAAgACAAIABcACIAQwBvAGwAdQBtAG4AcwAgACAAIAAgACAAIAAgACAAIAAgACAAIACSISgATwBwAHQAaQBvAG4AYQBsACkAIABOAHUAbQBiAGUAcgAgAG8AZgAgAGMAbwBsAHUAbQBuAHMAIABmAG8AcgAgAHQAaABlACAAZAB5AG4AYQBtAGkAYwAgAGEAcgByAGEAeQAuACAARABlAGYAYQB1AGwAdABzACAAdABvACAAMQAuALYAXAAiACAAJgBcAG4AIAAgACAAIAAgACAAIAAgACAAIAAgACAAIAAgACAAIAAgACAAIAAgACAAIAAgACAAIAAgACAAIABcACIAkiG2AFwAIgAgACYAXABuACAAIAAgACAAIAAgACAAIAAgACAAIAAgACAAIAAgACAAIAAgACAAIAAgACAAIAAgACAAIAAgACAAXAAiAEUAWABBAE0AUABMAEUAUwA6ACAAIAAgACAAIAAgACAAIAAgACAAkiE9AFIAYQBuAGcAZQBUAG8ARABBALsDKABBADEALAAgACwAIABNAG8AZABlAGwAUABlAHIAaQBvAGQAQwBvAHUAbgB0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CAAIABcAG4AIAAgACAAIAAvAC8AIAAgAEMAaABlAGMAawAgAGkAbgBwAHUAdABzACAALQAgAE8AbQBpAHQAdABlAGQAIAByAGUAcQB1AGkAcgBlAGQAIABhAHIAZwB1AG0AZQBuAHQAcwBcAG4AIAAgACAAIAAgACAAIAAgAEgAZQBsAHAAPwAsACAAIAAgACAAIAAgACAAIAAgACAASQBTAE8ATQBJAFQAVABFAEQAKAAgAFIAYQBuAGcAZQApACwAXABuACAAIAAgACAALwAvACAAIABDAGgAZQBjAGsAIABpAG4AcAB1AHQAcwAgAC0AIABTAGUAdAAgAG8AcAB0AGkAbwBuAGEAbAAgAGEAcgBnAHUAbQBlAG4AdABzACcAIABkAGUAZgBhAHUAbAB0AHMAXABuACAAIAAgACAAIAAgACAAIABSAG8AdwBzACwAIAAgACAAIAAgACAAIAAgACAAIAAgAEkARgAoACAASQBTAE4AVQBNAEIARQBSACgAIABSAG8AdwBzACkALAAgAFIAbwB3AHMALAAgADEAKQAsAFwAbgAgACAAIAAgACAAIAAgACAAQwBvAGwAdQBtAG4AcwAsACAAIAAgACAAIAAgACAAIABJAEYAKAAgAEkAUwBOAFUATQBCAEUAUgAoACAAQwBvAGwAdQBtAG4AcwApACwAIABDAG8AbAB1AG0AbgBzACwAIAAxACkALABcAG4AIAAgACAAIAAvAC8AIAAgAFAAcgBvAGMAZQBkAHUAcgBlAFwAbgAgACAAIAAgACAAIAAgACAAUgBlAHMAdQBsAHQALAAgACAAIAAgACAAIAAgACAAIABPAEYARgBTAEUAVAAoACAAUgBhAG4AZwBlACwAIAAwACwAIAAwACwAIABSAG8AdwBzACwAIABDAG8AbAB1AG0AbgBzACkALAAgAFwAbgAgACAAIAAgAC8ALwAgACAAUgBlAHQAdQByAG4AIABSAGUAcwB1AGwAdAAgAG8AcgAgAGgAZQBsAHAAXABuACAAIAAgACAAIAAgACAAIABDAEgATwBPAFMARQAoAEgAZQBsAHAAPwAgACsAIAAxACwAIABSAGUAcwB1AGwAdAAsACAASABlAGwAcAApAFwAbgAgACAAIAAgACkAXABuACkAOwBcAG4AIgB9AF0ALAAiAHAAcgBvAGoAZQBjAHQATgBhAG0AZQBzACIAOgBbACIAbgBhAGIAbABhAC4AZAAuAEEAYgBvAHUAdAC7AyIALAAiAG4AYQBiAGwAYQAuAGQALgBDAG8AdQBuAHQARABPAFcAuwMiACwAIgBuAGEAYgBsAGEALgBkAC4ASQBzAEIAZQB0AHcAZQBlAG4AuwMiACwAIgBuAGEAYgBsAGEALgBkAC4ASQBzAE8AYwBjAHUAcgByAGUAbgBjAGUARABhAHQAZQC7AyIALAAiAG4AYQBiAGwAYQAuAGQALgBPAHYAZQByAEwAYQBwAEQAYQB5AHMAuwMiACwAIgBuAGEAYgBsAGEALgBkAC4AUABlAHIAaQBvAGQATABhAGIAZQBsALsDIgAsACIAbgBhAGIAbABhAC4AZAAuAFAAZQByAGkAbwBkAHMAuwMiACwAIgBuAGEAYgBsAGEALgBkAC4AUwBjAGgAZQBkAHUAbABlAFIAYQB0AGUAcwC7AyIALAAiAG4AYQBiAGwAYQAuAGQALgBTAGMAaABlAGQAdQBsAGUAUgBhAHQAZQBzAEIAeQBJAHQAZQBtAHMAuwMiACwAIgBuAGEAYgBsAGEALgBkAC4AUwBjAGgAZQBkAHUAbABlAFYAYQBsAHUAZQBzALsDIgAsACIAbgBhAGIAbABhAC4AZAAuAFMAYwBoAGUAZAB1AGwAZQBWAGEAbAB1AGUAcwBCAHkASQB0AGUAbQBzALsDIgAsACIAbgBhAGIAbABhAC4AZAAuAFQAaQBtAGUAbABpAG4AZQC7AyIALAAiAG4AYQBiAGwAYQAuAGUALgBBAGIAbwB1AHQAuwMiACwAIgBuAGEAYgBsAGEALgBlAC4AQwBvAHUAbgB0AEMAuwMiACwAIgBuAGEAYgBsAGEALgBlAC4AUwB1AG0AUgBvAHcAcwC7AyIALAAiAG4AYQBiAGwAYQAuAGUALgBTAHUAbQBDAG8AbABzALsDIgAsACIAbgBhAGIAbABhAC4AZQAuAEEAdgBnAFIAbwB3AHMAuwMiACwAIgBuAGEAYgBsAGEALgBlAC4AQQB2AGcAQwBvAGwAcwC7AyIALAAiAG4AYQBiAGwAYQAuAGUALgBNAGkAbgBSAG8AdwBzALsDIgAsACIAbgBhAGIAbABhAC4AZQAuAE0AaQBuAEMAbwBsAHMAuwMiACwAIgBuAGEAYgBsAGEALgBlAC4ATQBhAHgAUgBvAHcAcwC7AyIALAAiAG4AYQBiAGwAYQAuAGUALgBNAGEAeABDAG8AbABzALsDIgAsACIAbgBhAGIAbABhAC4AZQAuAEMAbwB1AG4AdABBAFIAbwB3AHMAuwMiACwAIgBuAGEAYgBsAGEALgBlAC4AQwBvAHUAbgB0AEEAQwBvAGwAcwC7AyIALAAiAG4AYQBiAGwAYQAuAGUALgBDAG8AdQBuAHQAUgBvAHcAcwC7AyIALAAiAG4AYQBiAGwAYQAuAGUALgBDAG8AdQBuAHQAQwBvAGwAcwC7AyIALAAiAG4AYQBiAGwAYQAuAGUALgBJAHMAQgBlAHQAdwBlAGUAbgC7AyIALAAiAG4AYQBiAGwAYQAuAGUALgBJAHMASQBuAEwAaQBzAHQAuwMiACwAIgBuAGEAYgBsAGEALgBlAC4AUgBhAG4AZwBlAFQAbwBEAEEAuwMiACwAIgBuAGEAYgBsAGEALgBmAC4AQQBiAG8AdQB0ALsDIgAsACIAbgBhAGIAbABhAC4AZgAuAEMAbwByAGsAcwBjAHIAZQB3ALsDIgAsACIAbgBhAGIAbABhAC4AZgAuAEMAbwByAGsAUwBjAHIAZQB3AFIAZQB2AGUAcgBzAGEAbAC7AyIALAAiAG4AYQBiAGwAYQAuAGYALgBJAG4AdABPAG4ASQBuAHQAuwMiACwAIgBuAGEAYgBsAGEALgBmAC4ASQBSAFIAuwMiACwAIgBuAGEAYgBsAGEALgBmAC4ATQBvAHYAZQBtAGUAbgB0ALsDIgAsACIAbgBhAGIAbABhAC4AZgAuAFIAZQB2AGUAcgBzAGEAbAC7AyIALAAiAG4AYQBiAGwAYQAuAGYALgBDAHUAbQB1AGwAYQB0AGkAdgBlALsDIgAsACIAbgBhAGIAbABhAC4AZgAuAFIAbwBsAGwAaQBuAGcAQQB2AGcAuwMiACwAIgBuAGEAYgBsAGEALgBmAC4AUgBvAGwAbABpAG4AZwBNAGEAeAC7AyIALAAiAG4AYQBiAGwAYQAuAGYALgBSAG8AbABsAGkAbgBnAE0AaQBuALsDIgAsACIAbgBhAGIAbABhAC4AZgAuAFIAbwBsAGwAaQBuAGcAUwB1AG0AuwMiACwAIgBuAGEAYgBsAGEALgBmAC4AUwB1AG0AQwBvAG4AdABhAGkAbgBzALsDIgAsACIAbgBhAGIAbABhAC4AZgAuAFMAdQBtAFAAZQByAGkAbwBkAHMAuwMiACwAIgBuAGEAYgBsAGEALgBmAC4AQQBtAG8AcgB0AGkAcwBlALsDIgAsACIAbgBhAGIAbABhAC4AZgAuAEwAYQBiAGUAbABBAG0AbwByAHQAaQBzAGUAuwMiACwAIgBuAGEAYgBsAGEALgBmAC4AUwB1AG0AQQBtAG8AcgB0AGkAcwBlALsDIgAsACIAbgBhAGIAbABhAC4AZgAuAEQAZQBwAHIAZQBjAGkAYQB0AGUAuwMiACwAIgBuAGEAYgBsAGEALgBmAC4ATABhAGIAZQBsAEQAZQBwAHIAZQBjAGkAYQB0AGUAuwMiACwAIgBuAGEAYgBsAGEALgBmAC4AQQBsAGwAbwBjAGEAdABlALsDIgAsACIAbgBhAGIAbABhAC4AZgAuAFAAZQByAGkAbwBkAEQAaQBmAGYAuwMiACwAIgBuAGEAYgBsAGEALgBmAC4AUwBMAE4AuwMiACwAIgBuAGEAYgBsAGEALgBmAC4AUwBZAEQAuwMiACwAIgBuAGEAYgBsAGEALgBmAC4ARABCALsDIgAsACIAbgBhAGIAbABhAC4AZgAuAEQARABCALsDIgAsACIAbgBhAGIAbABhAC4AZgAuAFYARABCALsDIgAsACIAbgBhAGIAbABhAC4AZgAuAEEAbQBvAHIAdABpAHMAZQC7A0QAVgAiACwAIgBuAGEAYgBsAGEALgBmAC4AQwBvAHIAawBzAGMAcgBlAHcAuwNEAFYAIgAsACIAbgBhAGIAbABhAC4AZgAuAEQAZQBwAHIAZQBjAGkAYQB0AGUAuwNEAFYAIgAsACIAbgBhAGIAbABhAC4AZgAuAFQAaQBtAGUAbABpAG4AZQBPAGYAZgBzAGUAdAC7AyIALAAiAG4AYQBiAGwAYQAuAGYALgBUAGkAbQBlAGwAaQBuAGUAUABvAHMAaQB0AGkAbwBuALsDIgAsACIAbgBhAGIAbABhAC4AZgAuAEYAaQBsAHQAZQByAEMAbwBuAHQAYQBpAG4AcwC7AyIALAAiAG4AYQBiAGwAYQAuAGYALgBSAGEAbgBnAGUAVABvAEQAQQC7AyIALAAiAG4AYQBiAGwAYQAuAGYALgBQAGUAcgBpAG8AZABTAHQAYQByAHQAuwMiACwAIgBuAGEAYgBsAGEALgByAC4AQQBiAG8AdQB0ALsDIgAsACIAbgBhAGIAbABhAC4AcgAuAEMAdQByAHIAZQBuAHQAUgBhAHQAaQBvALsDIgAsACIAbgBhAGIAbABhAC4AcgAuAFEAdQBpAGMAawBSAGEAdABpAG8AuwMiACwAIgBuAGEAYgBsAGEALgByAC4AQwBhAHMAaABSAGEAdABpAG8AuwMiACwAIgBuAGEAYgBsAGEALgByAC4ATwBwAGUAcgBhAHQAaQBuAGcAQwBhAHMAaABGAGwAbwB3AFIAYQB0AGkAbwC7AyIALAAiAG4AYQBiAGwAYQAuAHIALgBSAGUAYwBlAGkAdgBhAGIAbABlAHMAVAB1AHIAbgBvAHYAZQByAFIAYQB0AGkAbwC7AyIALAAiAG4AYQBiAGwAYQAuAHIALgBJAG4AdgBlAG4AdABvAHIAeQBUAHUAcgBuAG8AdgBlAHIAUgBhAHQAaQBvALsDIgAsACIAbgBhAGIAbABhAC4AcgAuAFcAbwByAGsAaQBuAGcAQwBhAHAAaQB0AGEAbABUAHUAcgBuAG8AdgBlAHIAUgBhAHQAaQBvALsDIgAsACIAbgBhAGIAbABhAC4AcgAuAEQAZQBiAHQAUgBhAHQAaQBvALsDIgAsACIAbgBhAGIAbABhAC4AcgAuAEQAUwBDAFIAuwMiACwAIgBuAGEAYgBsAGEALgByAC4ARABlAGIAdABUAG8AQwBhAHAAaQB0AGEAbABSAGEAdABpAG8AuwMiACwAIgBuAGEAYgBsAGEALgByAC4ARQBxAHUAaQB0AHkATQB1AGwAdABpAHAAbABpAGUAcgC7AyIALAAiAG4AYQBiAGwAYQAuAHIALgBEAGUAYgB0AFQAbwBFAHEAdQBpAHQAeQBSAGEAdABpAG8AuwMiACwAIgBuAGEAYgBsAGEALgByAC4ARABlAGIAdABUAG8AQQBzAHMAZQB0AFIAYQB0AGkAbwC7AyIALAAiAG4AYQBiAGwAYQAuAHIALgBJAG4AdABlAHIAZQBzAHQAQwBvAHYAZQByAGEAZwBlAFIAYQB0AGkAbwC7AyIALAAiAG4AYQBiAGwAYQAuAHIALgBFAHEAdQBpAHQAeQBSAGEAdABpAG8AuwMiACwAIgBuAGEAYgBsAGEALgByAC4AQQBzAHMAZQB0AFQAdQByAG4AbwB2AGUAcgBSAGEAdABpAG8AuwMiACwAIgBuAGEAYgBsAGEALgByAC4ARABTAEkAuwMiACwAIgBuAGEAYgBsAGEALgByAC4ATwBwAGUAcgBhAHQAaQBuAGcAUgBhAHQAaQBvALsDIgAsACIAbgBhAGIAbABhAC4AcgAuAEcAcgBvAHMAcwBNAGEAcgBnAGkAbgC7AyIALAAiAG4AYQBiAGwAYQAuAHIALgBFAEIASQBUAEQAQQBNAGEAcgBnAGkAbgC7AyIALAAiAG4AYQBiAGwAYQAuAHIALgBPAHAAZQByAGEAdABpAG4AZwBNAGEAcgBnAGkAbgC7AyIALAAiAG4AYQBiAGwAYQAuAHIALgBQAHIAZQB0AGEAeABNAGEAcgBnAGkAbgC7AyIALAAiAG4AYQBiAGwAYQAuAHIALgBOAGUAdABQAHIAbwBmAGkAdABNAGEAcgBnAGkAbgC7AyIALAAiAG4AYQBiAGwAYQAuAHIALgBDAGEAcwBoAEYAbABvAHcATQBhAHIAZwBpAG4AuwMiACwAIgBuAGEAYgBsAGEALgByAC4AUgBPAEEAuwMiACwAIgBuAGEAYgBsAGEALgByAC4AUgBPAEUAuwMiACwAIgBuAGEAYgBsAGEALgByAC4AUgBPAEkAuwMiACwAIgBuAGEAYgBsAGEALgByAC4AUgBPAEkAQwC7AyIALAAiAG4AYQBiAGwAYQAuAHIALgBQAHIAaQBjAGUARQBhAHIAbgBpAG4AZwBzAFIAYQB0AGkAbwC7AyIALAAiAG4AYQBiAGwAYQAuAHIALgBQAHIAaQBjAGUAVABvAEIAbwBvAGsAUgBhAHQAaQBvALsDIgAsACIAbgBhAGIAbABhAC4AcgAuAFAAcgBpAGMAZQBUAG8AUwBhAGwAZQBzAFIAYQB0AGkAbwC7AyIALAAiAG4AYQBiAGwAYQAuAHIALgBQAHIAaQBjAGUAVABvAEMAYQBzAGgAUgBhAHQAaQBvALsDIgAsACIAbgBhAGIAbABhAC4AcgAuAEIAVgBQAFMAuwMiACwAIgBuAGEAYgBsAGEALgByAC4AQwBBAFAARQBSAGEAdABpAG8AuwMiACwAIgBuAGEAYgBsAGEALgByAC4ARABQAFIAuwMiACwAIgBuAGEAYgBsAGEALgByAC4ARABpAHYAaQBkAGUAbgBkAFkAaQBlAGwAZABSAGEAdABpAG8AuwMiACwAIgBuAGEAYgBsAGEALgByAC4ARQBQAFMAuwMiACwAIgBuAGEAYgBsAGEALgByAC4AUgBlAHQAZQBuAHQAaQBvAG4AUgBhAHQAaQBvALsDIgAsACIAbgBhAGIAbABhAC4AdQAuAEEAYgBvAHUAdAC7AyIALAAiAG4AYQBiAGwAYQAuAHUALgBDAG8AdQBuAHQAQwC7AyIALAAiAG4AYQBiAGwAYQAuAHUALgBTAHUAbQBSAG8AdwBzALsDIgAsACIAbgBhAGIAbABhAC4AdQAuAFMAdQBtAEMAbwBsAHMAuwMiACwAIgBuAGEAYgBsAGEALgB1AC4AQQB2AGcAUgBvAHcAcwC7AyIALAAiAG4AYQBiAGwAYQAuAHUALgBBAHYAZwBDAG8AbABzALsDIgAsACIAbgBhAGIAbABhAC4AdQAuAE0AaQBuAFIAbwB3AHMAuwMiACwAIgBuAGEAYgBsAGEALgB1AC4ATQBpAG4AQwBvAGwAcwC7AyIALAAiAG4AYQBiAGwAYQAuAHUALgBNAGEAeABSAG8AdwBzALsDIgAsACIAbgBhAGIAbABhAC4AdQAuAE0AYQB4AEMAbwBsAHMAuwMiACwAIgBuAGEAYgBsAGEALgB1AC4AQwBvAHUAbgB0AEEAUgBvAHcAcwC7AyIALAAiAG4AYQBiAGwAYQAuAHUALgBDAG8AdQBuAHQAQQBDAG8AbABzALsDIgAsACIAbgBhAGIAbABhAC4AdQAuAEMAbwB1AG4AdABSAG8AdwBzALsDIgAsACIAbgBhAGIAbABhAC4AdQAuAEMAbwB1AG4AdABDAG8AbABzALsDIgAsACIAbgBhAGIAbABhAC4AdQAuAEkAcwBCAGUAdAB3AGUAZQBuALsDIgAsACIAbgBhAGIAbABhAC4AdQAuAEkAcwBJAG4ATABpAHMAdAC7AyIALAAiAG4AYQBiAGwAYQAuAHUALgBSAGEAbgBnAGUAVABvAEQAQQC7AyIALAAiAG4AYQBiAGwAYQAuAGYALgBTAHUAbQBEAGUAcAByAGUAYwBpAGEAdABlALsDIgAsACIAbgBhAGIAbABhAC4AZgAuAEQAaQBtAGkAbgBpAHMAaABpAG4AZwBWAGEAbAB1AGUAuwMiACwAIgBuAGEAYgBsAGEALgBmAC4AUAByAGkAbQBlAEMAbwBzAHQAuwMiACwAIgBuAGEAYgBsAGEALgBmAC4ARwBTAFQAQQBkAGQAuwMiACwAIgBuAGEAYgBsAGEALgBmAC4ARwBTAFQARQB4AHQAcgBhAGMAdAC7AyIALAAiAG4AYQBiAGwAYQAuAGQALgBGAGkAbgBhAG4AYwBpAGEAbABZAGUAYQByALsD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hAHUAIgB9AH0A</AFEJSONBlob>
</file>

<file path=customXml/itemProps1.xml><?xml version="1.0" encoding="utf-8"?>
<ds:datastoreItem xmlns:ds="http://schemas.openxmlformats.org/officeDocument/2006/customXml" ds:itemID="{FA35AA99-8721-4639-BBB5-DFADCDD49639}">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Cover</vt:lpstr>
      <vt:lpstr>TOC</vt:lpstr>
      <vt:lpstr>Data Validation</vt:lpstr>
      <vt:lpstr>FMTs</vt:lpstr>
      <vt:lpstr>nabla.d.CountDOWλ</vt:lpstr>
      <vt:lpstr>nabla.d.IsBetweenλ</vt:lpstr>
      <vt:lpstr>nabla.d.IsOccurrenceDateλ</vt:lpstr>
      <vt:lpstr>nabla.d.OverLapDaysλ</vt:lpstr>
      <vt:lpstr>nabla.d.Periodsλ</vt:lpstr>
      <vt:lpstr>nabla.d.PeriodLabelλ</vt:lpstr>
      <vt:lpstr>nabla.d.ScheduleRatesλ</vt:lpstr>
      <vt:lpstr>nabla.d.ScheduleRatesByItemsλ</vt:lpstr>
      <vt:lpstr>nabla.d.ScheduleValuesλ</vt:lpstr>
      <vt:lpstr>nabla.d.ScheduleValuesByItemsλ</vt:lpstr>
      <vt:lpstr>nabla.d.Timelineλ</vt:lpstr>
      <vt:lpstr>nabla.f.Amortiseλ</vt:lpstr>
      <vt:lpstr>nabla.f.LabelAmortiseλ</vt:lpstr>
      <vt:lpstr>nabla.f.SumAmortiseλ</vt:lpstr>
      <vt:lpstr>nabla.f.Corkscrewλ</vt:lpstr>
      <vt:lpstr>nabla.f.Cumulativeλ</vt:lpstr>
      <vt:lpstr>nabla.f.Depreciateλ</vt:lpstr>
      <vt:lpstr>nabla.f.LabelDepreciateλ</vt:lpstr>
      <vt:lpstr>nabla.f.SumDepreciateλ</vt:lpstr>
      <vt:lpstr>nabla.f.SumContains</vt:lpstr>
      <vt:lpstr>nabla.f.IntOnIntλ</vt:lpstr>
      <vt:lpstr>nabla.f.IRRλ</vt:lpstr>
      <vt:lpstr>nabla.f.Reversalλ</vt:lpstr>
      <vt:lpstr>nabla.f.Movementλ</vt:lpstr>
      <vt:lpstr>nabla.f.RollingSumλ</vt:lpstr>
      <vt:lpstr>nabla.f.SumPeriodsλ</vt:lpstr>
      <vt:lpstr>nabla.f.TimelineOffsetλ</vt:lpstr>
      <vt:lpstr>nabla.f.TimelinePositionλ</vt:lpstr>
      <vt:lpstr>nabla.e.Aboutλ</vt:lpstr>
      <vt:lpstr>nabla.e.CountCλ</vt:lpstr>
      <vt:lpstr>nabla.e.SumRowsλ</vt:lpstr>
      <vt:lpstr>nabla.e.SumColsλ</vt:lpstr>
      <vt:lpstr>nabla.e.AvgRowsλ</vt:lpstr>
      <vt:lpstr>nabla.e.AvgColsλ</vt:lpstr>
      <vt:lpstr>nabla.e.MinRowsλ</vt:lpstr>
      <vt:lpstr>nabla.e.MinColsλ</vt:lpstr>
      <vt:lpstr>nabla.e.MaxRowsλ</vt:lpstr>
      <vt:lpstr>nabla.e.MaxColsλ</vt:lpstr>
      <vt:lpstr>nabla.e.CountRowsλ</vt:lpstr>
      <vt:lpstr>nabla.e.CountColsλ</vt:lpstr>
      <vt:lpstr>nabla.e.CountARowsλ</vt:lpstr>
      <vt:lpstr>nabla.e.CountAColsλ</vt:lpstr>
      <vt:lpstr>nabla.e.IsBetweenλ</vt:lpstr>
      <vt:lpstr>nabla.e.RangeToDAλ</vt:lpstr>
      <vt:lpstr>nabla.r.FinancialRatios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nabla</dc:title>
  <dc:subject>LAMBDA function library for dynamic-array financial models</dc:subject>
  <dc:creator>Ozzit project</dc:creator>
  <cp:lastModifiedBy>Ozzit project</cp:lastModifiedBy>
  <dcterms:created xsi:type="dcterms:W3CDTF">2023-08-10T15:46:16Z</dcterms:created>
  <dcterms:modified xsi:type="dcterms:W3CDTF">2026-08-18T00:00:00Z</dcterms:modified>
</cp:coreProperties>
</file>