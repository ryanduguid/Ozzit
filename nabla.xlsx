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customProperty2.bin" ContentType="application/vnd.openxmlformats-officedocument.spreadsheetml.customProperty"/>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ustomProperty4.bin" ContentType="application/vnd.openxmlformats-officedocument.spreadsheetml.customProperty"/>
  <Override PartName="/xl/drawings/drawing3.xml" ContentType="application/vnd.openxmlformats-officedocument.drawing+xml"/>
  <Override PartName="/xl/customProperty5.bin" ContentType="application/vnd.openxmlformats-officedocument.spreadsheetml.customProperty"/>
  <Override PartName="/xl/drawings/drawing4.xml" ContentType="application/vnd.openxmlformats-officedocument.drawing+xml"/>
  <Override PartName="/xl/tables/table4.xml" ContentType="application/vnd.openxmlformats-officedocument.spreadsheetml.table+xml"/>
  <Override PartName="/xl/customProperty6.bin" ContentType="application/vnd.openxmlformats-officedocument.spreadsheetml.customProperty"/>
  <Override PartName="/xl/drawings/drawing5.xml" ContentType="application/vnd.openxmlformats-officedocument.drawing+xml"/>
  <Override PartName="/xl/tables/table5.xml" ContentType="application/vnd.openxmlformats-officedocument.spreadsheetml.table+xml"/>
  <Override PartName="/xl/customProperty7.bin" ContentType="application/vnd.openxmlformats-officedocument.spreadsheetml.customProperty"/>
  <Override PartName="/xl/drawings/drawing6.xml" ContentType="application/vnd.openxmlformats-officedocument.drawing+xml"/>
  <Override PartName="/xl/customProperty8.bin" ContentType="application/vnd.openxmlformats-officedocument.spreadsheetml.customProperty"/>
  <Override PartName="/xl/drawings/drawing7.xml" ContentType="application/vnd.openxmlformats-officedocument.drawing+xml"/>
  <Override PartName="/xl/customProperty9.bin" ContentType="application/vnd.openxmlformats-officedocument.spreadsheetml.customProperty"/>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customProperty10.bin" ContentType="application/vnd.openxmlformats-officedocument.spreadsheetml.customProperty"/>
  <Override PartName="/xl/drawings/drawing9.xml" ContentType="application/vnd.openxmlformats-officedocument.drawing+xml"/>
  <Override PartName="/xl/tables/table8.xml" ContentType="application/vnd.openxmlformats-officedocument.spreadsheetml.table+xml"/>
  <Override PartName="/xl/customProperty11.bin" ContentType="application/vnd.openxmlformats-officedocument.spreadsheetml.customProperty"/>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customProperty12.bin" ContentType="application/vnd.openxmlformats-officedocument.spreadsheetml.customProperty"/>
  <Override PartName="/xl/drawings/drawing11.xml" ContentType="application/vnd.openxmlformats-officedocument.drawing+xml"/>
  <Override PartName="/xl/customProperty13.bin" ContentType="application/vnd.openxmlformats-officedocument.spreadsheetml.customProperty"/>
  <Override PartName="/xl/drawings/drawing12.xml" ContentType="application/vnd.openxmlformats-officedocument.drawing+xml"/>
  <Override PartName="/xl/customProperty14.bin" ContentType="application/vnd.openxmlformats-officedocument.spreadsheetml.customProperty"/>
  <Override PartName="/xl/drawings/drawing13.xml" ContentType="application/vnd.openxmlformats-officedocument.drawing+xml"/>
  <Override PartName="/xl/tables/table11.xml" ContentType="application/vnd.openxmlformats-officedocument.spreadsheetml.table+xml"/>
  <Override PartName="/xl/customProperty15.bin" ContentType="application/vnd.openxmlformats-officedocument.spreadsheetml.customProperty"/>
  <Override PartName="/xl/drawings/drawing14.xml" ContentType="application/vnd.openxmlformats-officedocument.drawing+xml"/>
  <Override PartName="/xl/customProperty16.bin" ContentType="application/vnd.openxmlformats-officedocument.spreadsheetml.customProperty"/>
  <Override PartName="/xl/drawings/drawing15.xml" ContentType="application/vnd.openxmlformats-officedocument.drawing+xml"/>
  <Override PartName="/xl/customProperty17.bin" ContentType="application/vnd.openxmlformats-officedocument.spreadsheetml.customProperty"/>
  <Override PartName="/xl/drawings/drawing16.xml" ContentType="application/vnd.openxmlformats-officedocument.drawing+xml"/>
  <Override PartName="/xl/customProperty18.bin" ContentType="application/vnd.openxmlformats-officedocument.spreadsheetml.customProperty"/>
  <Override PartName="/xl/drawings/drawing17.xml" ContentType="application/vnd.openxmlformats-officedocument.drawing+xml"/>
  <Override PartName="/xl/customProperty19.bin" ContentType="application/vnd.openxmlformats-officedocument.spreadsheetml.customProperty"/>
  <Override PartName="/xl/drawings/drawing18.xml" ContentType="application/vnd.openxmlformats-officedocument.drawing+xml"/>
  <Override PartName="/xl/tables/table12.xml" ContentType="application/vnd.openxmlformats-officedocument.spreadsheetml.table+xml"/>
  <Override PartName="/xl/customProperty20.bin" ContentType="application/vnd.openxmlformats-officedocument.spreadsheetml.customProperty"/>
  <Override PartName="/xl/drawings/drawing19.xml" ContentType="application/vnd.openxmlformats-officedocument.drawing+xml"/>
  <Override PartName="/xl/tables/table13.xml" ContentType="application/vnd.openxmlformats-officedocument.spreadsheetml.table+xml"/>
  <Override PartName="/xl/customProperty21.bin" ContentType="application/vnd.openxmlformats-officedocument.spreadsheetml.customProperty"/>
  <Override PartName="/xl/drawings/drawing20.xml" ContentType="application/vnd.openxmlformats-officedocument.drawing+xml"/>
  <Override PartName="/xl/tables/table14.xml" ContentType="application/vnd.openxmlformats-officedocument.spreadsheetml.table+xml"/>
  <Override PartName="/xl/customProperty22.bin" ContentType="application/vnd.openxmlformats-officedocument.spreadsheetml.customProperty"/>
  <Override PartName="/xl/drawings/drawing21.xml" ContentType="application/vnd.openxmlformats-officedocument.drawing+xml"/>
  <Override PartName="/xl/tables/table15.xml" ContentType="application/vnd.openxmlformats-officedocument.spreadsheetml.table+xml"/>
  <Override PartName="/xl/customProperty23.bin" ContentType="application/vnd.openxmlformats-officedocument.spreadsheetml.customProperty"/>
  <Override PartName="/xl/drawings/drawing22.xml" ContentType="application/vnd.openxmlformats-officedocument.drawing+xml"/>
  <Override PartName="/xl/tables/table16.xml" ContentType="application/vnd.openxmlformats-officedocument.spreadsheetml.table+xml"/>
  <Override PartName="/xl/customProperty24.bin" ContentType="application/vnd.openxmlformats-officedocument.spreadsheetml.customProperty"/>
  <Override PartName="/xl/drawings/drawing23.xml" ContentType="application/vnd.openxmlformats-officedocument.drawing+xml"/>
  <Override PartName="/xl/drawings/drawing24.xml" ContentType="application/vnd.openxmlformats-officedocument.drawing+xml"/>
  <Override PartName="/xl/customProperty25.bin" ContentType="application/vnd.openxmlformats-officedocument.spreadsheetml.customProperty"/>
  <Override PartName="/xl/drawings/drawing25.xml" ContentType="application/vnd.openxmlformats-officedocument.drawing+xml"/>
  <Override PartName="/xl/customProperty26.bin" ContentType="application/vnd.openxmlformats-officedocument.spreadsheetml.customProperty"/>
  <Override PartName="/xl/drawings/drawing26.xml" ContentType="application/vnd.openxmlformats-officedocument.drawing+xml"/>
  <Override PartName="/xl/customProperty27.bin" ContentType="application/vnd.openxmlformats-officedocument.spreadsheetml.customProperty"/>
  <Override PartName="/xl/drawings/drawing27.xml" ContentType="application/vnd.openxmlformats-officedocument.drawing+xml"/>
  <Override PartName="/xl/customProperty28.bin" ContentType="application/vnd.openxmlformats-officedocument.spreadsheetml.customProperty"/>
  <Override PartName="/xl/drawings/drawing28.xml" ContentType="application/vnd.openxmlformats-officedocument.drawing+xml"/>
  <Override PartName="/xl/customProperty29.bin" ContentType="application/vnd.openxmlformats-officedocument.spreadsheetml.customProperty"/>
  <Override PartName="/xl/drawings/drawing29.xml" ContentType="application/vnd.openxmlformats-officedocument.drawing+xml"/>
  <Override PartName="/xl/customProperty30.bin" ContentType="application/vnd.openxmlformats-officedocument.spreadsheetml.customProperty"/>
  <Override PartName="/xl/drawings/drawing30.xml" ContentType="application/vnd.openxmlformats-officedocument.drawing+xml"/>
  <Override PartName="/xl/customProperty31.bin" ContentType="application/vnd.openxmlformats-officedocument.spreadsheetml.customProperty"/>
  <Override PartName="/xl/drawings/drawing31.xml" ContentType="application/vnd.openxmlformats-officedocument.drawing+xml"/>
  <Override PartName="/xl/customProperty32.bin" ContentType="application/vnd.openxmlformats-officedocument.spreadsheetml.customProperty"/>
  <Override PartName="/xl/drawings/drawing32.xml" ContentType="application/vnd.openxmlformats-officedocument.drawing+xml"/>
  <Override PartName="/xl/customProperty33.bin" ContentType="application/vnd.openxmlformats-officedocument.spreadsheetml.customProperty"/>
  <Override PartName="/xl/drawings/drawing33.xml" ContentType="application/vnd.openxmlformats-officedocument.drawing+xml"/>
  <Override PartName="/xl/customProperty34.bin" ContentType="application/vnd.openxmlformats-officedocument.spreadsheetml.customProperty"/>
  <Override PartName="/xl/drawings/drawing34.xml" ContentType="application/vnd.openxmlformats-officedocument.drawing+xml"/>
  <Override PartName="/xl/customProperty35.bin" ContentType="application/vnd.openxmlformats-officedocument.spreadsheetml.customProperty"/>
  <Override PartName="/xl/drawings/drawing35.xml" ContentType="application/vnd.openxmlformats-officedocument.drawing+xml"/>
  <Override PartName="/xl/customProperty36.bin" ContentType="application/vnd.openxmlformats-officedocument.spreadsheetml.customProperty"/>
  <Override PartName="/xl/drawings/drawing36.xml" ContentType="application/vnd.openxmlformats-officedocument.drawing+xml"/>
  <Override PartName="/xl/customProperty37.bin" ContentType="application/vnd.openxmlformats-officedocument.spreadsheetml.customProperty"/>
  <Override PartName="/xl/drawings/drawing37.xml" ContentType="application/vnd.openxmlformats-officedocument.drawing+xml"/>
  <Override PartName="/xl/customProperty38.bin" ContentType="application/vnd.openxmlformats-officedocument.spreadsheetml.customProperty"/>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worksheets/sheet5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Users\-\Downloads\"/>
    </mc:Choice>
  </mc:AlternateContent>
  <xr:revisionPtr revIDLastSave="0" documentId="13_ncr:1_{6ED00BE9-1CDB-4026-B64B-4A5BBD6766FE}" xr6:coauthVersionLast="47" xr6:coauthVersionMax="47" xr10:uidLastSave="{00000000-0000-0000-0000-000000000000}"/>
  <bookViews>
    <workbookView xWindow="-120" yWindow="-120" windowWidth="51840" windowHeight="21840" xr2:uid="{9D40AE0A-C643-4032-94D1-3D65DF585AF3}"/>
  </bookViews>
  <sheets>
    <sheet name="Cover" sheetId="103" r:id="rId1"/>
    <sheet name="TOC" sheetId="19" r:id="rId2"/>
    <sheet name="Data Validation" sheetId="129" r:id="rId3"/>
    <sheet name="Australian tax" sheetId="132" r:id="rId62"/>
    <sheet name="FMTs" sheetId="2" state="hidden" r:id="rId4"/>
    <sheet name="nabla.d.CountDOWλ" sheetId="41" r:id="rId5"/>
    <sheet name="nabla.d.IsBetweenλ" sheetId="43" r:id="rId6"/>
    <sheet name="nabla.d.IsOccurrenceDateλ" sheetId="44" r:id="rId7"/>
    <sheet name="nabla.d.OverLapDaysλ" sheetId="45" r:id="rId8"/>
    <sheet name="nabla.d.Periodsλ" sheetId="46" r:id="rId9"/>
    <sheet name="nabla.d.PeriodLabelλ" sheetId="47" r:id="rId10"/>
    <sheet name="nabla.d.ScheduleRatesλ" sheetId="48" r:id="rId11"/>
    <sheet name="nabla.d.ScheduleRatesByItemsλ" sheetId="49" r:id="rId12"/>
    <sheet name="nabla.d.ScheduleValuesλ" sheetId="50" r:id="rId13"/>
    <sheet name="nabla.d.ScheduleValuesByItemsλ" sheetId="51" r:id="rId14"/>
    <sheet name="nabla.d.Timelineλ" sheetId="52" r:id="rId15"/>
    <sheet name="nabla.f.Amortiseλ" sheetId="76" r:id="rId16"/>
    <sheet name="nabla.f.LabelAmortiseλ" sheetId="90" r:id="rId17"/>
    <sheet name="nabla.f.SumAmortiseλ" sheetId="83" r:id="rId18"/>
    <sheet name="nabla.f.Corkscrewλ" sheetId="77" r:id="rId19"/>
    <sheet name="nabla.f.Cumulativeλ" sheetId="99" r:id="rId20"/>
    <sheet name="nabla.f.Depreciateλ" sheetId="78" r:id="rId21"/>
    <sheet name="nabla.f.LabelDepreciateλ" sheetId="106" r:id="rId22"/>
    <sheet name="nabla.f.SumDepreciateλ" sheetId="107" r:id="rId23"/>
    <sheet name="nabla.f.SumContains" sheetId="108" r:id="rId24"/>
    <sheet name="nabla.f.IntOnIntλ" sheetId="80" r:id="rId25"/>
    <sheet name="nabla.f.IRRλ" sheetId="81" r:id="rId26"/>
    <sheet name="nabla.f.Reversalλ" sheetId="128" r:id="rId27"/>
    <sheet name="nabla.f.Movementλ" sheetId="82" r:id="rId28"/>
    <sheet name="nabla.f.RollingSumλ" sheetId="105" r:id="rId29"/>
    <sheet name="nabla.f.SumPeriodsλ" sheetId="89" r:id="rId30"/>
    <sheet name="nabla.f.TimelineOffsetλ" sheetId="96" r:id="rId31"/>
    <sheet name="nabla.f.TimelinePositionλ" sheetId="97" r:id="rId32"/>
    <sheet name="nabla.e.Aboutλ" sheetId="110" r:id="rId33"/>
    <sheet name="nabla.e.CountCλ" sheetId="118" r:id="rId34"/>
    <sheet name="nabla.e.SumRowsλ" sheetId="87" r:id="rId35"/>
    <sheet name="nabla.e.SumColsλ" sheetId="88" r:id="rId36"/>
    <sheet name="nabla.e.AvgRowsλ" sheetId="111" r:id="rId37"/>
    <sheet name="nabla.e.AvgColsλ" sheetId="112" r:id="rId38"/>
    <sheet name="nabla.e.MinRowsλ" sheetId="113" r:id="rId39"/>
    <sheet name="nabla.e.MinColsλ" sheetId="114" r:id="rId40"/>
    <sheet name="nabla.e.MaxRowsλ" sheetId="115" r:id="rId41"/>
    <sheet name="nabla.e.MaxColsλ" sheetId="116" r:id="rId42"/>
    <sheet name="nabla.e.CountRowsλ" sheetId="119" r:id="rId43"/>
    <sheet name="nabla.e.CountColsλ" sheetId="120" r:id="rId44"/>
    <sheet name="nabla.e.CountARowsλ" sheetId="122" r:id="rId45"/>
    <sheet name="nabla.e.CountAColsλ" sheetId="123" r:id="rId46"/>
    <sheet name="nabla.e.IsBetweenλ" sheetId="125" r:id="rId47"/>
    <sheet name="nabla.e.RangeToDAλ" sheetId="126" r:id="rId48"/>
    <sheet name="nabla.r.FinancialRatios" sheetId="131" r:id="rId49"/>
  </sheets>
  <definedNames>
    <definedName name="nabla.d.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→https://github.com/ryanduguid/Nabla¶" &amp; "PARAMETERS:    →¶" &amp; "Starts         →(Required) One of more start dates (text or numeric) in a row or column¶" &amp; "Ends           →(Required) End dates (text or numeric) for each start date¶" &amp; "DayOfWeek      →(Required) 1=Sunday, 7=Saturday.¶" &amp; "EXAMPLES:      →¶" &amp; "Result         →Formula (nabla.d is assumed to be the module's name)¶" &amp; "3              →=nabla.d.CountDOWλ(""22/3/2012"", ""10/4/2012"",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nabla.d.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→https://github.com/ryanduguid/Nabla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(nabla.d is assumed to be the module's name)¶" &amp; "FALSE          →=nabla.d.IsBetweenλ(1, 2, 4)¶" &amp; "TRUE           →=nabla.d.IsBetweenλ(Today(), Today(), Today()+1)¶" &amp; "FALSE          →=nabla.d.IsBetweenλ(""B"",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nabla.d.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→https://github.com/ryanduguid/Nabla¶"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(nabla.d is assumed to be the module's name)¶" &amp; "72             →=SUM(N(nabla.d.IsOccurrenceDateλ(SEQUENCE(,90,""1/1/2025""), ""1/1/2025"", ""13/3/2025"", ""D"")))¶" &amp; "01             →=SUM(N(nabla.d.IsOccurrenceDateλ(SEQUENCE(,90,""1/1/2025""), ""1/1/2025"", ""13/3/2025"", ""O"")))¶" &amp; "11             →=SUM(N(nabla.d.IsOccurrenceDateλ(SEQUENCE(,90,""1/1/2025""), ""1/1/2025"", ""13/3/2025"",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nabla.d.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→https://github.com/ryanduguid/Nabla¶" &amp; "PARAMETERS:    →¶" &amp; "Period1Start   →(Required) First period's start date.¶" &amp; "Period1End     →(Required) First period's end date.¶" &amp; "Period2Start   →(Required) Second period's start date.¶" &amp; "Period2End     →(Required) Decond period's end date.¶" &amp; "EXAMPLES:      →¶" &amp; "Result         →Formula (nabla.d is assumed to be the module's name)¶" &amp; "5              →=nabla.d.OverLapDaysλ(08, 14, 10, 17)¶" &amp; "8              →=nabla.d.OverLapDaysλ(10, 20, 11, 18)¶" &amp; "12             →=nabla.d.OverLapDaysλ(""17/1/2025"", ""25/1/2025"", ""7/1/2025"", ""18/1/2025"")",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IF(_xlpm.Period2End &lt;= _xlpm.Period1End, _xlpm.Period2End, _xlpm.Period1End), _xlpm.MaxOfStart, IF(_xlpm.Period2Start &gt;= _xlpm.Period1Start, _xlpm.Period2Start, _xlpm.Period1Start), _xlpm.Days, _xlpm.MinOfEnd - _xlpm.MaxOfStart + 1, _xlpm.Result, IF(_xlpm.Days &gt; 0, _xlpm.Days, 0), CHOOSE(_xlpm.Help? + 1, _xlpm.Result, _xlpm.Help)))</definedName>
    <definedName name="nabla.d.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→https://github.com/ryanduguid/Nabla¶"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(nabla.d is assumed to be the module's name)¶" &amp; "2025-Feb-26    →=nabla.d.PeriodLabelλ(DATEVALUE(""26/2/2025""), ""D"")¶" &amp; "2023-Feb       →=nabla.d.PeriodLabelλ(DATEVALUE(""26/2/2025""), ""M"")¶" &amp; "2025:Q1       →=nabla.d.PeriodLabelλ(DATEVALUE(""26/2/2025""), ""Q"")¶" &amp; "2023           →=nabla.d.PeriodLabelλ(DATEVALUE(""26/2/2025""), ""Y"")", "→", "¶")), _xlpm.Help?, _xlfn.ISOMITTED(_xlpm.Date), _xlpm.CvtDate, IF(_xlfn.ISOMITTED(_xlpm.Date), FALSE, IF(ISNUMBER(_xlpm.Date), _xlpm.Date, DATEVALUE(_xlpm.Date))), _xlpm.Interval, IF(_xlfn.ISOMITTED(_xlpm.Interval), "M", _xlpm.Interval), _xlpm.Result, _xlfn.SWITCH(_xlpm.Interval, "D", TEXT(_xlpm.Date, "yyyy-mmm-dd"), "W", YEAR(_xlpm.Date) &amp; ":W" &amp; TEXT(QUOTIENT(_xlpm.Date - DATE(YEAR(_xlpm.Date), 1, 0) - 1, 7) + 1, "00"), "I", YEAR(_xlpm.Date) &amp; ":W" &amp; TEXT(_xlfn.ISOWEEKNUM(_xlpm.Date), "00"), "M", TEXT(_xlpm.Date, "YYYY-MMM"), "Q", YEAR(_xlpm.Date) &amp; ":Q" &amp; QUOTIENT(MONTH(_xlpm.Date) - 1, 3) + 1, "S", YEAR(_xlpm.Date) &amp; ":S" &amp; QUOTIENT(MONTH(_xlpm.Date) - 1, 6) + 1, "A", TEXT(_xlpm.Date, "YYYY"), "Y", TEXT(_xlpm.Date, "YYYY"), #VALUE!), CHOOSE(_xlpm.Help? + 1, _xlpm.Result, _xlpm.Help)))</definedName>
    <definedName name="nabla.d.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End Date is inclusive¶" &amp; "→* Returns negative values if Date1 is after Date2¶" &amp; "WEBPAGE:       →https://github.com/ryanduguid/Nabla¶"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(nabla.d is assumed to be the module's name)¶" &amp; "2              →=nabla.d.Periodsλ(""31/3/2025"", ""15/5/2025"")¶" &amp; "-2             →=nabla.d.Periodsλ(""15/5/2025"", ""31/3/2025"")¶" &amp; "-12            →=nabla.d.Periodsλ(""15/1/2026"", ""16/1/2025"", , FALSE)¶" &amp; "-53            →=nabla.d.Periodsλ(""15/1/2026"", ""16/1/2025"",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SIGN(MAX(_xlpm.DateTwo - _xlpm.DateOne, 1)), _xlpm.Periods, _xlfn.SWITCH(_xlpm.Interval, "D", DATEDIF(_xlpm.Earliest, _xlpm.Latest, "D"), "W", INT(DATEDIF(_xlpm.Earliest, _xlpm.Latest, "D") / _xlpm.DPW), "M", DATEDIF(_xlpm.Earliest, _xlpm.Latest, "M"), "Q", INT(DATEDIF(_xlpm.Earliest, _xlpm.Latest, "M") / _xlpm.MPQ), "Y", DATEDIF(_xlpm.Earliest, _xlpm.Latest, "Y")), _xlpm.Sign * _xlpm.Periods))), CHOOSE(_xlpm.Help? + 1, _xlpm.Result, _xlpm.Help)))</definedName>
    <definedName name="nabla.d.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→https://github.com/ryanduguid/Nabla¶"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(nabla.d is assumed to be the module's name)¶" &amp; "→nabla.d.ScheduleRatesByItemsλ( Timelineλ( ""1/1/2025""),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_xlfn.XLOOKUP(_xlpm.PeriodEnds, _xlpm.ItemDates, _xlpm.ItemRates, 0, -1), _xlpm.Result, IF(_xlpm.DoNotUse &gt;= _xlpm.Counts, _xlpm.NewRow, _xlfn.VSTACK(_xlpm.NewRow, nabla.d.ScheduleRatesByItemsλ(_xlpm.CvtPrdEnds, _xlpm.ItemFilter, _xlpm.ItemList, _xlpm.CvtEffDates, _xlpm.RateList, _xlpm.DoNotUse + 1))), CHOOSE(_xlpm.Help? + 1, _xlpm.Result, _xlpm.Help)))</definedName>
    <definedName name="nabla.d.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→https://github.com/ryanduguid/Nabla¶" &amp; "PARAMETERS:    →¶" &amp; "PeriodEnds     →(Required) A row of period end dates (timeline).¶" &amp; "RateStarts     →(Required) A column or row of rate effective dates in any order.¶" &amp; "Rates          →(Required) A column or row of rates associated with RateStarts.¶" &amp; "EXAMPLES:      →¶" &amp; "Result         →Formula (nabla.d is assumed to be the module's name)¶" &amp; "_,10,20,30,30  →=nabla.d.ScheduleRatesλ(Timelineλ(""1/1/2025"",5,""W""),{45662; 45670; 45676},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_xlfn.XLOOKUP(_xlpm.PeriodEnds, _xlpm.RateStarts, _xlpm.Rates, "", -1), CHOOSE(_xlpm.Help? + 1, _xlpm.Result, _xlpm.Help)))</definedName>
    <definedName name="nabla.d.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→https://github.com/ryanduguid/Nabla¶"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(nabla.d is assumed to be the module's name)¶" &amp; "→nabla.d.ScheduleRatesByItemsλ( Timelineλ( ""1/1/2025""),  Timelineλ( ""1/1/2025"",,,FALSE),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_xlpm.PeriodStarts) * (_xlpm.ItemDates &lt;= _xlpm.PeriodEnds) * _xlpm.ItemValues, _xlpm.NewRow, _xlfn.BYCOL(_xlpm.Array, _xlfn.LAMBDA(_xlpm.Column, SUM(_xlpm.Column))), _xlpm.Result, IF(_xlpm.Counter &gt;= _xlpm.Counts, _xlpm.NewRow, _xlfn.VSTACK(_xlpm.NewRow, nabla.d.ScheduleValuesByItemsλ(_xlpm.CvtPrdStarts, _xlpm.CvtPrdEnds, _xlpm.ItemFilter, _xlpm.ItemList, _xlpm.CvtEffDates, _xlpm.ValueList, _xlpm.Counter + 1))), CHOOSE(_xlpm.Help? + 1, _xlpm.Result, _xlpm.Help)))</definedName>
    <definedName name="nabla.d.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→https://github.com/ryanduguid/Nabla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(nabla.d is assumed to be the module's name)¶" &amp; "→=nabla.d.ScheduleValuesλ(Timelineλ(""1/1/2025""), Timelineλ(""1/1/2025"",,,FALSE), {1;3}, {""1/1/2025""; ""15/2/2025""})",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COLUMNS(_xlpm.PeriodStarts)), _xlfn.LAMBDA(_xlpm.Period, _xlfn.LET(_xlpm.StartDate, INDEX(_xlpm.PeriodStarts, _xlpm.Period), _xlpm.EndDate, INDEX(_xlpm.PeriodEnds, _xlpm.Period), SUM(_xlpm.Values * (_xlpm.CvtEffDates &gt;= _xlpm.StartDate) * (_xlpm.CvtEffDates &lt;= _xlpm.EndDate))))), CHOOSE(_xlpm.Help? + 1, _xlpm.Result, _xlpm.Help)))</definedName>
    <definedName name="nabla.d.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→https://github.com/ryanduguid/Nabla¶"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(nabla.d is assumed to be the module's name)¶" &amp; "12 mo, starts  →=nabla.d.Timelineλ(TODAY())¶" &amp; "12 qtr, ends   →=nabla.d.Timelineλ(TODAY(),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EDATE(_xlpm.StartDate, _xlfn.SEQUENCE(1, _xlpm.Periods, _xlpm.EndDates * _xlpm.MPY, _xlpm.MPY)) - _xlpm.EndDates, "Q", EDATE(_xlpm.StartDate, _xlfn.SEQUENCE(1, _xlpm.Periods, _xlpm.EndDates * _xlpm.MPQ, _xlpm.MPQ)) - _xlpm.EndDates, "M", EDATE(_xlpm.StartDate, _xlfn.SEQUENCE(1, _xlpm.Periods, _xlpm.EndDates, 1)) - _xlpm.EndDates, "W", _xlfn.SEQUENCE(1, _xlpm.Periods, _xlpm.StartDate + IF(_xlpm.PeriodStarts?, 0, _xlpm.DPW - 1), _xlpm.DPW), "D", _xlfn.SEQUENCE(1, _xlpm.Periods, _xlpm.StartDate, 1), #VALUE!), CHOOSE(_xlpm.Help? + 1, _xlpm.Result, _xlpm.Help)))</definedName>
    <definedName name="nabla.e.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e.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e.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e.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e.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e.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e.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e.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e.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e.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e.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e.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e.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e.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e.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e.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nabla.f.Aboutλ" comment="Displays this module's repository URL and function list">TRIM(_xlfn.TEXTSPLIT("ABOUT:             →nabla's Financial Models module. Suggested module name: nabla.f¶" &amp; "VERSION:           →18 Aug 2026¶" &amp; "REPOSITORY:          →https://github.com/ryanduguid/Nabla ¶" &amp; "WEBSITE:           →https://github.com/ryanduguid/Nabla ¶" &amp; "→¶" &amp; "FUNCTION           →DESCRIPTION¶" &amp; "Aboutλ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 value depreciation (ATO 200% method), writing the residual off in the final period.¶" &amp; "PrimeCostλ         →Prime cost (straight line) depreciation, ATO method, for one asset or asset class.¶"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nabla.f.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→https://github.com/ryanduguid/Nabla¶" &amp; "VERSION:       →18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(nabla.f is assumed to be the module's name)¶" &amp; "→=nabla.f.Allocateλ({999.99,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_xlfn.REDUCE(0, _xlfn.SEQUENCE(, _xlpm.FromCount), _xlfn.LAMBDA(_xlpm.Acc,_xlpm.n, _xlfn.LET(_xlpm.FromAmount, INDEX(_xlpm.Amounts, _xlpm.n), _xlpm.ToAmount, ROUND(_xlpm.FromAmount * _xlpm.From / _xlpm.To, 2), _xlpm.BaseArray, _xlfn.EXPAND(_xlpm.ToAmount, 1, _xlpm.ToCount, _xlpm.ToAmount), _xlpm.ToArray, IF(_xlpm.ToCount = 1, _xlpm.BaseArray, _xlfn.HSTACK(_xlfn.TAKE(_xlpm.BaseArray, 1, _xlpm.ToCount - 1), _xlpm.FromAmount - SUM(_xlfn.TAKE(_xlpm.BaseArray, 1, _xlpm.ToCount - 1)))), _xlpm.Result, IF(_xlpm.n = 1, _xlpm.ToArray, _xlfn.HSTACK(_xlpm.Acc, _xlpm.ToArray)), _xlpm.Result))), CHOOSE(_xlpm.Help? + 1, _xlpm.Result, _xlpm.Help)))</definedName>
    <definedName name="nabla.f.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"→It assumes all payments are made monthly.¶" &amp; "→Use LableAmortiseλ() to apply labels to this function's results:¶" &amp; "→Use SumAmortiseλ() to apply totals to this function's results:¶" &amp; "WEBPAGE:       →https://github.com/ryanduguid/Nabla¶" &amp; "VERSION:       →18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(nabla.f is assumed to be the module's name)¶" &amp; "→=nabla.f.Amortiseλ(10000, 5%, 4 * 12, ""2025-01-01"")",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_xlpm.MpP, _xlfn.SINGLE(ROUND((_xlpm.SecondPeriod - _xlpm.FirstPeriod) / _xlpm.ADpM, 0)), _xlpm.PpY, _xlpm.MpY / _xlpm.MpP,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nabla.f.TimelineOffsetλ(_xlpm.StartDate, _xlpm.Timeline), _xlpm.NewBlock, nabla.f.TimelinePositionλ(_xlpm.AmortisationSched,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nabla.f.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nabla.f.CorkScrewReversalλ" comment="Create a corkscrew where the opening balance is reversed in the next period based on a timing parameter.">_xlfn.LAMBDA(_xlop.Opening,_xlop.ReversalFlags,_xlop.Flow1,_xlop.Flow2,_xlop.Flow3,_xlop.Flow4, _xlfn.LET(_xlpm.Help, TRIM(_xlfn.TEXTSPLIT("FUNCTION:      →Corkscrewλ( Opening, FLow1, [Flow2], [Flow3], [Flow4])¶" &amp; "DESCRIPTION:   →Create a corkscrew where the opening balance is reversed in the next period based on a timing parameter¶" &amp; "WEBPAGE:       →&lt;Coming Soon&gt;¶" &amp; "VERSION:       →18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nabla.f.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→18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nabla.f is assumed to be the module's name¶" &amp; "Formula:       →=nabla.f.Corkscrewλ(0,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nabla.f.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nabla.f.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→https://github.com/ryanduguid/Nabla¶" &amp; "VERSION:       →18 Aug 2026¶" &amp; "PARAMETERS:    →¶" &amp; "Totals         →(Required) A row or column of totals from which to run cumulative totals¶" &amp; "OpeningBalance →(Optional) A starting balance. This defaults to 0¶" &amp; "EXAMPLES:      →¶" &amp; "Result         →Formula (nabla.f is assumed to be the module's name)¶" &amp; "1,3,6          →=nabla.f.Cumulativeλ(Sequence(,3))", "→", "¶")), _xlpm.Help?, _xlfn.ISOMITTED(_xlpm.Totals), _xlpm.Result, _xlfn.SCAN(_xlpm.OpeningBalance, _xlpm.Totals, _xlfn.LAMBDA(_xlpm.PreviousAmount,_xlpm.CurrentAmount, _xlpm.PreviousAmount + _xlpm.CurrentAmount)), CHOOSE(_xlpm.Help? + 1, _xlpm.Result, _xlpm.Help)))</definedName>
    <definedName name="nabla.f.DBλ" comment="Fixed declining balance depreciation method for one asset or asset class.">_xlfn.LAMBDA(_xlop.Cost,_xlop.Salvage,_xlop.Life,_xlop.Months, _xlfn.LET(_xlpm.Help, TRIM(_xlfn.TEXTSPLIT("FUNCTION:      →DBλ(Cost, Salvage, Life, [Month])¶" &amp; "DESCRIPTION:   →Fixed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"Months         →(Optional) Number of months in the first year to depreciate.¶" &amp; "EXAMPLES:      →¶" &amp; "→Formula (nabla.f is assumed to be the module's name)¶" &amp; "→=nabla.f.DBλ(1000,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nabla.f.DDBλ" comment="Double-declining balance depreciation method for one asset or asset class.">_xlfn.LAMBDA(_xlop.Cost,_xlop.Salvage,_xlop.Life,_xlop.Factor, _xlfn.LET(_xlpm.Help, TRIM(_xlfn.TEXTSPLIT("FUNCTION:      →DBλ(Cost, Salvage, Life, [Factor])¶" &amp; "DESCRIPTION:   →Double-declining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"EXAMPLES:      →¶" &amp; "→Formula (nabla.f is assumed to be the module's name)¶" &amp; "→=nabla.f.DDBλ(1000,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nabla.f.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 &amp; "DESCRIPTION:   →Creates an array of CAPEX, depreciation, and book values for a model's timeline¶" &amp; "WEBPAGE:       →https://github.com/ryanduguid/Nabla ¶" &amp; "VERSION:       →18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"Timeline       →(Required) The model's timeline or a row of period start dates. ¶" &amp; "               →Timeline can be in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value (ATO 200% method). Salvage value ignored¶" &amp; "→PC =Prime cost (ATO straight line).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_xlpm.MpP, _xlfn.SINGLE(ROUND((_xlpm.SecondPeriod - _xlpm.FirstPeriod) / 30.5, 0)), _xlpm.Interval, _xlfn.SWITCH(_xlpm.MpP, 1, "M", 3, "Q", 12, "Y"), _xlpm.PpY, _xlfn.SWITCH(_xlpm.MpP, 1, 12, 3, 4, 12, 1), _xlpm.EndDates, _xlfn.HSTACK(_xlfn.MAP(_xlfn.SEQUENCE(, _xlpm.TimelineCols - 1), _xlfn.LAMBDA(_xlpm.n, INDEX(_xlpm.Timeline, _xlpm.n + 1) - 1)), EDATE(MAX(_xlpm.Timeline), _xlpm.MpP) - 1), _xlpm.Result, _xlfn.REDUCE(0, _xlfn.SEQUENCE(ROWS(_xlpm.InitialValues)), _xlfn.LAMBDA(_xlpm.Block,_xlpm.Asset, _xlfn.LET(_xlpm.Method, _xlfn.SINGLE(INDEX(_xlpm.Methods, _xlpm.Asset)), _xlpm.Years,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_xlpm.LifeInPeriods, _xlpm.Years * _xlpm.PpY, _xlpm.LifeInMonths, nabla.f.PeriodDiffλ(_xlpm.InServiceDate, _xlpm.DisposalDate, "M"), _xlpm.LastPeriod, nabla.f.PeriodDiffλ(_xlpm.InServiceDate, _xlpm.DisposalDate, _xlpm.Interval), _xlpm.Depreciate, CHOOSE(MATCH(_xlfn.SINGLE(_xlpm.Method), _xlpm.MethodArray, 0), nabla.f.SLNλ(_xlpm.InitialValue, _xlpm.SalvageValue, _xlpm.Years), nabla.f.SYDλ(_xlpm.InitialValue, _xlpm.SalvageValue, _xlpm.Years), nabla.f.DBλ(_xlpm.InitialValue, _xlpm.SalvageValue, _xlpm.Years), nabla.f.DDBλ(_xlpm.InitialValue, _xlpm.SalvageValue, _xlpm.Years, _xlpm.Factor), nabla.f.VDBλ(_xlpm.InitialValue, _xlpm.SalvageValue, _xlpm.Years, _xlpm.Factor), nabla.f.DiminishingValueλ(_xlpm.InitialValue, _xlpm.Years), nabla.f.PrimeCostλ(_xlpm.InitialValue, _xlpm.Years), ), _xlpm.Disposal, _xlfn.HSTACK(_xlfn.SEQUENCE(1, _xlpm.LifeInMonths - 1, 0, 0), _xlpm.DisposalCost), _xlpm.Salvage, _xlfn.HSTACK(_xlfn.SEQUENCE(1, _xlpm.LifeInMonths - 1, 0, 0), _xlpm.SalvageValue), _xlpm.Allocate, _xlfn.HSTACK(_xlfn.EXPAND(nabla.f.Allocateλ(_xlpm.Depreciate,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CHOOSE(_xlpm.Help? + 1, _xlpm.Result, _xlpm.Help)))</definedName>
    <definedName name="nabla.f.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nabla.f.FilterContainsλ" comment="Filter an array by another array that contains specific text">_xlfn.LAMBDA(_xlop.ArrayToFilter,_xlop.FilterByArray,_xlop.FilterByText,_xlop.IgnoreCase?, _xlfn.LET(_xlpm.Help, TRIM(_xlfn.TEXTSPLIT("FUNCTION:      →FilterContainsλ( ArrayToFilter, FilterByArray, Text, [IgnoreCase?] )¶" &amp; "DESCRIPTION:   →Filter an array by another array that contains specific text.¶" &amp; "SEE ALSO:      →Excel 365 now has REGEXTEST and REGEXEXTRACT for pattern matching.¶" &amp; "WEBPAGE:       →https://github.com/ryanduguid/Nabla¶" &amp; "VERSION:       →18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(nabla.f is assumed to be the module's name)¶" &amp; """Cat""        →=nabla.f.FilterContainsλ(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nabla.f.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→https://github.com/ryanduguid/Nabla¶" &amp; "VERSION:       →18 Aug 2026¶" &amp; "PARAMETERS:    →¶" &amp; "Principal     →(Required) Principal amount¶" &amp; "Rate          →(Required) Interest percentage rate. For years, APR. For months, APR/12¶" &amp; "EXAMPLES:      →¶" &amp; "Result         →Formula (nabla.f is assumed to be the module's name)¶" &amp; "52.63          →=nabla.f.IntOnIntλ( 1000, 5%)", "→", "¶")), _xlpm.Help?, OR(_xlfn.ISOMITTED(_xlpm.Principal), _xlfn.ISOMITTED(_xlpm.Rate)), _xlpm.Result, _xlpm.Principal / (1 - _xlpm.Rate) - _xlpm.Principal, CHOOSE(_xlpm.Help? + 1, _xlpm.Result, _xlpm.Help)))</definedName>
    <definedName name="nabla.f.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→https://github.com/ryanduguid/Nabla¶" &amp; "VERSION:       →18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(nabla.f is assumed to be the module's name)¶" &amp; "Dates          →=EDATE(""1/1/2025"", SEQUENCE(,24, 0))¶" &amp; "Values         →={0,0,-150,0,-100,10,20,30,40,50,60,70}¶" &amp; "→¶" &amp; "Result         →Formula¶" &amp; "24%            →=nabla.f.IRRλ(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nabla.f.LabelAmortiseλ" comment="Create labels for Amortiseλ">_xlfn.LAMBDA(_xlop.LoanNames,_xlop.LoanAmounts,_xlop.LoanAPRs,_xlop.LoanTerms, _xlfn.LET(_xlpm.Help, TRIM(_xlfn.TEXTSPLIT("FUNCTION:      →LabelAmortiseλ([LoanNames])¶" &amp; "DESCRIPTION:   →Create row labels for the amortisation schedule array produced by Amortiseλ¶" &amp; "WEBPAGE:       →https://github.com/ryanduguid/Nabla¶" &amp; "VERSION:       →18 Aug 2026¶" &amp; "PARAMETERS:    →¶" &amp; "LoanNames     →(Required) Names or descriptions of each loan in the amortisation schedule produced by Amortiseλ¶" &amp; "LoanAmounts   →(Optional) Amount borrowed¶" &amp; "LoanAPR       →(Optional) Annual Percentage Interest Rate¶" &amp; "LoanTerm      →(Optional) Number of months to repay¶" &amp; "EXAMPLES:      →¶" &amp; "Result         →Formula (nabla.f is assumed to be the module's name)¶" &amp; "→=nabla.f.LabelAmortiseλ(tblLoans[Loan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nabla.f.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→https://github.com/ryanduguid/Nabla¶" &amp; "VERSION:       →18 Aug 2026¶" &amp; "PARAMETERS:    →¶" &amp; "AssetNames     →(Required) The names or descriptions of each asset in teh depreciation schedule produced by Depreciateλ¶" &amp; "EXAMPLES:      →¶" &amp; "Result         →Formula (nabla.f is assumed to be the module's name)¶" &amp; "→=nabla.f.LabelDepreciateλ(tblAssets[Asset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nabla.f.Movementλ" comment="Create a row of differences from column to column">_xlfn.LAMBDA(_xlop.BeginningValues,_xlop.Values, _xlfn.LET(_xlpm.Help, TRIM(_xlfn.TEXTSPLIT("FUNCTION:      →Movementλ( [BeginningValue], Values)¶" &amp; "DESCRIPTION:   →Create a row of differences from column to column¶" &amp; "WEBPAGE:       →https://github.com/ryanduguid/Nabla¶" &amp; "VERSION:       →18 Aug 2026¶" &amp; "PARAMETERS:    →¶" &amp; "BeginningValues→(Optional) Defaults to 0¶" &amp; "Values         →(Required) A row of values to compare column to column¶" &amp; "EXAMPLES:      →¶" &amp; "Result         →Formula (nabla.f is assumed to be the module's name)¶" &amp; "100,10,20,-30  →=nabla.f.Movementλ(,{100,110,130,100},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nabla.f.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→https://github.com/ryanduguid/Nabla¶" &amp; "VERSION:       →18 Aug 2026¶" &amp; "PARAMETERS:    →¶" &amp; "StartDate      →(Required) Start Date.¶" &amp; "EndDate        →(Required) End Date¶" &amp; "Interval       →(Required) W=Week, M=Month, Q=Quarter, Y=Year.¶" &amp; "EXAMPLES:      →¶" &amp; "Result         →Formula (nabla.f is assumed to be the module's name)¶" &amp; "1              →=nabla.f.PeriodDiffλ(""2026-01-01"",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nabla.f.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→https://github.com/ryanduguid/Nabla¶" &amp; "VERSION:       →18 Aug 2026¶" &amp; "PARAMETERS:    →¶" &amp; "AnyPeriodStart →(Required) Any start date within a timeline.¶" &amp; "MonthsPerPeriod→(Required) Number of months in each period¶" &amp; "DateOfInterest →(Required) A date for which we want to know the start of the period containing it.¶" &amp; "EXAMPLES:      →¶" &amp; "Result         →Formula (nabla.f is assumed to be the module's name)¶" &amp; "2026-04-01     →=nabla.f.PeriodStartλ(""2026-01-01"", 3, ""2026-04-15"")", "→", "¶")), _xlpm.Help?, OR(_xlfn.ISOMITTED(_xlpm.AnyPeriodStart), _xlfn.ISOMITTED(_xlpm.MonthsPerPeriod), _xlfn.ISOMITTED(_xlpm.DateOfInterest)), _xlpm.MpY, 12, _xlpm.MpP, _xlpm.MonthsPerPeriod, _xlpm.DateDay, DAY(_xlpm.DateOfInterest), _xlpm.PeriodDay, DAY(_xlpm.AnyPeriodStart), _xlpm.DateMonth, MONTH(_xlpm.DateOfInterest), _xlpm.PeriodMonth, MONTH(_xlpm.AnyPeriodStart), _xlpm.MonthModDifference, MOD(_xlpm.DateMonth - _xlpm.PeriodMonth, _xlpm.MpP), _xlpm.NeedPriorPeriod?, AND(_xlpm.MonthModDifference = 0, _xlpm.DateDay &lt; _xlpm.PeriodDay) * -_xlpm.MpP, _xlpm.NewPeriodMonth, MOD(_xlpm.DateMonth - _xlpm.MonthModDifference + _xlpm.NeedPriorPeriod? - 1, _xlpm.MpY) + 1, _xlpm.YearCorrection, -((_xlpm.DateMonth * 100 + _xlpm.DateDay) &lt; (_xlpm.NewPeriodMonth * 100 + _xlpm.PeriodDay)), _xlpm.PeriodDate, DATE(YEAR(_xlpm.DateOfInterest) + _xlpm.YearCorrection, _xlpm.NewPeriodMonth, _xlpm.PeriodDay), _xlpm.LastDayOfMonthAdj, _xlpm.PeriodDate - (MONTH(_xlpm.PeriodDate) &lt;&gt; _xlpm.NewPeriodMonth), _xlpm.Result, _xlpm.LastDayOfMonthAdj, CHOOSE(_xlpm.Help? + 1, _xlpm.Result, _xlpm.Help)))</definedName>
    <definedName name="nabla.f.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→https://github.com/ryanduguid/Nabla¶" &amp; "VERSION:       →18 Aug 2026¶" &amp; "PARAMETERS:    →¶" &amp; "Cell           →(Required) The upper left cell of a range to convert¶" &amp; "Rows           →(Optional) The number of rows for dynamic array. Defaults to 1.¶" &amp; "Columns        →(Optional) The number of columns for dynamic array. Defaults to 1.¶" &amp; "EXAMPLES:      →¶" &amp; "Result         →Formula (nabla.f is assumed to be the module's name)¶" &amp; "               →=nabla.f.RangeToDAλ(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nabla.f.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→https://github.com/ryanduguid/Nabla¶" &amp; "VERSION:       →18 Aug 2026¶" &amp; "PARAMETERS:    →¶" &amp; "OpeningValue   →(Optional) Defaults to 0¶" &amp; "RowToReverse   →(Required) A row of values to reverse the following periods¶" &amp; "EXAMPLES:      →¶" &amp; "Result         →Formula (nabla.f is assumed to be the module's name)¶" &amp; "-100,-110,-130 →=nabla.f.Reversalλ(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nabla.f.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→https://github.com/ryanduguid/Nabla¶" &amp; "VERSION:       →18 Aug 2026¶" &amp; "PARAMETERS:    →¶" &amp; "Values         →(Required) A row of values to be averaged.¶" &amp; "Size           →(Required) The number of values to average that ¶" &amp; "→include and preceed the current value¶" &amp; "EXAMPLES:      →¶" &amp; "Result         →Formula (nabla.f is assumed to be the module's name)¶" &amp; "1,3,6,9,12     →=nabla.f.RollingAvgλ(SEQUENCE(,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nabla.f.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→https://github.com/ryanduguid/Nabla¶" &amp; "VERSION:       →18 Aug 2026¶" &amp; "PARAMETERS:    →¶" &amp; "Values         →(Required) A row of values to be maxed.¶" &amp; "Size           →(Required) The number of values to find maximum that ¶" &amp; "→include and preceed the current value¶" &amp; "EXAMPLES:      →¶" &amp; "Result         →Formula (nabla.f is assumed to be the module's name)¶" &amp; "5,5,5,6,6,7    →=nabla.f.RollingMaxλ({5,3,4,6,3,7},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nabla.f.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→https://github.com/ryanduguid/Nabla¶" &amp; "VERSION:       →18 Aug 2026¶" &amp; "PARAMETERS:    →¶" &amp; "Values         →(Required) A row of values to be minned.¶" &amp; "Size           →(Required) The number of values to find maximum that ¶" &amp; "→include and preceed the current value¶" &amp; "EXAMPLES:      →¶" &amp; "Result         →Formula (nabla.f is assumed to be the module's name)¶" &amp; "5,3,3,3,2,2    →=nabla.f.RollingMaxλ({5,3,4,6,2,7},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nabla.f.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→https://github.com/ryanduguid/Nabla¶" &amp; "VERSION:       →18 Aug 2026¶" &amp; "PARAMETERS:    →¶" &amp; "Values         →(Required) A row of values to be totalled.¶" &amp; "Size           →(Required) The number of values to total that ¶" &amp; "→include and preceed the current value¶" &amp; "EXAMPLES:      →¶" &amp; "Result         →Formula (nabla.f is assumed to be the module's name)¶" &amp; "1,3,6,9,12     →=nabla.f.RollingMinλ(SEQUENCE(,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nabla.f.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nabla.f.SumAmortiseλ" comment="Create row totals for Amortiseλ">_xlfn.LAMBDA(_xlop.AmortisationSchedule, _xlfn.LET(_xlpm.Help, TRIM(_xlfn.TEXTSPLIT("FUNCTION:      →SumAmortiseλ(AmortisationSchedule)¶" &amp; "DESCRIPTION:   →Create row totals for Amortiseλ¶" &amp; "WEBPAGE:       →https://github.com/ryanduguid/Nabla¶" &amp; "VERSION:       →18 Aug 2026¶" &amp; "PARAMETERS:    →¶" &amp; "AmortisationSchedule→(Required) An array produced by Amortiseλ¶" &amp; "EXAMPLES:→¶" &amp; "Result         →Formula (nabla.f is assumed to be the module's name)¶" &amp; "→=nabla.f.SumAmortiseλ(AmortisationSchedule)",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nabla.f.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→https://github.com/ryanduguid/Nabla¶" &amp; "VERSION:       →18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(nabla.f is assumed to be the module's name)¶" &amp; "               →=nabla.f.SumContainsλ(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nabla.f.SumDepreciateλ" comment="Create row totals for Depreciateλ">_xlfn.LAMBDA(_xlop.DepreciationSchedule, _xlfn.LET(_xlpm.Help, TRIM(_xlfn.TEXTSPLIT("FUNCTION:      →SumDepreciateλ(DepreciationSchedule)¶" &amp; "DESCRIPTION:   →Create row totals for Depreciateλ¶" &amp; "WEBPAGE:       →https://github.com/ryanduguid/Nabla¶" &amp; "VERSION:       →18 Aug 2026¶" &amp; "PARAMETERS:    →¶" &amp; "DepreciationSchedule→(Required) An array produced by Depreciateλ¶" &amp; "→¶" &amp; "EXAMPLES:      →¶" &amp; "Result         →Formula (nabla.f is assumed to be the module's name)¶" &amp; "→=nabla.f.SumDepreciateλ(DepreciationSchedule)",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nabla.f.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→18 Aug 2026¶" &amp; "WEBPAGE:       →https://github.com/ryanduguid/Nabla¶"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(nabla.f is assumed to be the module's name)¶" &amp; "03, 07         →=nabla.f.SumPeriodsλ({1,2,3,4;4,3,2,1;10,20,30,40},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nabla.f.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→https://github.com/ryanduguid/Nabla¶" &amp; "VERSION:       →18 Aug 2026¶" &amp; "PARAMETERS:    →¶" &amp; "Cost           →(Required) Asset's initial cost.¶" &amp; "Salvage        →(Required) Asset's value and end of life¶" &amp; "Life           →(Required) Asset's useful life in years.¶" &amp; "EXAMPLES:      →¶" &amp; "→Formula (nabla.f is assumed to be the module's name)¶" &amp; "→=nabla.f.SYDλ(1000, 100, 5)¶" &amp; "→Result¶" &amp; "→300,240,180,120,60", "→", "¶")), _xlpm.Help?, OR(_xlfn.ISOMITTED(_xlpm.Cost), _xlfn.ISOMITTED(_xlpm.Salvage), _xlfn.ISOMITTED(_xlpm.Life)), _xlpm.Result, SYD(_xlpm.Cost, _xlpm.Salvage, _xlpm.Life, _xlfn.SEQUENCE(, _xlpm.Life)), CHOOSE(_xlpm.Help? + 1, _xlpm.Result, _xlpm.Help)))</definedName>
    <definedName name="nabla.f.TimelineOffsetλ" comment="Determines how many periods one array is offset from the timeline">_xlfn.LAMBDA(_xlop.Date,_xlop.Timeline, _xlfn.LET(_xlpm.Help, TRIM(_xlfn.TEXTSPLIT("FUNCTION:      →TimelineOffsetλ(ArrayStart, Timeline)¶" &amp; "DESCRIPTION:   →Determines in which period, relative to the timeline's start and interval,¶" &amp; "→a date falls within.¶" &amp; "WEBPAGE:       →https://github.com/ryanduguid/Nabla¶" &amp; "VERSION:       →18 Aug 2026¶" &amp; "PARAMETERS:    →¶" &amp; "Date           →(Required) A starting date¶" &amp; "Timeline       →(Required) A model's timline (Row of period start dates)¶" &amp; "EXAMPLES:      →¶" &amp; "Result         →Formula (nabla.f is assumed to be the module's name)¶" &amp; "→=nabla.f.TimelineOffsetλ(""15/2/2024"", EDATE(""1/1/2025"", SEQUENCE( , 12, 0)", "→", "¶")), _xlpm.Help?, OR(_xlfn.ISOMITTED(_xlpm.Date), _xlfn.ISOMITTED(_xlpm.Timeline)), _xlpm.Date, _xlfn.SINGLE(IF(ISTEXT(_xlpm.Date), DATEVALUE(_xlpm.Date), _xlpm.Date)), _xlpm.Period1, INDEX(_xlpm.Timeline, 1), _xlpm.Period2, INDEX(_xlpm.Timeline, 2), _xlpm.MpP, ROUND((_xlpm.Period2 - _xlpm.Period1) / 30.5,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_xlpm.Result, MATCH(_xlpm.Date, _xlpm.SearchTimeline, 1) - IF(_xlpm.Direction = 1, 1, _xlpm.PeriodDiff + 2), CHOOSE(_xlpm.Help? + 1, _xlpm.Result, _xlpm.Help)))</definedName>
    <definedName name="nabla.f.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→https://github.com/ryanduguid/Nabla¶" &amp; "VERSION:       →18 Aug 2026¶" &amp; "PARAMETERS:    →¶" &amp; "Array          →(Required) The array to be positioned relative to a model's timeline¶" &amp; "Timeline       →(Required) A model's timline¶" &amp; "Offset         →(Required) The number of rows or columns to start placing the array within the timeline¶" &amp; "NOTES!         →¶" &amp; "→Timelines can be vertical or horizontal. Whichever way the timeline goes, the array must match.¶" &amp; "EXAMPLES:      →¶" &amp; "Result         →Formula (nabla.f is assumed to be the module's name)¶" &amp; "→=nabla.f.TimelinePositionλ(SEQUENCE(3,3), EDATE(""1/1/2025"",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nabla.f.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→https://github.com/ryanduguid/Nabla¶" &amp; "VERSION:       →18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(nabla.f is assumed to be the module's name)¶" &amp; "→=nabla.f.VDBλ(1000, 100, 5, 1.5, TRUE)¶" &amp; "→Result¶" &amp; "→300.00,210.00,147.00,121.50,121.50",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CHOOSE(_xlpm.Help? + 1, _xlpm.Result, _xlpm.Help)))</definedName>
    <definedName name="nabla.debt.Amortise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→18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[0]!nabla.debt.Amortiseλ(IF(_xlpm.Period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nabla.debt.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[0]!nabla.debt.DebtSculptFixedλ(_xlpm.ClosingDebt, _xlpm.Debt, _xlpm.CFADS, _xlpm.DSCR, _xlpm.APR, _xlpm.MonthsPerPeriod, _xlpm.Period + 1))), _xlpm.Return, IF(AND(_xlpm.Errors), 2, IF(OR(_xlpm.Errors), 3, IF(OR(ISERROR(_xlpm.Result)), 2, 1))), CHOOSE(_xlpm.Return, _xlpm.Result, _xlpm.Help, _xlpm.Messages)))</definedName>
    <definedName name="nabla.debt.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[0]!nabla.debt.InterestLRVλ(_xlpm.PeriodCFADS, _xlpm.PeriodDSCR, _xlpm.Principal, _xlpm.PeriodRate), _xlpm.Payment, MIN(_xlpm.PeriodCFADS / _xlpm.PeriodDSCR - _xlpm.Interest,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[0]!nabla.debt.DebtSculptVariableLRVλ(_xlpm.ClosingDebt, _xlpm.Debt, _xlpm.CFADS, _xlpm.DSCR, _xlpm.APR, _xlpm.MonthsPerPeriod, _xlpm.Period + 1))), _xlpm.Return, IF(AND(_xlpm.Errors), 2, IF(OR(_xlpm.Errors), 3, IF(OR(ISERROR(_xlpm.Result)), 2, 1))), CHOOSE(_xlpm.Return, _xlpm.Result, _xlpm.Help, _xlpm.Messages)))</definedName>
    <definedName name="nabla.debt.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→18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[0]!nabla.debt.DebtSculptVariableλ(_xlpm.ClosingDebt, _xlpm.Debt, _xlpm.CFADS, _xlpm.DSCR, _xlpm.APR, _xlpm.MonthsPerPeriod, _xlpm.Period + 1))), _xlpm.Return, IF(AND(_xlpm.Errors), 2, IF(OR(_xlpm.Errors), 3, IF(OR(ISERROR(_xlpm.Result)), 2, 1))), CHOOSE(_xlpm.Return, _xlpm.Result, _xlpm.Help, _xlpm.Messages)))</definedName>
    <definedName name="nabla.debt.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 &amp; "VERSION:       →18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IF(_xlpm.DoNotUse = 0, _xlpm.CFADS / _xlpm.DSCR, _xlpm.DoNotUse), _xlpm.Interest, (_xlpm.Principal - _xlpm.Payment / 2) * _xlpm.InterestRate, _xlpm.Repayment, -_xlpm.CFADS / _xlpm.DSCR + _xlpm.Interest, _xlpm.Balance, _xlpm.Principal + _xlpm.Interest + _xlpm.Repayment, _xlpm.Result, IF(ABS(_xlpm.Payment + _xlpm.Repayment) &lt; 0.01, MAX(_xlpm.Interest, 0), [0]!nabla.debt.InterestLRVλ(_xlpm.CFADS, _xlpm.DSCR, _xlpm.Principal, _xlpm.InterestRate, -_xlpm.Repayment)), _xlpm.Return, IF(AND(_xlpm.Errors), 2, IF(OR(_xlpm.Errors), 3, IF(OR(ISERROR(_xlpm.Result)), 2, 1))), CHOOSE(_xlpm.Return, _xlpm.Result, _xlpm.Help, _xlpm.Messages)))</definedName>
    <definedName name="nabla.r.Aboutλ" comment="Displays this module's repository URL and function list">TRIM(_xlfn.TEXTSPLIT("About:                     →A library of Financial Ratios¶" &amp; "Version:                   →18 Aug 2026¶" &amp; "Repository:                  →https://github.com/ryanduguid/Nabla ¶" &amp; "Notes:                     →Sources include Investopedia.com, Corporate Finance and WallStreetPrep.com.¶" &amp; "→Copyright applies to LAMBDA coding¶" &amp; "→¶" &amp; "Function                   →Description¶" &amp; "Aboutλ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nabla.r.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→18 Aug 2026¶" &amp; "PARAMETERS:→¶" &amp; "NetSales       →(Required) revenue or net sales. ¶" &amp; "TotalAssets    →(Required) Average of Assets and period start and end.¶" &amp; "EXAMPLES:      →Formula (nabla.r is assumed to be the module's name)¶" &amp; ".32x           →=nabla.r.AssetTurnoverRatioλ( 171760, 538715 )", "→", "¶")), _xlpm.Help?, OR(_xlfn.ISOMITTED(_xlpm.NetSales), _xlfn.ISOMITTED(_xlpm.TotalAssets)), _xlpm.Result, _xlpm.NetSales / _xlpm.TotalAssets, CHOOSE(_xlpm.Help? + 1, _xlpm.Result, _xlpm.Help)))</definedName>
    <definedName name="nabla.r.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→18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(nabla.r is assumed to be the module's name)¶" &amp; "5                  →=nabla.r.BVPSλ(20.0,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nabla.r.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→18 Aug 2026¶" &amp; "PARAMETERS:→¶" &amp; "SharePrice     →(Required) Current stock price ¶" &amp; "TenYearAverageEarningsInflationAdjusted→(Required) Average earnings per share for 10 years adjusted for inflation ¶" &amp; "EXAMPLES:      →Formula (nabla.r is assumed to be the module's name)¶" &amp; "10             →=nabla.r.CAPERatioλ( 100.0, 10.0  )", "→", "¶")), _xlpm.Help?, OR(_xlfn.ISOMITTED(_xlpm.SharePrice), _xlfn.ISOMITTED(_xlpm.TenYearAverageEarningsInflationAdjusted)), _xlpm.Result, _xlpm.SharePrice / _xlpm.TenYearAverageEarningsInflationAdjusted, CHOOSE(_xlpm.Help? + 1, _xlpm.Result, _xlpm.Help)))</definedName>
    <definedName name="nabla.r.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NetIncome, Revenue)¶" &amp; "DESCRIPTION:   →Cash Flow Margin is a trusted metric of a company’s profitability ¶" &amp; "→and efficiency and its earnings quality ¶" &amp; "→(Cash Flow From Operating Activities/Revenue).¶" &amp; "WEBPAGE:       →https://www.investopedia.com/terms/o/operating-cash-flow-margin.asp ¶" &amp; "VERSION:       →18 Aug 2026¶" &amp; "PARAMETERS:→¶" &amp; "CashFlowFromOperatingActivities→(Required) Cash Flow From Operating Activities includes:¶" &amp; "→Net Income¶" &amp; "→Non-cash Expenses (Depreciation and Amortisation)¶" &amp; "→Change in Working Capital¶" &amp; "Revenue        →(Required) Revenue¶" &amp; "EXAMPLES:      →Formula (nabla.r is assumed to be the module's name)¶" &amp; "50.8%          →=nabla.r.CashFlowMarginλ( 2.695, 5.3 )", "→", "¶")), _xlpm.Help?, OR(_xlfn.ISOMITTED(_xlpm.CashFlowFromOperatingActivities), _xlfn.ISOMITTED(_xlpm.Revenue)), _xlpm.Result, _xlpm.CashFlowFromOperatingActivities / _xlpm.Revenue, CHOOSE(_xlpm.Help? + 1, _xlpm.Result, _xlpm.Help)))</definedName>
    <definedName name="nabla.r.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→18 Aug 2026¶" &amp; "PARAMETERS:→¶" &amp; "Cash           →(Required) Cash and Cash Equivalents¶" &amp; "Liabilities     →(Required) Current Liabilities. Includes: ¶" &amp; "→Accounts payable ¶" &amp; "→Wages ¶" &amp; "→Taxes payable ¶" &amp; "→Short-term debts ¶" &amp; "→Current portion of long-term debt ¶" &amp; "EXAMPLES:      →Formula (nabla.r is assumed to be the module's name)¶" &amp; ".517409        →=nabla.r.CashRatioλ( 63900000, 123500000)", "→", "¶")), _xlpm.Help?, OR(_xlfn.ISOMITTED(_xlpm.Cash), _xlfn.ISOMITTED(_xlpm.Liabilities)), _xlpm.Result, _xlpm.Cash / _xlpm.Liabilities, CHOOSE(_xlpm.Help? + 1, _xlpm.Result, _xlpm.Help)))</definedName>
    <definedName name="nabla.r.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→18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(nabla.r is assumed to be the module's name)¶" &amp; "1.075          →=nabla.r.CurrentRatioλ( 134.836, 125.481)", "→", "¶")), _xlpm.Help?, OR(_xlfn.ISOMITTED(_xlpm.Assets), _xlfn.ISOMITTED(_xlpm.Liabilities)), _xlpm.Result, _xlpm.Assets / _xlpm.Liabilities, CHOOSE(_xlpm.Help? + 1, _xlpm.Result, _xlpm.Help)))</definedName>
    <definedName name="nabla.r.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→18 Aug 2026¶" &amp; "PARAMETERS:→¶" &amp; "TotalDebt      →(Required) Total Debt ¶" &amp; "TotalAssets    →(Required) Total Assets ¶" &amp; "EXAMPLES:      →Formula (nabla.r is assumed to be the module's name)¶" &amp; ".3             →=nabla.r.DebtRatioλ(30.0, 100.0)", "→", "¶")), _xlpm.Help?, OR(_xlfn.ISOMITTED(_xlpm.TotalDebt), _xlfn.ISOMITTED(_xlpm.TotalAssets)), _xlpm.Result, _xlpm.TotalDebt / _xlpm.TotalAssets, CHOOSE(_xlpm.Help? + 1, _xlpm.Result, _xlpm.Help)))</definedName>
    <definedName name="nabla.r.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→18 Aug 2026¶" &amp; "PARAMETERS:        →¶" &amp; "TotalDebt          →(Required) Total debt includes shortterm and longterm debt¶" &amp; "TotalAssets        →(Required) Shareholders' Equity (total assets - total liabilities) ¶" &amp; "EXAMPLES:          →Formula (nabla.r is assumed to be the module's name)¶" &amp; ".49873             →=nabla.r.DebtToAssetRatioλ(31.845, 63.852 )", "→", "¶")), _xlpm.Help?, OR(_xlfn.ISOMITTED(_xlpm.TotalDebt), _xlfn.ISOMITTED(_xlpm.TotalAssets)), _xlpm.Result, _xlpm.TotalDebt / _xlpm.TotalAssets, CHOOSE(_xlpm.Help? + 1, _xlpm.Result, _xlpm.Help)))</definedName>
    <definedName name="nabla.r.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→18 Aug 2026¶" &amp; "PARAMETERS:→¶" &amp; "Debt               →(Required) Total Debt which can include: ¶" &amp; "→Notes payable¶" &amp; "→Bonds payable¶" &amp; "→Long-term liabilities¶" &amp; "ShareholdersEquity →(Required) Shareholders' Equity (total assets - total liabilities) ¶" &amp; "EXAMPLES:          →Formula (nabla.r is assumed to be the module's name)¶" &amp; "26.4%              →=nabla.r.DebtToCapitalRatioλ( 80.0, 223.0 )", "→", "¶")), _xlpm.Help?, OR(_xlfn.ISOMITTED(_xlpm.Debt), _xlfn.ISOMITTED(_xlpm.ShareholdersEquity)), _xlpm.Result, _xlpm.Debt / (_xlpm.Debt + _xlpm.ShareholdersEquity), CHOOSE(_xlpm.Help? + 1, _xlpm.Result, _xlpm.Help)))</definedName>
    <definedName name="nabla.r.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→18 Aug 2026¶" &amp; "PARAMETERS:        →¶" &amp; "TotalLiabilities   →(Required) Total Liabilities¶" &amp; "ShareholdersEquity →(Required) Shareholders' Equity (total assets - total liabilities) ¶" &amp; "EXAMPLES:          →Formula (nabla.r is assumed to be the module's name)¶" &amp; "3.77               →=nabla.r.DebtToEquityRatioλ(279.0, 74.0 )", "→", "¶")), _xlpm.Help?, OR(_xlfn.ISOMITTED(_xlpm.TotalLiabilities), _xlfn.ISOMITTED(_xlpm.ShareholdersEquity), ), _xlpm.Result, _xlpm.TotalLiabilities / _xlpm.ShareholdersEquity, CHOOSE(_xlpm.Help? + 1, _xlpm.Result, _xlpm.Help)))</definedName>
    <definedName name="nabla.r.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→18 Aug 2026¶" &amp; "PARAMETERS:→¶" &amp; "AnnualDividendsPerShare→(Required) Annual Dividends Per Share ¶" &amp; "SharePrice     →(Required) Market value per share ¶" &amp; "EXAMPLES:      →Formula (nabla.r is assumed to be the module's name)¶" &amp; "2.6667%        →=nabla.r.DividendYieldRatioλ( 1.2, 45 )", "→", "¶")), _xlpm.Help?, OR(_xlfn.ISOMITTED(_xlpm.AnnualDividendsPerShare), _xlfn.ISOMITTED(_xlpm.SharePrice)), _xlpm.Result, _xlpm.AnnualDividendsPerShare / _xlpm.SharePrice, CHOOSE(_xlpm.Help? + 1, _xlpm.Result, _xlpm.Help)))</definedName>
    <definedName name="nabla.r.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→18 Aug 2026¶" &amp; "PARAMETERS:→¶" &amp; "DividendsPaid  →(Required) Dividends paid ¶" &amp; "NetIncome      →(Required) Net Income¶" &amp; "EXAMPLES:      →Formula (nabla.r is assumed to be the module's name)¶" &amp; "25%            →=nabla.r.DPRλ( 5.0, 20.0 )", "→", "¶")), _xlpm.Help?, OR(_xlfn.ISOMITTED(_xlpm.DividendsPaid), _xlfn.ISOMITTED(_xlpm.NetIncome)), _xlpm.Result, _xlpm.DividendsPaid / _xlpm.NetIncome, CHOOSE(_xlpm.Help? + 1, _xlpm.Result, _xlpm.Help)))</definedName>
    <definedName name="nabla.r.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→18 Aug 2026¶" &amp; "PARAMETERS:→¶" &amp; "NetOperatingIncome →(Required) Revenue - Certain Operating Expenses¶" &amp; "TotaldebtService   →(Required) Interest * (1-Tax Rate), principal, sinking fund,¶" &amp; "→and lease payments due in the coming year¶" &amp; "EXAMPLES:          →Formula (nabla.r is assumed to be the module's name)¶" &amp; "6.142857           →=nabla.r.DSCRλ(2150.0, 350.0)", "→", "¶")), _xlpm.Help?, OR(_xlfn.ISOMITTED(_xlpm.NetOperatingIncome), _xlfn.ISOMITTED(_xlpm.TotalDebtService)), _xlpm.Result, _xlpm.NetOperatingIncome / _xlpm.TotalDebtService, CHOOSE(_xlpm.Help? + 1, _xlpm.Result, _xlpm.Help)))</definedName>
    <definedName name="nabla.r.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→18 Aug 2026¶" &amp; "PARAMETERS:→¶" &amp; "AverageInventory→  (Required) Average of period open and close Inventory¶" &amp; "CostOfGoodsSold→   (Required) Cost of Goods Sold (COGS) ¶" &amp; "EXAMPLES:          →Formula (nabla.r is assumed to be the module's name)¶" &amp; "40.8949 days       →=nabla.r.DSIλ(54.9, 490 )", "→", "¶")), _xlpm.Help?, OR(_xlfn.ISOMITTED(_xlpm.AverageInventory), _xlfn.ISOMITTED(_xlpm.CostOfGoodsSold)), _xlpm.DpY, 365, _xlpm.Result, _xlpm.AverageInventory / _xlpm.CostOfGoodsSold * _xlpm.DpY, CHOOSE(_xlpm.Help? + 1, _xlpm.Result, _xlpm.Help)))</definedName>
    <definedName name="nabla.r.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→18 Aug 2026¶" &amp; "PARAMETERS:→¶" &amp; "EBITDA         →(Required) Earnings Before Interest, tax, depreciation, and amortisation¶" &amp; "TotalRevenue   →(Required) Total Revenue¶" &amp; "EXAMPLES:      →Formula (nabla.r is assumed to be the module's name)¶" &amp; "12%            →=nabla.r.EBITDAMarginλ( 15.0, 125.0 )", "→", "¶")), _xlpm.Help?, OR(_xlfn.ISOMITTED(_xlpm.EBITDA), _xlfn.ISOMITTED(_xlpm.TotalRevenue)), _xlpm.Result, _xlpm.EBITDA / _xlpm.TotalRevenue, CHOOSE(_xlpm.Help? + 1, _xlpm.Result, _xlpm.Help)))</definedName>
    <definedName name="nabla.r.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→18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(nabla.r is assumed to be the module's name)¶" &amp; "1.909548           →=nabla.r.EPSλ( 7.6,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nabla.r.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→18 Aug 2026¶" &amp; "PARAMETERS:        →¶" &amp; "TotalAssets        →(Required) Both current and long-term assets¶" &amp; "ShareholdersEquity →(Required) Shareholders' Equity (total assets - total liabilities) ¶" &amp; "EXAMPLES:          →Formula (nabla.r is assumed to be the module's name)¶" &amp; "4.40625            →=nabla.r.EquityMultiplierλ(366.6, 83.2 )", "→", "¶")), _xlpm.Help?, OR(_xlfn.ISOMITTED(_xlpm.TotalAssets), _xlfn.ISOMITTED(_xlpm.TotalShareholdersEquity)), _xlpm.Result, _xlpm.TotalAssets / _xlpm.TotalShareholdersEquity, CHOOSE(_xlpm.Help? + 1, _xlpm.Result, _xlpm.Help)))</definedName>
    <definedName name="nabla.r.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→InterestCoverageRatioλ(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→18 Aug 2026¶" &amp; "PARAMETERS:        →¶" &amp; "OperatingIncome    →(Required) Operating Income (EBIT) ¶" &amp; "InterestExpenses   →(Required) Interest Expense ¶" &amp; "EXAMPLES:          →Formula (nabla.r is assumed to be the module's name)¶" &amp; "40%                →=nabla.r.EquityRatioλ( 20.0,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nabla.r.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→18 Aug 2026¶" &amp; "PARAMETERS:→¶" &amp; "GrossProfit    →(Required) Gross Profit¶" &amp; "NetSales       →(Required) Net Sales or Revenue¶" &amp; "EXAMPLES:      →Formula (nabla.r is assumed to be the module's name)¶" &amp; "61.7448%       →=nabla.r.GrossMarginλ( 62.984, 102.007 )", "→", "¶")), _xlpm.Help?, OR(_xlfn.ISOMITTED(_xlpm.GrossProfit), _xlfn.ISOMITTED(_xlpm.NetSales)), _xlpm.Result, _xlpm.GrossProfit / _xlpm.NetSales, CHOOSE(_xlpm.Help? + 1, _xlpm.Result, _xlpm.Help)))</definedName>
    <definedName name="nabla.r.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→18 Aug 2026¶" &amp; "PARAMETERS:        →¶" &amp; "OperatingIncome    →(Required) Operating Income (EBIT) ¶" &amp; "InterestExpenses   →(Required) Interest Expense ¶" &amp; "EXAMPLES:          →Formula (nabla.r is assumed to be the module's name)¶" &amp; "6.944444           →=nabla.r.InterestCoverageRatioλ( 625.0, 90.0 )", "→", "¶")), _xlpm.Help?, OR(_xlfn.ISOMITTED(_xlpm.OperatingIncome), _xlfn.ISOMITTED(_xlpm.InterestExpenses)), _xlpm.Result, _xlpm.OperatingIncome / _xlpm.InterestExpenses, CHOOSE(_xlpm.Help? + 1, _xlpm.Result, _xlpm.Help)))</definedName>
    <definedName name="nabla.r.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→18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(nabla.r is assumed to be the module's name)¶" &amp; "8.461538           →=nabla.r.InventoryTurnoverRatioλ( 429, 50.7)", "→", "¶")), _xlpm.Help?, OR(_xlfn.ISOMITTED(_xlpm.CostOfGoodsSold), _xlfn.ISOMITTED(_xlpm.AverageInventory)), _xlpm.Result, _xlpm.CostOfGoodsSold / _xlpm.AverageInventory, CHOOSE(_xlpm.Help? + 1, _xlpm.Result, _xlpm.Help)))</definedName>
    <definedName name="nabla.r.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→18 Aug 2026¶" &amp; "PARAMETERS:→¶" &amp; "NetIncome      →(Required) Net Income includes:¶" &amp; "→Revenue¶" &amp; "→Less COGS¶" &amp; "→Less Operating and other expenses¶" &amp; "→Less Interest¶" &amp; "→Less Taxes¶" &amp; "Revenue        →(Required) Revenue¶" &amp; "EXAMPLES:      →Formula (nabla.r is assumed to be the module's name)¶" &amp; "56%            →=nabla.r.NetProfitMarginλ( 56.0, 100.0 )", "→", "¶")), _xlpm.Help?, OR(_xlfn.ISOMITTED(_xlpm.NetIncome), _xlfn.ISOMITTED(_xlpm.Revenue)), _xlpm.Result, _xlpm.NetIncome / _xlpm.Revenue, CHOOSE(_xlpm.Help? + 1, _xlpm.Result, _xlpm.Help)))</definedName>
    <definedName name="nabla.r.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→18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(nabla.r is assumed to be the module's name)¶" &amp; "0.35871            →=nabla.r.OperatingCashFlowRatioλ( 27.8, 77.5)", "→", "¶")), _xlpm.Help?, OR(_xlfn.ISOMITTED(_xlpm.OperatingCashFlow), _xlfn.ISOMITTED(_xlpm.Liabilities)), _xlpm.Result, _xlpm.OperatingCashFlow / _xlpm.Liabilities, CHOOSE(_xlpm.Help? + 1, _xlpm.Result, _xlpm.Help)))</definedName>
    <definedName name="nabla.r.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→18 Aug 2026¶" &amp; "PARAMETERS:→¶" &amp; "OperatingEarnings  →(Required) Earnings Before Interest and tax (EBIT) which is revenue - COGS¶" &amp; "Revenue            →(Required) Revenue¶" &amp; "EXAMPLES:          →Formula (nabla.r is assumed to be the module's name)¶" &amp; "40%                →=nabla.r.OperatingMarginλ( .8, 2.0 )", "→", "¶")), _xlpm.Help?, OR(_xlfn.ISOMITTED(_xlpm.OperatingEarnings), _xlfn.ISOMITTED(_xlpm.Revenue)), _xlpm.Result, _xlpm.OperatingEarnings / _xlpm.Revenue, CHOOSE(_xlpm.Help? + 1, _xlpm.Result, _xlpm.Help)))</definedName>
    <definedName name="nabla.r.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→18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(nabla.r is assumed to be the module's name)¶" &amp; "69%                →=nabla.r.OperatingRatioλ( 14.37,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nabla.r.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→18 Aug 2026¶" &amp; "PARAMETERS:→¶" &amp; "PretaxEarnings →(Required) Earnings before tax (EBT)¶" &amp; "Revenue        →(Required) Revenue¶" &amp; "EXAMPLES:      →Formula (nabla.r is assumed to be the module's name)¶" &amp; "8%             →=nabla.r.PretaxMarginλ( 40.0, 500.0 )", "→", "¶")), _xlpm.Help?, OR(_xlfn.ISOMITTED(_xlpm.PretaxEarnings), _xlfn.ISOMITTED(_xlpm.Revenue)), _xlpm.Result, _xlpm.PretaxEarnings / _xlpm.Revenue, CHOOSE(_xlpm.Help? + 1, _xlpm.Result, _xlpm.Help)))</definedName>
    <definedName name="nabla.r.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→18 Aug 2026¶" &amp; "PARAMETERS:→¶" &amp; "SharePrice         →(Required) Share Price (Market Value Per Share) ¶" &amp; "EarningsPerShare   →(Required) Earnings Per Share¶" &amp; "EXAMPLES:          →Formula (nabla.r is assumed to be the module's name)¶" &amp; "14.39881           →=nabla.r.PriceEarningsRatioλ( 242.62, 16.85)", "→", "¶")), _xlpm.Help?, OR(_xlfn.ISOMITTED(_xlpm.SharePrice), _xlfn.ISOMITTED(_xlpm.EarningsPerShare)), _xlpm.Result, _xlpm.SharePrice / _xlpm.EarningsPerShare, CHOOSE(_xlpm.Help? + 1, _xlpm.Result, _xlpm.Help)))</definedName>
    <definedName name="nabla.r.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BookValuePerShareBvps)¶"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→18 Aug 2026¶" &amp; "PARAMETERS:→¶" &amp; "MarketPricePerShare→(Required) Market Price Per Share (Current market price of the share)¶" &amp; "BookValuePerShare  →(Required) Book Value Per share ¶" &amp; "→(Total assets - intangible assets - total liabilities) ÷ number of outstanding shares ¶" &amp; "EXAMPLES:          →Formula (nabla.r is assumed to be the module's name)¶" &amp; "2.0                →=nabla.r.PriceToBookRatioλ( 5, 2.50 )", "→", "¶")), _xlpm.Help?, OR(_xlfn.ISOMITTED(_xlpm.MarketPricePerShare), _xlfn.ISOMITTED(_xlpm.BookValuePerShare)), _xlpm.Result, _xlpm.MarketPricePerShare / _xlpm.BookValuePerShare, CHOOSE(_xlpm.Help? + 1, _xlpm.Result, _xlpm.Help)))</definedName>
    <definedName name="nabla.r.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SalesPerShare)¶"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→18 Aug 2026¶" &amp; "PARAMETERS:→¶" &amp; "MarketPricePerShare→(Required) Market Price Per Share (Current market price of the share)¶" &amp; "OperatingCashFlowPerShare→(Required) Operating Cash Flow for prior 12 months/Shares outstanding ¶" &amp; "EXAMPLES:          →Formula (nabla.r is assumed to be the module's name)¶" &amp; "2                  →=nabla.r.PriceToCashRatioλ( 200.0, 100.0 )", "→", "¶")), _xlpm.Help?, OR(_xlfn.ISOMITTED(_xlpm.MarketPricePerShare), _xlfn.ISOMITTED(_xlpm.OperatingCashFlowPerShare)), _xlpm.Result, _xlpm.MarketPricePerShare / _xlpm.OperatingCashFlowPerShare, CHOOSE(_xlpm.Help? + 1, _xlpm.Result, _xlpm.Help)))</definedName>
    <definedName name="nabla.r.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→18 Aug 2026¶" &amp; "PARAMETERS:→¶" &amp; "MarketPricePerShare→(Required) Market Price Per Share (Current market price of the share)¶" &amp; "SalesPerShare      →(Required) Annual Sales Per Share (Revenue prior 12 months) ¶" &amp; "EXAMPLES:          →Formula (nabla.r is assumed to be the module's name)¶" &amp; "4.55               →=nabla.r.PriceToSalesRatioλ( 455.0, 100.0 )", "→", "¶")), _xlpm.Help?, OR(_xlfn.ISOMITTED(_xlpm.MarketPricePerShare), _xlfn.ISOMITTED(_xlpm.SalesPerShare)), _xlpm.Result, _xlpm.MarketPricePerShare / _xlpm.SalesPerShare, CHOOSE(_xlpm.Help? + 1, _xlpm.Result, _xlpm.Help)))</definedName>
    <definedName name="nabla.r.QuickRatioλ" comment="Measures ability to meet short-term obligations (Quick Assets/Current Liabilities)">_xlfn.LAMBDA(_xlop.QuickAssets,_xlop.Liabilities, _xlfn.LET(_xlpm.Help, TRIM(_xlfn.TEXTSPLIT("FUNCTION:      →QuickRatioλ( LiquidAssets, Liabilities)¶" &amp; "DESCRIPTION:   →Measures ability to meet short-term obligations¶" &amp; "→(Quick Assets/Current Liabilities)¶" &amp; "WEBPAGE:       →https://www.investopedia.com/terms/q/quickratio.asp ¶" &amp; "VERSION:       →18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(nabla.r is assumed to be the module's name)¶" &amp; "1.2            →=nabla.r.QuickRatioλ( 165000, 137500)", "→", "¶")), _xlpm.Help?, OR(_xlfn.ISOMITTED(_xlpm.QuickAssets), _xlfn.ISOMITTED(_xlpm.Liabilities)), _xlpm.Result, _xlpm.QuickAssets / _xlpm.Liabilities, CHOOSE(_xlpm.Help? + 1, _xlpm.Result, _xlpm.Help)))</definedName>
    <definedName name="nabla.r.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→18 Aug 2026¶" &amp; "PARAMETERS:→¶" &amp; "NetCreditSales →(Required) Net Credit Sales. Amount of revenue earned by a company paid via credit¶" &amp; "AverageAccountsReceivable→(Required) Average Accounts Receivable. Average of period opening and closing balance¶" &amp; "EXAMPLES:      →Formula (nabla.r is assumed to be the module's name)¶" &amp; "11.76471       →=nabla.r.ReceivablesTurnoverRatioλ( 800000, 68000 )", "→", "¶")), _xlpm.Help?, OR(_xlfn.ISOMITTED(_xlpm.NetCreditSales), _xlfn.ISOMITTED(_xlpm.AverageAccountsReceivable)), _xlpm.Result, _xlpm.NetCreditSales / _xlpm.AverageAccountsReceivable, CHOOSE(_xlpm.Help? + 1, _xlpm.Result, _xlpm.Help)))</definedName>
    <definedName name="nabla.r.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→18 Aug 2026¶" &amp; "PARAMETERS:→¶" &amp; "RetainedEarnings   →(Required) Retained Earnings (Net Income - paid dividends)¶" &amp; "NetIncome          →(Required) Net Income¶" &amp; "EXAMPLES:          →Formula (nabla.r is assumed to be the module's name)¶" &amp; "189.9%             →=nabla.r.RetentionRatioλ( 41.981, 22.112)", "→", "¶")), _xlpm.Help?, OR(_xlfn.ISOMITTED(_xlpm.RetainedEarnings), _xlfn.ISOMITTED(_xlpm.NetIncome)), _xlpm.Result, _xlpm.RetainedEarnings / _xlpm.NetIncome, CHOOSE(_xlpm.Help? + 1, _xlpm.Result, _xlpm.Help)))</definedName>
    <definedName name="nabla.r.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→18 Aug 2026¶" &amp; "PARAMETERS:→¶" &amp; "NetIncome      →(Required) Net Income¶" &amp; "TotalAssets    →(Required) Total Assets¶" &amp; "EXAMPLES:      →Formula (nabla.r is assumed to be the module's name)¶" &amp; "8%             →=nabla.r.ROAλ(1200, 15000 )", "→", "¶")), _xlpm.Help?, OR(_xlfn.ISOMITTED(_xlpm.NetIncome), _xlfn.ISOMITTED(_xlpm.TotalAssets)), _xlpm.Result, _xlpm.NetIncome / _xlpm.TotalAssets, CHOOSE(_xlpm.Help? + 1, _xlpm.Result, _xlpm.Help)))</definedName>
    <definedName name="nabla.r.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→18 Aug 2026¶" &amp; "PARAMETERS:→¶" &amp; "NetIncome          →(Required) Net Income¶" &amp; "ShareholdersEquity →(Required) Average Shareholders' Equity from period open and close ¶" &amp; "EXAMPLES:          →Formula (nabla.r is assumed to be the module's name)¶" &amp; "23.6213%           →=nabla.r.ROEλ( 59.972, AVERAGE(251.635, 256.144) )", "→", "¶")), _xlpm.Help?, OR(_xlfn.ISOMITTED(_xlpm.NetIncome), _xlfn.ISOMITTED(_xlpm.ShareholdersEquity)), _xlpm.Result, _xlpm.NetIncome / _xlpm.ShareholdersEquity, CHOOSE(_xlpm.Help? + 1, _xlpm.Result, _xlpm.Help)))</definedName>
    <definedName name="nabla.r.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→18 Aug 2026¶" &amp; "PARAMETERS:→¶" &amp; "NetOperatingProfitAfterTax→(Required) Net Operating profit after Tax [ operating profit x (1 - effective tax rate) ].¶" &amp; "InvestedCapital→(Required) Invested Capital (Debt + Equity).¶" &amp; "EXAMPLES:      →Formula (nabla.r is assumed to be the module's name)¶" &amp; "12.6122%       →=nabla.r.ROICλ( 3245, 25729 )", "→", "¶")), _xlpm.Help?, OR(_xlfn.ISOMITTED(_xlpm.NetOperatingProfitAfterTax), _xlfn.ISOMITTED(_xlpm.InvestedCapital)), _xlpm.Result, _xlpm.NetOperatingProfitAfterTax / _xlpm.InvestedCapital, CHOOSE(_xlpm.Help? + 1, _xlpm.Result, _xlpm.Help)))</definedName>
    <definedName name="nabla.r.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→18 Aug 2026¶" &amp; "PARAMETERS:→¶" &amp; "NetReturnonInvestment  →(Required) Net Return on Investment is the ¶" &amp; "→final value of investment - initial value of investment¶" &amp; "CostofInvestment       →(Required) Cost of Investment ¶" &amp; "EXAMPLES:              →Formula (nabla.r is assumed to be the module's name)¶" &amp; "28.75%                 →=nabla.r.ROIλ( 2875, 10000 )", "→", "¶")), _xlpm.Help?, OR(_xlfn.ISOMITTED(_xlpm.NetReturnonInvestment), _xlfn.ISOMITTED(_xlpm.CostofInvestment)), _xlpm.Result, _xlpm.NetReturnonInvestment / _xlpm.CostofInvestment, CHOOSE(_xlpm.Help? + 1, _xlpm.Result, _xlpm.Help)))</definedName>
    <definedName name="nabla.r.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CostOfGoodsSold, AverageInventory)¶" &amp; "DESCRIPTION:      →Working Capital Turnover Ratio measures how efficiently a company ¶" &amp; "→is using its working capital to support sales and growth ¶" &amp; "→(Net Annual Sales/Average Working Capital). ¶" &amp; "WEBPAGE:          →https://www.investopedia.com/terms/w/workingcapitalturnover.asp ¶" &amp; "VERSION:          →18 Aug 2026¶" &amp; "PARAMETERS:→¶" &amp; "NetAnnualSales    →(Required) Net Annual Sales can include:¶" &amp; "→Gross sales¶" &amp; "→Less returns¶" &amp; "→Less allowances¶" &amp; "→Less discounts¶" &amp; "WorkingCapital    →(Required) Average of period open and close current assts less curren liabilities.¶" &amp; "EXAMPLES:         →Formula (nabla.r is assumed to be the module's name)¶" &amp; "6.0               →=nabla.r.WorkingCapitalTurnoverRatioλ( 12.0, 2.0)", "→", "¶")), _xlpm.Help?, OR(_xlfn.ISOMITTED(_xlpm.NetAnnualSales), _xlfn.ISOMITTED(_xlpm.WorkingCapital)), _xlpm.Result, _xlpm.NetAnnualSales / _xlpm.WorkingCapital, CHOOSE(_xlpm.Help? + 1, _xlpm.Result, _xlpm.Help)))</definedName>
    <definedName name="nabla.u.Aboutλ" comment="Displays this module's repository URL and function list">TRIM(_xlfn.TEXTSPLIT("About:                     →Basic functions for working with dynamic arrays. Suggested module name: nabla.u¶"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definedName>
    <definedName name="nabla.u.AvgColsλ" comment="Get the average for each Column">_xlfn.LAMBDA(_xlop.Array, _xlfn.LET(_xlpm.Help, TRIM(_xlfn.TEXTSPLIT("FUNCTION:      →SumColsλ( Array)¶" &amp; "DESCRIPTION:   →Get the average for each Column¶" &amp; "WEBPAGE:       →https://github.com/ryanduguid/Nabla¶" &amp; "VERSION:       →18 Aug 2026¶" &amp; "PARAMETERS:    →¶" &amp; "Array          →(Required) A two dimensional array/range containing values to be averaged by column.¶" &amp; "EXAMPLES:      →Formula (nabla.e is assumed to be the module's name)¶" &amp; "→=nabla.e.AvgColsλ( SEQUENCE(5,5))", "→", "¶")), _xlpm.Help?, _xlfn.ISOMITTED(_xlpm.Array), _xlpm.Result, _xlfn.BYCOL(_xlpm.Array, _xlfn.LAMBDA(_xlpm.Col, AVERAGE(_xlpm.Col))), CHOOSE(_xlpm.Help? + 1, _xlpm.Result, _xlpm.Help)))</definedName>
    <definedName name="nabla.u.AvgRowsλ" comment="Get the average for each row">_xlfn.LAMBDA(_xlop.Array, _xlfn.LET(_xlpm.Help, TRIM(_xlfn.TEXTSPLIT("FUNCTION:      →AvgRowsλ( Array)¶" &amp; "DESCRIPTION:   →Get the average of each row¶" &amp; "WEBPAGE:       →https://github.com/ryanduguid/Nabla¶" &amp; "VERSION:       →18 Aug 2026¶" &amp; "PARAMETERS:    →¶" &amp; "Array          →(Required) A two dimensional array/range containing values to be averaged by row.¶" &amp; "EXAMPLES:      →Formula (nabla.e is assumed to be the module's name)¶" &amp; "→=nabla.e.AvgRowsλ( SEQUENCE(5,5))", "→", "¶")), _xlpm.Help?, _xlfn.ISOMITTED(_xlpm.Array), _xlpm.Result, _xlfn.BYROW(_xlpm.Array, _xlfn.LAMBDA(_xlpm.Row, AVERAGE(_xlpm.Row))), CHOOSE(_xlpm.Help? + 1, _xlpm.Result, _xlpm.Help)))</definedName>
    <definedName name="nabla.u.CountAColsλ" comment="Count everything in each row">_xlfn.LAMBDA(_xlop.Array, _xlfn.LET(_xlpm.Help, TRIM(_xlfn.TEXTSPLIT("FUNCTION:      →CountAColsλ( Array )¶" &amp; "DESCRIPTION:   →Count everything in each column¶" &amp; "WEBPAGE:       →https://github.com/ryanduguid/Nabla¶" &amp; "VERSION:       →18 Aug 2026¶" &amp; "PARAMETERS:    →¶" &amp; "Array          →(Required) A two dimensional array/range containing values to be counted.¶" &amp; "EXAMPLES:      →Formula (nabla.e is assumed to be the module's name)¶" &amp; "→=nabla.e.CountAColsλ( CHOOSE( RANDARRAY( 5, 5, 1, 5),""A"", ""B"", """", 1, 2))", "→", "¶")), _xlpm.Help?, _xlfn.ISOMITTED(_xlpm.Array), _xlpm.Result, _xlfn.BYCOL(_xlpm.Array, _xlfn.LAMBDA(_xlpm.Col, COUNTA(_xlpm.Col))), CHOOSE(_xlpm.Help? + 1, _xlpm.Result, _xlpm.Help)))</definedName>
    <definedName name="nabla.u.CountARowsλ" comment="Count everything in each row">_xlfn.LAMBDA(_xlop.Array, _xlfn.LET(_xlpm.Help, TRIM(_xlfn.TEXTSPLIT("FUNCTION:      →CountARowsλ( Array)¶" &amp; "DESCRIPTION:   →Count everything in each row¶" &amp; "WEBPAGE:       →https://github.com/ryanduguid/Nabla¶" &amp; "VERSION:       →18 Aug 2026¶" &amp; "PARAMETERS:    →¶" &amp; "Array          →(Required) A two dimensional array/range containing values to be counted.¶" &amp; "EXAMPLES:      →Formula (nabla.e is assumed to be the module's name)¶" &amp; "→=nabla.e.CountARowsλ( CHOOSE( RANDARRAY( 5, 5, 1, 5),""A"", ""B"", """", 1, 2))", "→", "¶")), _xlpm.Help?, _xlfn.ISOMITTED(_xlpm.Array), _xlpm.Result, _xlfn.BYROW(_xlpm.Array, _xlfn.LAMBDA(_xlpm.Row, COUNTA(_xlpm.Row))), CHOOSE(_xlpm.Help? + 1, _xlpm.Result, _xlpm.Help)))</definedName>
    <definedName name="nabla.u.CountColsλ" comment="Count numbers in each row">_xlfn.LAMBDA(_xlop.Array, _xlfn.LET(_xlpm.Help, TRIM(_xlfn.TEXTSPLIT("FUNCTION:      →CountColsλ( Array,)¶" &amp; "DESCRIPTION:   →Count numbers in each column¶" &amp; "WEBPAGE:       →https://github.com/ryanduguid/Nabla¶" &amp; "VERSION:       →18 Aug 2026¶" &amp; "PARAMETERS:    →¶" &amp; "Array          →(Required) A two dimensional array/range containing numbers to be counted.¶" &amp; "EXAMPLES:      →Formula (nabla.e is assumed to be the module's name)¶" &amp; "→=nabla.e.CountColsλ( CHOOSE( RANDARRAY( 5, 5, 1, 5),""A"", ""B"", """", 1, 2))", "→", "¶")), _xlpm.Help?, _xlfn.ISOMITTED(_xlpm.Array), _xlpm.Result, _xlfn.BYCOL(_xlpm.Array, _xlfn.LAMBDA(_xlpm.Col, COUNT(_xlpm.Col))), CHOOSE(_xlpm.Help? + 1, _xlpm.Result, _xlpm.Help)))</definedName>
    <definedName name="nabla.u.CountCλ" comment="Count occurrences of character(s) in a string">_xlfn.LAMBDA(_xlop.Text,_xlop.Characters, _xlfn.LET(_xlpm.Help, TRIM(_xlfn.TEXTSPLIT("FUNCTION:      →CountCλ( Text, Characters)¶" &amp; "DESCRIPTION:   →Count how many of one or more characters are in a string.¶" &amp; "WEBPAGE:       →https://github.com/ryanduguid/Nabla¶" &amp; "VERSION:       →18 Aug 2026¶" &amp; "PARAMETERS:    →¶" &amp; "Text           →(Required) The string to interrogate¶" &amp; "Characters     →(Required) A single character, or CSV of characters to find in Text¶" &amp; "→NOTE! Case sensitive¶" &amp; "EXAMPLES:      →Formula (nabla.e is assumed to be the module's name)¶" &amp; "→=nabla.e.CountCλ(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nabla.u.CountRowsλ" comment="Count numbers in each row">_xlfn.LAMBDA(_xlop.Array, _xlfn.LET(_xlpm.Help, TRIM(_xlfn.TEXTSPLIT("FUNCTION:      →CountRowsλ( Array)¶" &amp; "DESCRIPTION:   →Count numbers in each row¶" &amp; "WEBPAGE:       →https://github.com/ryanduguid/Nabla¶" &amp; "VERSION:       →18 Aug 2026¶" &amp; "PARAMETERS:    →¶" &amp; "Array          →(Required) A two dimensional array/range containing numbers to be counted.¶" &amp; "EXAMPLES:      →Formula (nabla.e is assumed to be the module's name)¶" &amp; "→=nabla.e.CountRowsλ( CHOOSE( RANDARRAY( 5, 5, 1, 5),""A"", ""B"", """", 1, 2))", "→", "¶")), _xlpm.Help?, _xlfn.ISOMITTED(_xlpm.Array), _xlpm.Result, _xlfn.BYROW(_xlpm.Array, _xlfn.LAMBDA(_xlpm.Row, COUNT(_xlpm.Row))), CHOOSE(_xlpm.Help? + 1, _xlpm.Result, _xlpm.Help)))</definedName>
    <definedName name="nabla.u.IsBetweenλ" comment="Determine if a value is between a lower and upper limit">_xlfn.LAMBDA(_xlop.Value,_xlop.Low,_xlop.Hi,_xlop.Inclusive, _xlfn.LET(_xlpm.Help, TRIM(_xlfn.TEXTSPLIT("FUNCTION:      →IsBetweenλ( Value, Low, Hi, [Inclusive])¶" &amp; "DESCRIPTION:   →Determine if a value is between a lower and upper limit.¶" &amp; "PARAMETERS:    →¶" &amp; "Value          →(Required) A value or array of values to compare.¶" &amp; "Lo             →(Required) The lower limit that the value must be greater than¶" &amp; "Hi             →(Required) The lower limit that the value must be less than¶" &amp; "Inclusive      →(Optional) If set to TRUE (default) the value can be equal to Lo and/or Hi¶" &amp; "→¶" &amp; "EXAMPLES       :→¶" &amp; "Result         →Formula¶" &amp; "FALSE          →=IsBetweenλ(1, 2, 4)¶" &amp; "TRUE           →=IsBetweenλ(2, 2, 4)¶" &amp; "FALSE          →=IsBetweenλ(2,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nabla.u.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_xlpm.Help?, OR(_xlfn.ISOMITTED(_xlpm.Value), _xlfn.ISOMITTED(_xlpm.LIST)), _xlpm.Result, NOT(ISNA(MATCH(_xlpm.Value, _xlpm.LIST, 0))), CHOOSE(_xlpm.Help? + 1, _xlpm.Result, _xlpm.Help)))</definedName>
    <definedName name="nabla.u.MaxColsλ" comment="Get the maximum for each Column">_xlfn.LAMBDA(_xlop.Array, _xlfn.LET(_xlpm.Help, TRIM(_xlfn.TEXTSPLIT("FUNCTION:      →MaxColsλ( Array)¶" &amp; "DESCRIPTION:   →Get the minimum for each Column¶" &amp; "WEBPAGE:       →https://github.com/ryanduguid/Nabla¶" &amp; "VERSION:       →18 Aug 2026¶" &amp; "PARAMETERS:    →¶" &amp; "Array          →(Required) A two dimensional array/range containing values to find the maximum by column.¶" &amp; "EXAMPLES:      →Formula (nabla.e is assumed to be the module's name)¶" &amp; "→=nabla.e.MaxColsλ( SEQUENCE(5,5))", "→", "¶")), _xlpm.Help?, _xlfn.ISOMITTED(_xlpm.Array), _xlpm.Result, _xlfn.BYCOL(_xlpm.Array, _xlfn.LAMBDA(_xlpm.Col, MAX(_xlpm.Col))), CHOOSE(_xlpm.Help? + 1, _xlpm.Result, _xlpm.Help)))</definedName>
    <definedName name="nabla.u.MaxRowsλ" comment="Get the maximum for each row">_xlfn.LAMBDA(_xlop.Array, _xlfn.LET(_xlpm.Help, TRIM(_xlfn.TEXTSPLIT("FUNCTION:      →MaxRowsλ( Array)¶" &amp; "DESCRIPTION:   →Get the maximum of each row¶" &amp; "WEBPAGE:       →https://github.com/ryanduguid/Nabla¶" &amp; "VERSION:       →18 Aug 2026¶" &amp; "PARAMETERS:    →¶" &amp; "Array          →(Required) A two dimensional array/range containing values to find the maximum by row.¶" &amp; "EXAMPLES:      →Formula (nabla.e is assumed to be the module's name)¶" &amp; "→=nabla.e.MaxRowsλ( SEQUENCE(5,5))", "→", "¶")), _xlpm.Help?, _xlfn.ISOMITTED(_xlpm.Array), _xlpm.Result, _xlfn.BYROW(_xlpm.Array, _xlfn.LAMBDA(_xlpm.Row, MAX(_xlpm.Row))), CHOOSE(_xlpm.Help? + 1, _xlpm.Result, _xlpm.Help)))</definedName>
    <definedName name="nabla.u.MinColsλ" comment="Get the minimum for each Column">_xlfn.LAMBDA(_xlop.Array, _xlfn.LET(_xlpm.Help, TRIM(_xlfn.TEXTSPLIT("FUNCTION:      →MinColsλ( Array)¶" &amp; "DESCRIPTION:   →Get the minimum for each Column¶" &amp; "WEBPAGE:       →https://github.com/ryanduguid/Nabla¶" &amp; "VERSION:       →18 Aug 2026¶" &amp; "PARAMETERS:    →¶" &amp; "Array          →(Required) A two dimensional array/range containing values to find the minumum by column.¶" &amp; "EXAMPLES:      →Formula (nabla.e is assumed to be the module's name)¶" &amp; "→=nabla.e.MinColsλ( SEQUENCE(5,5))", "→", "¶")), _xlpm.Help?, _xlfn.ISOMITTED(_xlpm.Array), _xlpm.Result, _xlfn.BYCOL(_xlpm.Array, _xlfn.LAMBDA(_xlpm.Col, MIN(_xlpm.Col))), CHOOSE(_xlpm.Help? + 1, _xlpm.Result, _xlpm.Help)))</definedName>
    <definedName name="nabla.u.MinRowsλ" comment="Get the minimum for each row">_xlfn.LAMBDA(_xlop.Array, _xlfn.LET(_xlpm.Help, TRIM(_xlfn.TEXTSPLIT("FUNCTION:      →MinRowsλ( Array)¶" &amp; "DESCRIPTION:   →Get the minimum of each row¶" &amp; "WEBPAGE:       →https://github.com/ryanduguid/Nabla¶" &amp; "VERSION:       →18 Aug 2026¶" &amp; "PARAMETERS:    →¶" &amp; "Array          →(Required) A two dimensional array/range containing values to find the minimum by row.¶" &amp; "EXAMPLES:      →Formula (nabla.e is assumed to be the module's name)¶" &amp; "→=nabla.e.MinRowsλ( SEQUENCE(5,5))", "→", "¶")), _xlpm.Help?, _xlfn.ISOMITTED(_xlpm.Array), _xlpm.Result, _xlfn.BYROW(_xlpm.Array, _xlfn.LAMBDA(_xlpm.Row, MIN(_xlpm.Row))), CHOOSE(_xlpm.Help? + 1, _xlpm.Result, _xlpm.Help)))</definedName>
    <definedName name="nabla.u.RangeToDAλ" comment="Convert a range reference to a dynamic array reference">_xlfn.LAMBDA(_xlop.Range,_xlop.Rows,_xlop.Columns, _xlfn.LET(_xlpm.Help, TRIM(_xlfn.TEXTSPLIT("FUNCTION:          →RangeToDAλ(Range, [Rows], [Columns])¶" &amp; "DESCRIPTION:       →Convert a range reference to a dynamic array reference.¶" &amp; "SEE ALSO:      →Excel 365 now has TRIMRANGE and trim references (.:.) for this.¶" &amp; "WEBSITE:           →https://github.com/ryanduguid/Nabla¶" &amp; "PARAMETERS:        →¶" &amp; "Range              →(Required) A reference to the range to be converted.¶" &amp; "Rows               →(Optional) Number of rows for the dynamic array. Defaults to 1.¶" &amp; "Columns            →(Optional) Number of columns for the dynamic array. Defaults to 1.¶" &amp; "→¶" &amp; "EXAMPLES:          →=RangeToDAλ(A1, , ModelPeriodCount)", "→", "¶")), _xlpm.Help?, _xlfn.ISOMITTED(_xlpm.Range), _xlpm.Rows, IF(ISNUMBER(_xlpm.Rows), _xlpm.Rows, 1), _xlpm.Columns, IF(ISNUMBER(_xlpm.Columns), _xlpm.Columns, 1), _xlpm.Result, OFFSET(_xlpm.Range, 0, 0, _xlpm.Rows, _xlpm.Columns), CHOOSE(_xlpm.Help? + 1, _xlpm.Result, _xlpm.Help)))</definedName>
    <definedName name="nabla.u.SumColsλ" comment="Get the total for each Column">_xlfn.LAMBDA(_xlop.Array, _xlfn.LET(_xlpm.Help, TRIM(_xlfn.TEXTSPLIT("FUNCTION:      →SumColsλ( Array)¶" &amp; "DESCRIPTION:   →Get the total of each column¶" &amp; "WEBPAGE:       →https://github.com/ryanduguid/Nabla¶" &amp; "VERSION:       →18 Aug 2026¶" &amp; "PARAMETERS:    →¶" &amp; "Array          →(Required) A two dimensional array/range containing values to be totalled by column.¶" &amp; "EXAMPLES:      →Formula (nabla.e is assumed to be the module's name)¶" &amp; "→=nabla.e.SumColsλ( SEQUENCE(5,5))", "→", "¶")), _xlpm.Help?, _xlfn.ISOMITTED(_xlpm.Array), _xlpm.Result, _xlfn.BYCOL(_xlpm.Array, _xlfn.LAMBDA(_xlpm.Col, SUM(_xlpm.Col))), CHOOSE(_xlpm.Help? + 1, _xlpm.Result, _xlpm.Help)))</definedName>
    <definedName name="nabla.u.SumRowsλ" comment="Get the total for each row">_xlfn.LAMBDA(_xlop.Array, _xlfn.LET(_xlpm.Help, TRIM(_xlfn.TEXTSPLIT("FUNCTION:      →SumRowsλ( Array)¶" &amp; "DESCRIPTION:   →Get the total of each row¶" &amp; "WEBPAGE:       →https://github.com/ryanduguid/Nabla¶" &amp; "VERSION:       →18 Aug 2026¶" &amp; "PARAMETERS:    →¶" &amp; "Array          →(Required) A two dimensional array/range containing values to be totalled by row.¶" &amp; "EXAMPLES:      →Formula (nabla.e is assumed to be the module's name)¶" &amp; "→=nabla.e.SumRowsλ( SEQUENCE(5,5))", "→", "¶")), _xlpm.Help?, _xlfn.ISOMITTED(_xlpm.Array), _xlpm.Result, _xlfn.BYROW(_xlpm.Array, _xlfn.LAMBDA(_xlpm.Row, SUM(_xlpm.Row))), CHOOSE(_xlpm.Help? + 1, _xlpm.Result, _xlpm.Help)))</definedName>
    <definedName name="Slicer_Type">#N/A</definedName>
    <definedName name="nabla.e.Aboutλ" comment="Displays this module's repository URL and function list">TRIM(_xlfn.TEXTSPLIT( "About: →Basic functions for working with dynamic arrays. Suggested module name: nabla.e¶" &amp; "Version: →18 Aug 2026¶" &amp; "Repository: →https://github.com/ryanduguid/Nabla ¶" &amp; "→¶" &amp; "Function →Description¶" &amp; "Aboutλ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"IsBetweenλ →Determine if a value is between a lower and upper limit.¶" &amp; "IsInListλ →Determine if a value is one of a list of items.¶" &amp; "RangeToDAλ →Convert a range reference to a dynamic array reference", "→","¶" ) )</definedName>
    <definedName name="nabla.d.Aboutλ" comment="Displays this module's repository URL and function list">TRIM( _xlfn.TEXTSPLIT( "About: →CBSE compliant LAMBDAs dealing with dates. Suggested module name: nabla.d¶" &amp; "Version: →18 Aug 2026¶" &amp; "Repository: →https://github.com/ryanduguid/Nabla ¶" &amp; "→¶" &amp; "Function →Description¶" &amp; "Aboutλ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nabla.f.DiminishingValueλ" comment="Diminishing value depreciation (ATO 200% method), writing the residual off in the final period.">_xlfn.LAMBDA(_xlop.Cost,_xlop.Life, _xlfn.LET(_xlpm.Help, TRIM(_xlfn.TEXTSPLIT("FUNCTION:      →DiminishingValueλ(Cost, Life)¶" &amp; "DESCRIPTION:   →Diminishing value depreciation (ATO 200% method), writing the residual off in the final period.¶" &amp; "WEBPAGE:       →https://github.com/ryanduguid/Nabla¶" &amp; "VERSION:       →18 Aug 2026¶" &amp; "PARAMETERS:    →¶" &amp; "Cost           →(Required) Asset's cost.¶" &amp; "Life           →(Required) Asset's effective life in years.¶" &amp; "EXAMPLES:      →¶" &amp; "→Formula (nabla.f is assumed to be the module's name)¶" &amp; "→=nabla.f.DiminishingValueλ(1000,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nabla.f.PrimeCostλ" comment="Prime cost (straight line) depreciation, ATO method, for one asset or asset class.">_xlfn.LAMBDA(_xlop.Cost,_xlop.Life, _xlfn.LET(_xlpm.Help, TRIM(_xlfn.TEXTSPLIT("FUNCTION:      →PrimeCostλ(Cost, Life)¶" &amp; "DESCRIPTION:   →Prime cost (straight line) depreciation, ATO method, for one asset or asset class.¶" &amp; "WEBPAGE:       →https://github.com/ryanduguid/Nabla¶" &amp; "VERSION:       →18 Aug 2026¶" &amp; "PARAMETERS:    →¶" &amp; "Cost           →(Required) Asset's cost.¶" &amp; "Life           →(Required) Asset's effective life in years.¶" &amp; "EXAMPLES:      →¶" &amp; "→Formula (nabla.f is assumed to be the module's name)¶" &amp; "→=nabla.f.PrimeCostλ(1000,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nabla.f.GSTAddλ" comment="Adds GST to one or more GST-exclusive amounts.">_xlfn.LAMBDA(_xlop.Amounts,_xlop.Rate, _xlfn.LET(_xlpm.Help, TRIM(_xlfn.TEXTSPLIT("FUNCTION:      →GSTAddλ(Amounts, [Rate])¶" &amp; "DESCRIPTION:   →Adds GST to one or more GST-exclusive amounts.¶" &amp; "WEBPAGE:       →https://github.com/ryanduguid/Nabla¶" &amp; "VERSION:       →18 Aug 2026¶" &amp; "PARAMETERS:    →¶" &amp; "Amounts        →(Required) One or more GST-exclusive amounts.¶" &amp; "Rate           →(Optional: Default = 0.1) GST rate as a fraction.¶" &amp; "EXAMPLES:      →¶" &amp; "→Formula (nabla.f is assumed to be the module's name)¶" &amp; "→=nabla.f.GSTAddλ(100)¶" &amp; "→Result¶" &amp; "→110", "→", "¶")), _xlpm.Help?, _xlfn.ISOMITTED(_xlpm.Amounts), _xlpm.GSTRate, IF(OR(_xlfn.ISOMITTED(_xlpm.Rate), TRIM(_xlpm.Rate &amp; "")=""), 0.1, _xlpm.Rate), _xlpm.Result, IF(TRIM(_xlpm.Amounts &amp; "")="", "", _xlpm.Amounts * (1 + _xlpm.GSTRate)), CHOOSE(_xlpm.Help? + 1, _xlpm.Result, _xlpm.Help)))</definedName>
    <definedName name="nabla.f.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→https://github.com/ryanduguid/Nabla¶" &amp; "VERSION:       →18 Aug 2026¶" &amp; "PARAMETERS:    →¶" &amp; "Amounts        →(Required) One or more GST-inclusive amounts.¶" &amp; "Rate           →(Optional: Default = 0.1) GST rate as a fraction.¶" &amp; "EXAMPLES:      →¶" &amp; "→Formula (nabla.f is assumed to be the module's name)¶" &amp; "→=nabla.f.GSTExtractλ(110)¶"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nabla.d.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→https://github.com/ryanduguid/Nabla¶" &amp; "VERSION:       →18 Aug 2026¶" &amp; "PARAMETERS:    →¶" &amp; "Dates          →(Required) One or more dates.¶" &amp; "StartMonth     →(Optional: Default = 7) Month the financial year starts.¶" &amp; "EXAMPLES:      →¶" &amp; "→Formula (nabla.d is assumed to be the module's name)¶" &amp; "→=nabla.d.FinancialYearλ(DATE(2026,8,15))¶"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s>
  <calcPr calcId="191029" fullCalcOnLoad="1"/>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<sst xmlns="http://schemas.openxmlformats.org/spreadsheetml/2006/main" count="1857" uniqueCount="542">
  <si>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</si>
  <si>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</si>
  <si>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</si>
  <si>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</si>
  <si>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</si>
  <si>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</si>
  <si>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</si>
  <si>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</si>
  <si>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</si>
  <si>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</si>
  <si>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</si>
  <si>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</si>
  <si>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</si>
  <si>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</si>
  <si>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</si>
  <si>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</si>
  <si>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</si>
  <si>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</si>
  <si>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nabla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</si>
  <si>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</si>
  <si>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</si>
  <si>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</si>
  <si>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</si>
  <si>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</si>
  <si>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</si>
  <si>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</si>
  <si>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</si>
  <si>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</si>
  <si>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</si>
  <si>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</si>
  <si>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</si>
  <si>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</si>
  <si>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</si>
  <si>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</si>
  <si>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</si>
  <si>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</si>
  <si>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</si>
  <si>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</si>
  <si>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</si>
  <si>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</si>
  <si>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</si>
  <si>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</si>
  <si>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</si>
  <si>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</si>
  <si>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</si>
  <si>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</si>
  <si>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</si>
  <si>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</si>
  <si>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</si>
  <si>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</si>
  <si>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</si>
  <si>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</si>
  <si>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</si>
  <si>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</si>
  <si>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</si>
  <si>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</si>
  <si>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</si>
  <si>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</si>
  <si>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</si>
  <si>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</si>
  <si>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</si>
  <si>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</si>
  <si>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</si>
  <si>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</si>
  <si>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</si>
  <si>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</si>
  <si>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</si>
  <si>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</si>
  <si>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</si>
  <si>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</si>
  <si>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</si>
  <si>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</si>
  <si>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</si>
  <si>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</si>
  <si>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</si>
  <si>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</si>
  <si>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</si>
  <si>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</si>
  <si>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</si>
  <si>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</si>
  <si>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</si>
  <si>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</si>
  <si>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</si>
  <si>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</si>
  <si>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</si>
  <si>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</si>
  <si>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</si>
  <si>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</si>
  <si>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</si>
  <si>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</si>
  <si>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</si>
  <si>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</si>
  <si>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</si>
  <si>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</si>
  <si>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</si>
  <si>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</si>
  <si>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</si>
  <si>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</si>
  <si>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</si>
  <si>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</si>
  <si>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</si>
  <si>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</si>
  <si>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</si>
  <si>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</si>
  <si>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</si>
  <si>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</si>
  <si>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</si>
  <si>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</si>
  <si>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</si>
  <si>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</si>
  <si>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</si>
  <si>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</si>
  <si>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</si>
  <si>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</si>
  <si>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</si>
  <si>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</si>
  <si>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</si>
  <si>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</si>
  <si>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</si>
  <si>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</si>
  <si>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</si>
  <si>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</si>
  <si>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</si>
  <si>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</si>
  <si>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</si>
  <si>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</si>
  <si>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</si>
  <si>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</si>
  <si>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</si>
  <si>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</si>
  <si>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</si>
  <si>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</si>
  <si>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</si>
  <si>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</si>
  <si>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</si>
  <si>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</si>
  <si>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</si>
  <si>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</si>
  <si>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</si>
  <si>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</si>
  <si>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</si>
  <si>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</si>
  <si>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</si>
  <si>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</si>
  <si>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</si>
  <si>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</si>
  <si>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</si>
  <si>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</si>
  <si>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</si>
  <si>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</si>
  <si>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</si>
  <si>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</si>
  <si>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</si>
  <si>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</si>
  <si>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</si>
  <si>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</si>
  <si>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</si>
  <si>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</si>
  <si>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</si>
  <si>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</si>
  <si>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</si>
  <si>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</si>
  <si>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</si>
  <si>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</si>
  <si>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</si>
  <si>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</si>
  <si>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</si>
  <si>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</si>
  <si>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nabla.d.CountDOWλ</t>
  </si>
  <si>
    <t>nabla.d.IsBetweenλ</t>
  </si>
  <si>
    <t>nabla.d.IsOccurrenceDateλ</t>
  </si>
  <si>
    <t>nabla.d.OverLapDaysλ</t>
  </si>
  <si>
    <t>nabla.d.Periodsλ</t>
  </si>
  <si>
    <t>nabla.d.PeriodLabelλ</t>
  </si>
  <si>
    <t>nabla.d.ScheduleRatesλ</t>
  </si>
  <si>
    <t>nabla.d.ScheduleRatesByItemsλ</t>
  </si>
  <si>
    <t>nabla.d.ScheduleValuesλ</t>
  </si>
  <si>
    <t>nabla.d.ScheduleValuesByItemsλ</t>
  </si>
  <si>
    <t>nabla.d.Timelineλ</t>
  </si>
  <si>
    <t>Unit Completion Schedule</t>
  </si>
  <si>
    <t>Rental Rate Schedule</t>
  </si>
  <si>
    <t>Timeline Arguments</t>
  </si>
  <si>
    <t>nabla.f.Aboutλ</t>
  </si>
  <si>
    <t>nabla.f.Amortiseλ</t>
  </si>
  <si>
    <t>nabla.f.Corkscrewλ</t>
  </si>
  <si>
    <t>nabla.f.Depreciateλ</t>
  </si>
  <si>
    <t>nabla.f.IntOnIntλ</t>
  </si>
  <si>
    <t>nabla.f.IRRλ</t>
  </si>
  <si>
    <t>nabla.f.Movementλ</t>
  </si>
  <si>
    <t>nabla.f.SumAmortiseλ</t>
  </si>
  <si>
    <t>nabla.f.SumPeriodsλ</t>
  </si>
  <si>
    <t>nabla.f.LabelAmortiseλ</t>
  </si>
  <si>
    <t>nabla.f.LabelDepreciateλ</t>
  </si>
  <si>
    <t>nabla.f.TimelineOffsetλ</t>
  </si>
  <si>
    <t>nabla.f.TimelinePositionλ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</si>
  <si>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</si>
  <si>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</si>
  <si>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</si>
  <si>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</si>
  <si>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</si>
  <si>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</si>
  <si>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</si>
  <si>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</si>
  <si>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</si>
  <si>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</si>
  <si>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</si>
  <si>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</si>
  <si>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</si>
  <si>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</si>
  <si>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</si>
  <si>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</si>
  <si>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</si>
  <si>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</si>
  <si>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</si>
  <si>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</si>
  <si>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</si>
  <si>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</si>
  <si>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</si>
  <si>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</si>
  <si>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</si>
  <si>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</si>
  <si>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</si>
  <si>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</si>
  <si>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</si>
  <si>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</si>
  <si>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</si>
  <si>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</si>
  <si>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</si>
  <si>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</si>
  <si>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</si>
  <si>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</si>
  <si>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</si>
  <si>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</si>
  <si>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</si>
  <si>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</si>
  <si>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</si>
  <si>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</si>
  <si>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</si>
  <si>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</si>
  <si>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</si>
  <si>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</si>
  <si>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</si>
  <si>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</si>
  <si>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</si>
  <si>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</si>
  <si>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</si>
  <si>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</si>
  <si>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</si>
  <si>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</si>
  <si>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</si>
  <si>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</si>
  <si>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</si>
  <si>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</si>
  <si>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</si>
  <si>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</si>
  <si>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</si>
  <si>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</si>
  <si>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</si>
  <si>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</si>
  <si>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</si>
  <si>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</si>
  <si>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</si>
  <si>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</si>
  <si>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</si>
  <si>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</si>
  <si>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</si>
  <si>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</si>
  <si>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</si>
  <si>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</si>
  <si>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</si>
  <si>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</si>
  <si>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</si>
  <si>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</si>
  <si>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</si>
  <si>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</si>
  <si>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</si>
  <si>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</si>
  <si>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</si>
  <si>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</si>
  <si>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</si>
  <si>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</si>
  <si>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</si>
  <si>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</si>
  <si>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</si>
  <si>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</si>
  <si>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</si>
  <si>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</si>
  <si>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</si>
  <si>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</si>
  <si>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</si>
  <si>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</si>
  <si>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</si>
  <si>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</si>
  <si>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</si>
  <si>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</si>
  <si>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</si>
  <si>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</si>
  <si>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</si>
  <si>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</si>
  <si>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</si>
  <si>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</si>
  <si>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</si>
  <si>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</si>
  <si>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</si>
  <si>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</si>
  <si>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</si>
  <si>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</si>
  <si>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</si>
  <si>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nabla.f.Cumulativeλ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</si>
  <si>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</si>
  <si>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</si>
  <si>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</si>
  <si>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</si>
  <si>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</si>
  <si>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</si>
  <si>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</si>
  <si>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</si>
  <si>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</si>
  <si>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</si>
  <si>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</si>
  <si>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</si>
  <si>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</si>
  <si>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</si>
  <si>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</si>
  <si>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</si>
  <si>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</si>
  <si>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</si>
  <si>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</si>
  <si>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</si>
  <si>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</si>
  <si>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</si>
  <si>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</si>
  <si>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</si>
  <si>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</si>
  <si>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</si>
  <si>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</si>
  <si>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nabla steps in.</t>
  </si>
  <si>
    <t>nabla makes it easy for anyone, including Excel novices, to assemble expert level financial models with dynamic arrays in record time with fewer errors!</t>
  </si>
  <si>
    <t/>
  </si>
  <si>
    <t>nabla functions can be used exactly like native Excel functions because they are made from native Excel functions and nothing else. That means no special skills are required to use nabla functions and models assembled from nabla functions can be saved as normal .xlsx workbooks.</t>
  </si>
  <si>
    <t xml:space="preserve">With a few exceptions, all nabla functions have inline help. Inline help explains the function's syntax, purpose, version, and arguments. To access a function's inline help, find an empty space on a worksheet and enter = and the function's name without any arguments. </t>
  </si>
  <si>
    <t xml:space="preserve">Some nabla functions have Data Validation functions associated with them. These functions diagnose problems with arguments we present to their parent nabla function. So if a function returns an error or something unexpected, try calling its data validation routine which will attempt to diagnose any problems with the arguments. Data Validation functions are named using the function's name plus DV. As an example, we have a nabla function called Depreciateλ(). Depreciateλ's data validation function is DepreciateλDV(&lt;include arguments&gt;). </t>
  </si>
  <si>
    <t>Most worksheets have grey shaded cells which are input cells. These are meant to be played with. Try changing the inputs to see how the nabla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</si>
  <si>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</si>
  <si>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</si>
  <si>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</si>
  <si>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</si>
  <si>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</si>
  <si>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</si>
  <si>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</si>
  <si>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</si>
  <si>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</si>
  <si>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</si>
  <si>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</si>
  <si>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</si>
  <si>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</si>
  <si>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</si>
  <si>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</si>
  <si>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</si>
  <si>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</si>
  <si>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</si>
  <si>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</si>
  <si>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nabla.f.SumDepreciateλ</t>
  </si>
  <si>
    <t>tblAssets1112</t>
  </si>
  <si>
    <t>nabla.f.SumContains</t>
  </si>
  <si>
    <t>tblAssets111214</t>
  </si>
  <si>
    <t>tblPhases</t>
  </si>
  <si>
    <t>nabla.f.RollingSumλ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</si>
  <si>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</si>
  <si>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</si>
  <si>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</si>
  <si>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nabla.e.SumColsλ</t>
  </si>
  <si>
    <t>nabla.e.SumRowsλ</t>
  </si>
  <si>
    <t>nabla.e.Aboutλ</t>
  </si>
  <si>
    <t>nabla.e.AvgRowsλ</t>
  </si>
  <si>
    <t>nabla.e.AvgColsλ</t>
  </si>
  <si>
    <t>nabla.e.MinRowsλ</t>
  </si>
  <si>
    <t>nabla.e.MinColsλ</t>
  </si>
  <si>
    <t>nabla.e.MaxRowsλ</t>
  </si>
  <si>
    <t>nabla.e.MaxColsλ</t>
  </si>
  <si>
    <t>About the nabla Array Essentials library</t>
  </si>
  <si>
    <t>About the nabla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</si>
  <si>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</si>
  <si>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</si>
  <si>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</si>
  <si>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</si>
  <si>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</si>
  <si>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</si>
  <si>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</si>
  <si>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six nabla modules: dates (nabla.d), array essentials (nabla.e), financial functions (nabla.f), financial ratios (nabla.r), utilities (nabla.u) and debt (nabla.debt).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</si>
  <si>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</si>
  <si>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</si>
  <si>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</si>
  <si>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</si>
  <si>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</si>
  <si>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</si>
  <si>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</si>
  <si>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</si>
  <si>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</si>
  <si>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</si>
  <si>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</si>
  <si>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</si>
  <si>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</si>
  <si>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</si>
  <si>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</si>
  <si>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nabla.e.CountCλ</t>
  </si>
  <si>
    <t>nabla.e.CountRowsλ</t>
  </si>
  <si>
    <t>nabla.e.CountColsλ</t>
  </si>
  <si>
    <t>nabla.e.CountARowsλ</t>
  </si>
  <si>
    <t>nabla.e.CountAColsλ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</si>
  <si>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</si>
  <si>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</si>
  <si>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</si>
  <si>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</si>
  <si>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</si>
  <si>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</si>
  <si>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</si>
  <si>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</si>
  <si>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</si>
  <si>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</si>
  <si>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nabla.e.IsBetweenλ</t>
  </si>
  <si>
    <t>tblOnBoarding</t>
  </si>
  <si>
    <t>nabla.e.RangeToDAλ</t>
  </si>
  <si>
    <t>Convert a static range into a dynamic array</t>
  </si>
  <si>
    <t>Click any name below to jump to its worksheet</t>
  </si>
  <si>
    <t>nabla Introduction</t>
  </si>
  <si>
    <t/>
  </si>
  <si>
    <t/>
  </si>
  <si>
    <t/>
  </si>
  <si>
    <t/>
  </si>
  <si>
    <t/>
  </si>
  <si>
    <t/>
  </si>
  <si>
    <t/>
  </si>
  <si>
    <t/>
  </si>
  <si>
    <t>Create a row that reverses input values in the next period</t>
  </si>
  <si>
    <t>Reversal</t>
  </si>
  <si>
    <t>nabla.f.Reversalλ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</si>
  <si>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</si>
  <si>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</si>
  <si>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</si>
  <si>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</si>
  <si>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</si>
  <si>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</si>
  <si>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</si>
  <si>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</si>
  <si>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</si>
  <si>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</si>
  <si>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value (ATO)</t>
  </si>
  <si>
    <t>Data Validation Methods</t>
  </si>
  <si>
    <t>Liquidity Ratios</t>
  </si>
  <si>
    <t>Leverage Ratios</t>
  </si>
  <si>
    <t>Solvency Ratios</t>
  </si>
  <si>
    <t>Efficiency Ratios</t>
  </si>
  <si>
    <t>Profitability Margins &amp; Ratios</t>
  </si>
  <si>
    <t>Market Value Ratios</t>
  </si>
  <si>
    <t>Data Validation</t>
  </si>
  <si>
    <t>tblMethods</t>
  </si>
  <si>
    <t>nabla.r.FinancialRatios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</si>
  <si>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</si>
  <si>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</si>
  <si>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</si>
  <si>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</si>
  <si>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</si>
  <si>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</si>
  <si>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</si>
  <si>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</si>
  <si>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</si>
  <si>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</si>
  <si>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</si>
  <si>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</si>
  <si>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</si>
  <si>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</si>
  <si>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</si>
  <si>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</si>
  <si>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</si>
  <si>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</si>
  <si>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</si>
  <si>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</si>
  <si>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</si>
  <si>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</si>
  <si>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</si>
  <si>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</si>
  <si>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</si>
  <si>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</si>
  <si>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</si>
  <si>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</si>
  <si>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</si>
  <si>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</si>
  <si>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</si>
  <si>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</si>
  <si>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</si>
  <si>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</si>
  <si>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</si>
  <si>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</si>
  <si>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</si>
  <si>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</si>
  <si>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</si>
  <si>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</si>
  <si>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</si>
  <si>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</si>
  <si>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</si>
  <si>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</si>
  <si>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</si>
  <si>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</si>
  <si>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</si>
  <si>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</si>
  <si>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</si>
  <si>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</si>
  <si>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</si>
  <si>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</si>
  <si>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</si>
  <si>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</si>
  <si>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</si>
  <si>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</si>
  <si>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</si>
  <si>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</si>
  <si>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</si>
  <si>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</si>
  <si>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</si>
  <si>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</si>
  <si>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</si>
  <si>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</si>
  <si>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</si>
  <si>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</si>
  <si>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</si>
  <si>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</si>
  <si>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</si>
  <si>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</si>
  <si>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</si>
  <si>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</si>
  <si>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</si>
  <si>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</si>
  <si>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</si>
  <si>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</si>
  <si>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</si>
  <si>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</si>
  <si>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</si>
  <si>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</si>
  <si>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</si>
  <si>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nabla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</si>
  <si>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</si>
  <si>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Prime cost (ATO)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</si>
</sst>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4"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E4950"/>
      <name val="Aptos"/>
      <family val="2"/>
      <scheme val="minor"/>
    </font>
    <font>
      <b/>
      <sz val="16"/>
      <color rgb="FF000000"/>
      <name val="Aptos"/>
      <family val="2"/>
      <scheme val="minor"/>
    </font>
    <font>
      <sz val="11"/>
      <color rgb="FF0000C0"/>
      <name val="Aptos"/>
      <family val="2"/>
      <scheme val="minor"/>
    </font>
    <font>
      <sz val="11"/>
      <color rgb="FF00C000"/>
      <name val="Aptos"/>
      <family val="2"/>
      <scheme val="minor"/>
    </font>
    <font>
      <sz val="11"/>
      <color rgb="FFC00000"/>
      <name val="Aptos"/>
      <family val="2"/>
      <scheme val="minor"/>
    </font>
    <font>
      <sz val="11"/>
      <color rgb="FF006600"/>
      <name val="Aptos"/>
      <family val="3"/>
      <scheme val="minor"/>
    </font>
    <font>
      <sz val="11"/>
      <color rgb="FFC00000"/>
      <name val="Aptos"/>
      <family val="3"/>
      <scheme val="minor"/>
    </font>
    <font>
      <sz val="11"/>
      <color rgb="FF800000"/>
      <name val="Aptos"/>
      <family val="3"/>
      <scheme val="minor"/>
    </font>
    <font>
      <i/>
      <sz val="11"/>
      <color theme="1" tint="0.499984740745262"/>
      <name val="Aptos"/>
      <family val="2"/>
      <scheme val="minor"/>
    </font>
    <font>
      <u/>
      <sz val="11"/>
      <color rgb="FF0000FF"/>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Roboto Condensed"/>
    </font>
    <font>
      <b/>
      <sz val="20"/>
      <color theme="4"/>
      <name val="Roboto Condensed"/>
    </font>
    <font>
      <b/>
      <sz val="16"/>
      <color theme="4"/>
      <name val="Roboto Condensed"/>
    </font>
    <font>
      <b/>
      <i/>
      <u/>
      <sz val="12"/>
      <color theme="4"/>
      <name val="Roboto Condensed"/>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Roboto Condensed"/>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006600"/>
      <name val="Aptos"/>
      <family val="2"/>
      <scheme val="minor"/>
    </font>
    <font>
      <sz val="11"/>
      <color rgb="FF800000"/>
      <name val="Aptos"/>
      <family val="2"/>
      <scheme val="minor"/>
    </font>
    <font>
      <i/>
      <sz val="11"/>
      <color rgb="FF808080"/>
      <name val="Aptos"/>
      <family val="2"/>
      <scheme val="minor"/>
    </font>
    <font>
      <u/>
      <sz val="11"/>
      <color rgb="FF0000FF"/>
      <name val="Aptos"/>
      <family val="2"/>
      <scheme val="minor"/>
    </font>
    <font>
      <b/>
      <sz val="36"/>
      <color rgb="FF3F656F"/>
      <name val="Roboto Condensed"/>
    </font>
    <font>
      <b/>
      <sz val="20"/>
      <color rgb="FF3F656F"/>
      <name val="Roboto Condensed"/>
    </font>
    <font>
      <b/>
      <sz val="16"/>
      <color rgb="FF3F656F"/>
      <name val="Roboto Condensed"/>
    </font>
    <font>
      <b/>
      <i/>
      <u/>
      <sz val="12"/>
      <color rgb="FF3F656F"/>
      <name val="Roboto Condensed"/>
    </font>
    <font>
      <u/>
      <sz val="11"/>
      <color theme="10"/>
      <name val="Aptos"/>
      <family val="2"/>
      <scheme val="minor"/>
    </font>
    <font>
      <u/>
      <sz val="11"/>
      <color theme="11"/>
      <name val="Aptos"/>
      <family val="2"/>
      <scheme val="minor"/>
    </font>
    <font>
      <sz val="10"/>
      <color rgb="FFFFFFFF"/>
      <name val="Aptos"/>
      <family val="2"/>
      <scheme val="minor"/>
    </font>
    <font>
      <b/>
      <sz val="11"/>
      <color rgb="FF2E4950"/>
      <name val="Aptos Narrow"/>
      <family val="2"/>
    </font>
    <font>
      <b/>
      <sz val="11"/>
      <color rgb="FF006600"/>
      <name val="Aptos"/>
      <family val="2"/>
      <scheme val="minor"/>
    </font>
    <font>
      <sz val="11"/>
      <color rgb="FF000000"/>
      <name val="Aptos"/>
      <family val="2"/>
      <scheme val="minor"/>
    </font>
    <font>
      <b/>
      <sz val="11"/>
      <color rgb="FF3F656F"/>
      <name val="Aptos"/>
      <family val="2"/>
      <scheme val="minor"/>
    </font>
    <font>
      <sz val="12"/>
      <color rgb="FF000000"/>
      <name val="Arial"/>
      <family val="2"/>
    </font>
    <font>
      <sz val="11"/>
      <color rgb="FF000000"/>
      <name val="Arial"/>
      <family val="2"/>
    </font>
    <font>
      <sz val="36"/>
      <color rgb="FF44546A"/>
      <name val="Arial"/>
      <family val="2"/>
    </font>
    <font>
      <b/>
      <sz val="12"/>
      <color rgb="FF000000"/>
      <name val="Arial"/>
      <family val="2"/>
    </font>
    <font>
      <b/>
      <sz val="36"/>
      <color rgb="FF3F656F"/>
      <name val="Bahnschrift SemiCondensed"/>
      <family val="2"/>
    </font>
    <font>
      <b/>
      <sz val="48"/>
      <color rgb="FF3F656F"/>
      <name val="Bahnschrift SemiCondensed"/>
      <family val="2"/>
    </font>
    <font>
      <i/>
      <sz val="11"/>
      <color rgb="FF808080"/>
      <name val="Bahnschrift SemiCondensed"/>
      <family val="2"/>
    </font>
    <font>
      <sz val="12"/>
      <color rgb="FF000000"/>
      <name val="Bahnschrift SemiCondensed"/>
      <family val="2"/>
    </font>
    <font>
      <sz val="11"/>
      <color rgb="FF000000"/>
      <name val="Bahnschrift SemiCondensed"/>
      <family val="2"/>
    </font>
    <font>
      <b/>
      <sz val="11"/>
      <color rgb="FF000000"/>
      <name val="Bahnschrift SemiCondensed"/>
      <family val="2"/>
    </font>
    <font>
      <sz val="11"/>
      <name val="Aptos"/>
      <family val="2"/>
      <scheme val="minor"/>
    </font>
    <font>
      <sz val="11"/>
      <color rgb="FF000000"/>
      <name val="Aptos"/>
      <family val="2"/>
      <scheme val="minor"/>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CCFFCC"/>
        <bgColor rgb="FF000000"/>
      </patternFill>
    </fill>
    <fill>
      <patternFill patternType="solid">
        <fgColor rgb="FFFFCCCC"/>
        <bgColor rgb="FF000000"/>
      </patternFill>
    </fill>
    <fill>
      <patternFill patternType="solid">
        <fgColor rgb="FFFFFFCC"/>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EFF5F7"/>
        <bgColor indexed="64"/>
      </patternFill>
    </fill>
    <fill>
      <gradientFill>
        <stop position="0">
          <color theme="0"/>
        </stop>
        <stop position="1">
          <color rgb="FFE0F0F0"/>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9E0E2"/>
      </patternFill>
    </fill>
    <fill>
      <patternFill patternType="solid">
        <fgColor rgb="FFE0ECEF"/>
      </patternFill>
    </fill>
    <fill>
      <patternFill patternType="solid">
        <fgColor rgb="FFEFF6F8"/>
      </patternFill>
    </fill>
    <fill>
      <patternFill patternType="solid">
        <fgColor rgb="FFE9DDD8"/>
      </patternFill>
    </fill>
    <fill>
      <patternFill patternType="solid">
        <fgColor rgb="FFF7E7E1"/>
      </patternFill>
    </fill>
    <fill>
      <patternFill patternType="solid">
        <fgColor rgb="FFFCF2EE"/>
      </patternFill>
    </fill>
    <fill>
      <patternFill patternType="solid">
        <fgColor rgb="FFB2C1C5"/>
      </patternFill>
    </fill>
    <fill>
      <patternFill patternType="solid">
        <fgColor rgb="FFC2D9DF"/>
      </patternFill>
    </fill>
    <fill>
      <patternFill patternType="solid">
        <fgColor rgb="FFE0EDF0"/>
      </patternFill>
    </fill>
    <fill>
      <patternFill patternType="solid">
        <fgColor rgb="FFD3BBB2"/>
      </patternFill>
    </fill>
    <fill>
      <patternFill patternType="solid">
        <fgColor rgb="FFEFCFC4"/>
      </patternFill>
    </fill>
    <fill>
      <patternFill patternType="solid">
        <fgColor rgb="FFF9E5DD"/>
      </patternFill>
    </fill>
    <fill>
      <patternFill patternType="solid">
        <fgColor rgb="FF8CA3A9"/>
      </patternFill>
    </fill>
    <fill>
      <patternFill patternType="solid">
        <fgColor rgb="FFA3C7CF"/>
      </patternFill>
    </fill>
    <fill>
      <patternFill patternType="solid">
        <fgColor rgb="FFD0E4E9"/>
      </patternFill>
    </fill>
    <fill>
      <patternFill patternType="solid">
        <fgColor rgb="FFBE9A8B"/>
      </patternFill>
    </fill>
    <fill>
      <patternFill patternType="solid">
        <fgColor rgb="FFE7B7A6"/>
      </patternFill>
    </fill>
    <fill>
      <patternFill patternType="solid">
        <fgColor rgb="FFF5D8CD"/>
      </patternFill>
    </fill>
    <fill>
      <patternFill patternType="solid">
        <fgColor theme="4"/>
        <bgColor rgb="FF000000"/>
      </patternFill>
    </fill>
    <fill>
      <patternFill patternType="solid">
        <fgColor rgb="FFEFF6F8"/>
        <bgColor rgb="FF000000"/>
      </patternFill>
    </fill>
    <fill>
      <patternFill patternType="solid">
        <fgColor rgb="FFFCF2EE"/>
        <bgColor rgb="FF000000"/>
      </patternFill>
    </fill>
    <fill>
      <patternFill patternType="solid">
        <fgColor rgb="FFEFF5F7"/>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2">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9"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1" fillId="47" borderId="6" xfId="0" applyFont="1" applyFill="1" applyBorder="1"/>
    <xf numFmtId="173" fontId="51" fillId="47" borderId="6" xfId="0" applyFont="1" applyFill="1" applyBorder="1" applyAlignment="1">
      <alignment horizontal="right"/>
    </xf>
    <xf numFmtId="38" fontId="50" fillId="23" borderId="43" xfId="0" applyNumberFormat="1" applyFont="1" applyBorder="1" applyAlignment="1">
      <alignment horizontal="left" vertical="top"/>
    </xf>
    <xf numFmtId="38" fontId="50" fillId="23" borderId="43" xfId="0" applyNumberFormat="1" applyFont="1" applyBorder="1" applyAlignment="1">
      <alignment horizontal="right" vertical="top"/>
    </xf>
    <xf numFmtId="10" fontId="50" fillId="23" borderId="43" xfId="0" applyNumberFormat="1" applyFont="1" applyBorder="1"/>
    <xf numFmtId="173" fontId="50" fillId="23" borderId="43" xfId="0" applyFont="1" applyBorder="1"/>
    <xf numFmtId="169" fontId="50" fillId="23" borderId="43" xfId="0" applyNumberFormat="1" applyFont="1" applyBorder="1" applyAlignment="1">
      <alignment horizontal="right" vertical="top"/>
    </xf>
    <xf numFmtId="38" fontId="50" fillId="46" borderId="43" xfId="0" applyNumberFormat="1" applyFont="1" applyFill="1" applyBorder="1" applyAlignment="1">
      <alignment horizontal="left" vertical="top"/>
    </xf>
    <xf numFmtId="38" fontId="50" fillId="46" borderId="43" xfId="0" applyNumberFormat="1" applyFont="1" applyFill="1" applyBorder="1" applyAlignment="1">
      <alignment horizontal="right" vertical="top"/>
    </xf>
    <xf numFmtId="10" fontId="50" fillId="46" borderId="43" xfId="0" applyNumberFormat="1" applyFont="1" applyFill="1" applyBorder="1"/>
    <xf numFmtId="173" fontId="50" fillId="46" borderId="43" xfId="0" applyFont="1" applyFill="1" applyBorder="1"/>
    <xf numFmtId="169" fontId="50" fillId="46" borderId="43" xfId="0" applyNumberFormat="1" applyFont="1" applyFill="1" applyBorder="1" applyAlignment="1">
      <alignment horizontal="right" vertical="top"/>
    </xf>
    <xf numFmtId="38" fontId="50" fillId="23" borderId="6" xfId="0" applyNumberFormat="1" applyFont="1" applyBorder="1" applyAlignment="1">
      <alignment horizontal="left" vertical="top"/>
    </xf>
    <xf numFmtId="38" fontId="50" fillId="23" borderId="6" xfId="0" applyNumberFormat="1" applyFont="1" applyBorder="1" applyAlignment="1">
      <alignment horizontal="right" vertical="top"/>
    </xf>
    <xf numFmtId="10" fontId="50" fillId="23" borderId="6" xfId="0" applyNumberFormat="1" applyFont="1" applyBorder="1"/>
    <xf numFmtId="173" fontId="50" fillId="23" borderId="6" xfId="0" applyFont="1" applyBorder="1"/>
    <xf numFmtId="169" fontId="50"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3" fillId="23" borderId="0" xfId="0" applyFont="1"/>
    <xf numFmtId="173" fontId="52" fillId="23" borderId="0" xfId="0" applyFont="1" applyAlignment="1">
      <alignment horizontal="justify" vertical="center"/>
    </xf>
    <xf numFmtId="173" fontId="55" fillId="23" borderId="0" xfId="0" applyFont="1" applyAlignment="1">
      <alignment horizontal="justify" vertical="center"/>
    </xf>
    <xf numFmtId="173" fontId="53" fillId="23" borderId="0" xfId="0" applyFont="1" applyAlignment="1">
      <alignment horizontal="justify" vertical="center"/>
    </xf>
    <xf numFmtId="173" fontId="60" fillId="23" borderId="0" xfId="0" applyFont="1"/>
    <xf numFmtId="173" fontId="59" fillId="23" borderId="0" xfId="0" applyFont="1" applyAlignment="1">
      <alignment horizontal="justify" vertical="center"/>
    </xf>
    <xf numFmtId="173" fontId="59" fillId="23" borderId="0" xfId="0" applyFont="1" applyAlignment="1">
      <alignment horizontal="justify" vertical="top" wrapText="1"/>
    </xf>
    <xf numFmtId="173" fontId="60" fillId="23" borderId="0" xfId="0" applyFont="1" applyAlignment="1">
      <alignment horizontal="justify" vertical="top" wrapText="1"/>
    </xf>
    <xf numFmtId="173" fontId="61"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45" fillId="23" borderId="0" xfId="55" applyNumberFormat="1" applyAlignment="1">
      <alignment horizontal="justify" vertical="top" wrapText="1"/>
    </xf>
    <xf numFmtId="173" fontId="0" fillId="23" borderId="0" xfId="0" applyAlignment="1">
      <alignment horizontal="justify" vertical="center"/>
    </xf>
    <xf numFmtId="173" fontId="0" fillId="23" borderId="0" xfId="0" applyAlignment="1">
      <alignment horizontal="justify" vertical="top" wrapText="1"/>
    </xf>
    <xf numFmtId="173" fontId="62" fillId="0" borderId="6" xfId="11" applyNumberFormat="1" applyFont="1" applyFill="1" applyProtection="1"/>
    <xf numFmtId="173" fontId="63" fillId="23" borderId="0" xfId="0" applyFont="1" applyBorder="1"/>
    <xf numFmtId="173" fontId="63" fillId="46" borderId="0" xfId="0" applyFont="1" applyFill="1" applyBorder="1"/>
    <xf numFmtId="14" fontId="63" fillId="46" borderId="0" xfId="0" applyNumberFormat="1" applyFont="1" applyFill="1" applyBorder="1"/>
    <xf numFmtId="14" fontId="63" fillId="23" borderId="0" xfId="0" applyNumberFormat="1" applyFont="1" applyBorder="1"/>
    <xf numFmtId="38" fontId="63" fillId="23" borderId="0" xfId="1" applyNumberFormat="1" applyFont="1" applyFill="1" applyBorder="1">
      <alignment horizontal="right" vertical="top"/>
    </xf>
    <xf numFmtId="14" fontId="63"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0" fontId="41" fillId="23" borderId="6" xfId="6" applyFill="1"/>
    <xf numFmtId="173" fontId="43" fillId="23" borderId="42" xfId="8" applyNumberFormat="1" applyFill="1" applyBorder="1"/>
    <xf numFmtId="173" fontId="43" fillId="23" borderId="0" xfId="8" applyNumberFormat="1" applyFill="1" applyBorder="1"/>
    <xf numFmtId="0" fontId="39" fillId="23" borderId="6" xfId="21" applyFill="1" applyAlignment="1"/>
    <xf numFmtId="0" fontId="39" fillId="23" borderId="0" xfId="21" applyFill="1" applyBorder="1" applyAlignment="1"/>
    <xf numFmtId="173" fontId="54" fillId="23" borderId="0" xfId="0" applyFont="1" applyAlignment="1">
      <alignment horizontal="left" vertical="center" indent="1"/>
    </xf>
    <xf numFmtId="173" fontId="58" fillId="23" borderId="6" xfId="21" applyNumberFormat="1" applyFont="1" applyFill="1" applyAlignment="1">
      <alignment horizontal="left" vertical="top" wrapText="1"/>
    </xf>
    <xf numFmtId="173" fontId="59" fillId="23" borderId="40" xfId="0" applyFont="1" applyBorder="1" applyAlignment="1">
      <alignment horizontal="left" vertical="top" wrapText="1"/>
    </xf>
    <xf numFmtId="0" fontId="56" fillId="23" borderId="6" xfId="6" applyFont="1" applyFill="1" applyAlignment="1"/>
    <xf numFmtId="0" fontId="57"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41" fillId="23" borderId="6" xfId="6" applyFill="1" applyAlignment="1"/>
    <xf numFmtId="0" fontId="41" fillId="23" borderId="0" xfId="6" applyFill="1" applyBorder="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xf numFmtId="0" fontId="4" fillId="0" borderId="0" xfId="0" applyFont="1"/>
    <xf numFmtId="164" fontId="0" fillId="0" borderId="0" xfId="0" applyNumberFormat="1"/>
    <xf numFmtId="171" fontId="0" fillId="0" borderId="0" xfId="0" applyNumberFormat="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2E495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b/>
        <i val="0"/>
        <strike val="0"/>
        <u val="none"/>
        <color rgb="FF2E495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EFF6F8"/>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EFF6F8"/>
        </patternFill>
      </fill>
      <border>
        <left/>
        <right/>
        <top/>
        <bottom/>
      </border>
    </dxf>
    <dxf>
      <font>
        <b/>
        <i val="0"/>
        <strike val="0"/>
        <u val="none"/>
        <color rgb="FFFF0000"/>
        <name val="Aptos"/>
        <scheme val="minor"/>
      </font>
      <numFmt numFmtId="169" formatCode="d\-mmm\-yyyy"/>
      <fill>
        <patternFill patternType="solid">
          <fgColor rgb="FF000000"/>
          <bgColor rgb="FFEFF6F8"/>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0F0F0"/>
          </stop>
        </gradientFill>
      </fill>
      <border>
        <left/>
        <right/>
        <top/>
        <bottom/>
        <vertical/>
        <horizontal/>
      </border>
    </dxf>
    <dxf>
      <font>
        <b/>
        <i/>
        <strike val="0"/>
        <u val="none"/>
        <color rgb="FF3F656F"/>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3F656F"/>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EFF6F8"/>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CF2EE"/>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C2D9D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3F656F"/>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3F656F"/>
      </font>
      <fill>
        <patternFill patternType="solid">
          <fgColor rgb="FF000000"/>
          <bgColor rgb="FFEFF5F7"/>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EFF6F8"/>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FF6F8"/>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9DDD8"/>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val="0"/>
        <i val="0"/>
        <strike val="0"/>
        <u val="none"/>
        <color rgb="FF000000"/>
        <name val="Aptos"/>
        <scheme val="minor"/>
      </font>
      <fill>
        <patternFill patternType="solid">
          <fgColor rgb="FF000000"/>
          <bgColor rgb="FFE0ECEF"/>
        </patternFill>
      </fill>
    </dxf>
    <dxf>
      <font>
        <b/>
        <i val="0"/>
        <strike val="0"/>
        <u val="none"/>
        <color rgb="FF2E4950"/>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EFF6F8"/>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F7E7E1"/>
        </patternFill>
      </fill>
    </dxf>
    <dxf>
      <font>
        <b val="0"/>
        <i val="0"/>
        <strike val="0"/>
        <u val="none"/>
        <color rgb="FF000000"/>
      </font>
      <fill>
        <patternFill patternType="solid">
          <fgColor rgb="FF000000"/>
          <bgColor theme="0"/>
        </patternFill>
      </fill>
    </dxf>
    <dxf>
      <font>
        <b/>
        <i val="0"/>
        <strike val="0"/>
        <u val="none"/>
        <color rgb="FF2E4950"/>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9E0E2"/>
        </patternFill>
      </fill>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E4950"/>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EFCFC4"/>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BE9A8B"/>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F7E7E1"/>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6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62" Type="http://schemas.openxmlformats.org/officeDocument/2006/relationships/worksheet" Target="worksheets/sheet50.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nabla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nabla.d.ScheduleValues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nabla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nabla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nabla's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nabla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nabla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nabla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=nabla.e.</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nabla.e is what Excel refers to as a module name. These are optional. Their purpose is to ensure that we never duplicate function names between libraries. As noted at top, every nabla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nabla.e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filterColumn colId="1">
      <filters>
        <filter val="Worksheet"/>
      </filters>
    </filterColumn>
  </autoFilter>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nabla TnC">
      <a:dk1>
        <a:sysClr val="windowText" lastClr="000000"/>
      </a:dk1>
      <a:lt1>
        <a:sysClr val="window" lastClr="FFFFFF"/>
      </a:lt1>
      <a:dk2>
        <a:srgbClr val="44546A"/>
      </a:dk2>
      <a:lt2>
        <a:srgbClr val="E7E6E6"/>
      </a:lt2>
      <a:accent1>
        <a:srgbClr val="3F656F"/>
      </a:accent1>
      <a:accent2>
        <a:srgbClr val="66A1AF"/>
      </a:accent2>
      <a:accent3>
        <a:srgbClr val="B1D2DA"/>
      </a:accent3>
      <a:accent4>
        <a:srgbClr val="92563E"/>
      </a:accent4>
      <a:accent5>
        <a:srgbClr val="D7876B"/>
      </a:accent5>
      <a:accent6>
        <a:srgbClr val="EFBEAB"/>
      </a:accent6>
      <a:hlink>
        <a:srgbClr val="0563C1"/>
      </a:hlink>
      <a:folHlink>
        <a:srgbClr val="954F72"/>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5"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customProperty" Target="../customProperty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7.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4.xml"/><Relationship Id="rId1" Type="http://schemas.openxmlformats.org/officeDocument/2006/relationships/customProperty" Target="../customProperty5.bin"/></Relationships>
</file>

<file path=xl/worksheets/_rels/sheet8.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5.xml"/><Relationship Id="rId1" Type="http://schemas.openxmlformats.org/officeDocument/2006/relationships/customProperty" Target="../customProperty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customProperty" Target="../customProperty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customProperty" Target="../customProperty8.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8.xml"/><Relationship Id="rId1" Type="http://schemas.openxmlformats.org/officeDocument/2006/relationships/customProperty" Target="../customProperty9.bin"/><Relationship Id="rId4"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9.xml"/><Relationship Id="rId1" Type="http://schemas.openxmlformats.org/officeDocument/2006/relationships/customProperty" Target="../customProperty10.bin"/></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0.xml"/><Relationship Id="rId1" Type="http://schemas.openxmlformats.org/officeDocument/2006/relationships/customProperty" Target="../customProperty11.bin"/><Relationship Id="rId4" Type="http://schemas.openxmlformats.org/officeDocument/2006/relationships/table" Target="../tables/table10.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customProperty" Target="../customProperty12.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customProperty" Target="../customProperty13.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customProperty" Target="../customProperty15.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customProperty" Target="../customProperty17.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customProperty" Target="../customProperty18.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drawing" Target="../drawings/drawing18.xml"/><Relationship Id="rId1" Type="http://schemas.openxmlformats.org/officeDocument/2006/relationships/customProperty" Target="../customProperty19.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3.xml"/><Relationship Id="rId2" Type="http://schemas.openxmlformats.org/officeDocument/2006/relationships/drawing" Target="../drawings/drawing19.xml"/><Relationship Id="rId1" Type="http://schemas.openxmlformats.org/officeDocument/2006/relationships/customProperty" Target="../customProperty20.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drawing" Target="../drawings/drawing20.xml"/><Relationship Id="rId1" Type="http://schemas.openxmlformats.org/officeDocument/2006/relationships/customProperty" Target="../customProperty21.bin"/></Relationships>
</file>

<file path=xl/worksheets/_rels/sheet24.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drawing" Target="../drawings/drawing21.xml"/><Relationship Id="rId1" Type="http://schemas.openxmlformats.org/officeDocument/2006/relationships/customProperty" Target="../customProperty22.bin"/></Relationships>
</file>

<file path=xl/worksheets/_rels/sheet25.xml.rels><?xml version="1.0" encoding="UTF-8" standalone="yes"?>
<Relationships xmlns="http://schemas.openxmlformats.org/package/2006/relationships"><Relationship Id="rId3" Type="http://schemas.openxmlformats.org/officeDocument/2006/relationships/table" Target="../tables/table16.xml"/><Relationship Id="rId2" Type="http://schemas.openxmlformats.org/officeDocument/2006/relationships/drawing" Target="../drawings/drawing22.xml"/><Relationship Id="rId1" Type="http://schemas.openxmlformats.org/officeDocument/2006/relationships/customProperty" Target="../customProperty23.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customProperty" Target="../customProperty24.bin"/></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customProperty" Target="../customProperty25.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customProperty" Target="../customProperty26.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customProperty" Target="../customProperty27.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customProperty" Target="../customProperty28.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customProperty" Target="../customProperty29.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customProperty" Target="../customProperty30.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customProperty" Target="../customProperty31.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customProperty" Target="../customProperty32.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customProperty" Target="../customProperty33.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customProperty" Target="../customProperty34.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customProperty" Target="../customProperty35.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customProperty" Target="../customProperty36.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customProperty" Target="../customProperty37.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customProperty" Target="../customProperty38.bin"/></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7.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595959"/>
  </sheetPr>
  <dimension ref="A1:B39"/>
  <sheetViews>
    <sheetView tabSelected="1" showGridLines="0" zoomScale="130" zoomScaleNormal="130" workbookViewId="0">
      <selection activeCell="A1" sqref="A1"/>
    </sheetView>
  </sheetViews>
  <sheetFormatPr defaultColWidth="8.85546875" defaultRowHeight="14.25" x14ac:dyDescent="0.2"/>
  <cols>
    <col min="1" max="1" width="10.5703125" style="241" customWidth="1"/>
    <col min="2" max="2" width="111.5703125" style="248" customWidth="1"/>
    <col min="3" max="3" width="37.85546875" style="241" customWidth="1"/>
    <col min="4" max="16384" width="8.85546875" style="241"/>
  </cols>
  <sheetData>
    <row r="1" spans="1:2" ht="58.5" x14ac:dyDescent="0.7">
      <c r="A1" s="278" t="s">
        <v>425</v>
      </c>
      <c r="B1" s="279"/>
    </row>
    <row r="2" spans="1:2" ht="14.45" customHeight="1" x14ac:dyDescent="0.2">
      <c r="A2" s="276" t="s">
        <v>333</v>
      </c>
      <c r="B2" s="277"/>
    </row>
    <row r="3" spans="1:2" ht="15" x14ac:dyDescent="0.2">
      <c r="A3" s="245"/>
      <c r="B3" s="247"/>
    </row>
    <row r="4" spans="1:2" ht="45" x14ac:dyDescent="0.2">
      <c r="A4" s="245"/>
      <c r="B4" s="247" t="s">
        <v>336</v>
      </c>
    </row>
    <row r="5" spans="1:2" ht="30" x14ac:dyDescent="0.2">
      <c r="A5" s="246"/>
      <c r="B5" s="247" t="s">
        <v>337</v>
      </c>
    </row>
    <row r="6" spans="1:2" ht="343.9" customHeight="1" x14ac:dyDescent="0.2">
      <c r="A6" s="242"/>
      <c r="B6" s="248"/>
    </row>
    <row r="7" spans="1:2" ht="15" x14ac:dyDescent="0.2">
      <c r="A7" s="242"/>
    </row>
    <row r="8" spans="1:2" ht="15" x14ac:dyDescent="0.2">
      <c r="A8" s="242"/>
      <c r="B8" s="249"/>
    </row>
    <row r="9" spans="1:2" ht="44.25" x14ac:dyDescent="0.2">
      <c r="A9" s="275" t="s">
        <v>326</v>
      </c>
      <c r="B9" s="275"/>
    </row>
    <row r="10" spans="1:2" ht="30" x14ac:dyDescent="0.2">
      <c r="B10" s="247" t="s">
        <v>539</v>
      </c>
    </row>
    <row r="11" spans="1:2" ht="15" x14ac:dyDescent="0.2">
      <c r="B11" s="247"/>
    </row>
    <row r="12" spans="1:2" ht="45" x14ac:dyDescent="0.2">
      <c r="B12" s="247" t="s">
        <v>339</v>
      </c>
    </row>
    <row r="13" spans="1:2" ht="15" x14ac:dyDescent="0.2">
      <c r="B13" s="247"/>
    </row>
    <row r="14" spans="1:2" ht="45" x14ac:dyDescent="0.2">
      <c r="B14" s="247" t="s">
        <v>389</v>
      </c>
    </row>
    <row r="15" spans="1:2" ht="15" x14ac:dyDescent="0.2">
      <c r="A15" s="242"/>
      <c r="B15" s="249"/>
    </row>
    <row r="16" spans="1:2" ht="44.25" x14ac:dyDescent="0.2">
      <c r="A16" s="275" t="s">
        <v>327</v>
      </c>
      <c r="B16" s="275"/>
    </row>
    <row r="17" spans="1:2" ht="120" x14ac:dyDescent="0.2">
      <c r="B17" s="247" t="s">
        <v>334</v>
      </c>
    </row>
    <row r="18" spans="1:2" ht="15" x14ac:dyDescent="0.2">
      <c r="A18" s="242"/>
      <c r="B18" s="249"/>
    </row>
    <row r="19" spans="1:2" ht="44.25" x14ac:dyDescent="0.2">
      <c r="A19" s="275" t="s">
        <v>330</v>
      </c>
      <c r="B19" s="275"/>
    </row>
    <row r="20" spans="1:2" ht="45" x14ac:dyDescent="0.2">
      <c r="B20" s="247" t="s">
        <v>340</v>
      </c>
    </row>
    <row r="21" spans="1:2" ht="15" x14ac:dyDescent="0.2">
      <c r="B21" s="247"/>
    </row>
    <row r="22" spans="1:2" ht="75" x14ac:dyDescent="0.2">
      <c r="A22" s="243"/>
      <c r="B22" s="247" t="s">
        <v>341</v>
      </c>
    </row>
    <row r="23" spans="1:2" ht="15" x14ac:dyDescent="0.2">
      <c r="A23" s="242"/>
      <c r="B23" s="249"/>
    </row>
    <row r="24" spans="1:2" ht="44.25" x14ac:dyDescent="0.2">
      <c r="A24" s="275" t="s">
        <v>328</v>
      </c>
      <c r="B24" s="275"/>
    </row>
    <row r="25" spans="1:2" ht="30" x14ac:dyDescent="0.2">
      <c r="B25" s="247" t="s">
        <v>329</v>
      </c>
    </row>
    <row r="26" spans="1:2" ht="15" x14ac:dyDescent="0.2">
      <c r="B26" s="247"/>
    </row>
    <row r="27" spans="1:2" ht="30" x14ac:dyDescent="0.2">
      <c r="A27" s="244"/>
      <c r="B27" s="247" t="s">
        <v>342</v>
      </c>
    </row>
    <row r="28" spans="1:2" ht="15" x14ac:dyDescent="0.2">
      <c r="A28" s="242"/>
      <c r="B28" s="249"/>
    </row>
    <row r="29" spans="1:2" ht="44.25" x14ac:dyDescent="0.2">
      <c r="B29" s="275"/>
    </row>
    <row r="30" spans="1:2" ht="45" x14ac:dyDescent="0.2">
      <c r="A30" s="243"/>
    </row>
    <row r="31" spans="1:2" ht="15.75" x14ac:dyDescent="0.2">
      <c r="A31" s="243"/>
      <c r="B31" s="247"/>
    </row>
    <row r="32" spans="1:2" ht="15.75" x14ac:dyDescent="0.2">
      <c r="A32" s="243"/>
    </row>
    <row r="33" spans="1:2" ht="30" x14ac:dyDescent="0.2">
      <c r="A33" s="243"/>
    </row>
    <row r="34" spans="1:2" ht="15.75" x14ac:dyDescent="0.2">
      <c r="A34" s="243"/>
      <c r="B34" s="247"/>
    </row>
    <row r="35" spans="1:2" ht="15" x14ac:dyDescent="0.2">
      <c r="A35" s="242"/>
    </row>
    <row r="36" spans="1:2" ht="30" x14ac:dyDescent="0.2">
      <c r="A36" s="242"/>
    </row>
    <row r="37" spans="1:2" customFormat="1" ht="15" x14ac:dyDescent="0.25">
      <c r="A37" s="259"/>
      <c r="B37" s="260"/>
    </row>
    <row r="38" spans="1:2" ht="15" x14ac:dyDescent="0.2">
      <c r="A38" s="242"/>
    </row>
    <row r="39" spans="1:2" ht="30" x14ac:dyDescent="0.2"/>
  </sheetData>
  <mergeCells count="6">
    <mergeCell ref="A2:B2"/>
    <mergeCell ref="A9:B9"/>
    <mergeCell ref="A1:B1"/>
    <mergeCell ref="A16:B16"/>
    <mergeCell ref="A19:B19"/>
    <mergeCell ref="A24:B24"/>
  </mergeCells>
  <hyperlinks>
    <hyperlink ref="A1" location="'TOC'!$A$1" display="'TOC'!$A$1" xr:uid="{548439FC-8440-4ED8-8C6A-E47C1C0F11EB}"/>
  </hyperlinks>
  <pageMargins left="0.7" right="0.7" top="0.75" bottom="0.75" header="0.3" footer="0.3"/>
  <pageSetup paperSize="9" orientation="portrait" horizontalDpi="360" verticalDpi="360"/>
  <customProperties>
    <customPr name="Description" r:id="rId5"/>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595959"/>
  </sheetPr>
  <dimension ref="A1:F70"/>
  <sheetViews>
    <sheetView showGridLines="0" workbookViewId="0">
      <pane xSplit="2" ySplit="4" topLeftCell="C5" activePane="bottomRight" state="frozen"/>
      <selection pane="topRight" activeCell="C1" sqref="C1"/>
      <selection pane="bottomLeft" activeCell="A5" sqref="A5"/>
      <selection pane="bottomRight" activeCell="J29" sqref="J29"/>
    </sheetView>
  </sheetViews>
  <sheetFormatPr defaultRowHeight="15" x14ac:dyDescent="0.25"/>
  <cols>
    <col min="1" max="1" width="31.5" bestFit="1" customWidth="1"/>
    <col min="2" max="2" width="9.85546875" bestFit="1" customWidth="1"/>
    <col min="3" max="3" width="30.5" bestFit="1" customWidth="1"/>
    <col min="4" max="4" width="90.28515625" bestFit="1" customWidth="1"/>
  </cols>
  <sheetData>
    <row r="1" spans="1:6" ht="45.75" x14ac:dyDescent="0.65">
      <c r="A1" s="285" t="s">
        <v>132</v>
      </c>
      <c r="B1" s="286"/>
      <c r="C1" s="286"/>
      <c r="D1" s="286"/>
      <c r="E1" s="286"/>
      <c r="F1" s="286"/>
    </row>
    <row r="2" spans="1:6" ht="20.25" x14ac:dyDescent="0.3">
      <c r="A2" s="283" t="s">
        <v>136</v>
      </c>
      <c r="B2" s="284"/>
      <c r="C2" s="284"/>
      <c r="D2" s="284"/>
      <c r="E2" s="238"/>
      <c r="F2" s="238"/>
    </row>
    <row r="3" spans="1:6" x14ac:dyDescent="0.25">
      <c r="A3" s="280" t="s">
        <v>424</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hidden="1" x14ac:dyDescent="0.25">
      <c r="A7" s="237" t="s">
        <v>350</v>
      </c>
      <c r="B7" s="108" t="s">
        <v>351</v>
      </c>
      <c r="C7" s="111" t="s">
        <v>136</v>
      </c>
      <c r="D7" s="109" t="s">
        <v>424</v>
      </c>
    </row>
    <row r="8" spans="1:6" x14ac:dyDescent="0.25">
      <c r="A8" s="110" t="s">
        <v>455</v>
      </c>
      <c r="B8" s="108" t="s">
        <v>134</v>
      </c>
      <c r="C8" s="111" t="s">
        <v>455</v>
      </c>
      <c r="D8" s="109"/>
    </row>
    <row r="9" spans="1:6" hidden="1" x14ac:dyDescent="0.25">
      <c r="A9" s="237" t="s">
        <v>456</v>
      </c>
      <c r="B9" s="108" t="s">
        <v>351</v>
      </c>
      <c r="C9" s="111" t="s">
        <v>448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hidden="1" x14ac:dyDescent="0.25">
      <c r="A13" s="237" t="s">
        <v>352</v>
      </c>
      <c r="B13" s="108" t="s">
        <v>351</v>
      </c>
      <c r="C13" s="111" t="s">
        <v>220</v>
      </c>
      <c r="D13" s="109" t="s">
        <v>221</v>
      </c>
    </row>
    <row r="14" spans="1:6" x14ac:dyDescent="0.25">
      <c r="A14" s="110" t="s">
        <v>171</v>
      </c>
      <c r="B14" s="108" t="s">
        <v>134</v>
      </c>
      <c r="C14" s="111" t="s">
        <v>171</v>
      </c>
      <c r="D14" s="109" t="s">
        <v>198</v>
      </c>
    </row>
    <row r="15" spans="1:6" hidden="1" x14ac:dyDescent="0.25">
      <c r="A15" s="237" t="s">
        <v>353</v>
      </c>
      <c r="B15" s="108" t="s">
        <v>351</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hidden="1" x14ac:dyDescent="0.25">
      <c r="A19" s="237" t="s">
        <v>354</v>
      </c>
      <c r="B19" s="108" t="s">
        <v>351</v>
      </c>
      <c r="C19" s="111" t="s">
        <v>180</v>
      </c>
      <c r="D19" s="109"/>
    </row>
    <row r="20" spans="1:4" hidden="1" x14ac:dyDescent="0.25">
      <c r="A20" s="237" t="s">
        <v>355</v>
      </c>
      <c r="B20" s="108" t="s">
        <v>351</v>
      </c>
      <c r="C20" s="111" t="s">
        <v>179</v>
      </c>
      <c r="D20" s="109"/>
    </row>
    <row r="21" spans="1:4" x14ac:dyDescent="0.25">
      <c r="A21" s="110" t="s">
        <v>175</v>
      </c>
      <c r="B21" s="108" t="s">
        <v>134</v>
      </c>
      <c r="C21" s="111" t="s">
        <v>175</v>
      </c>
      <c r="D21" s="109" t="s">
        <v>202</v>
      </c>
    </row>
    <row r="22" spans="1:4" hidden="1" x14ac:dyDescent="0.25">
      <c r="A22" s="237" t="s">
        <v>356</v>
      </c>
      <c r="B22" s="108" t="s">
        <v>351</v>
      </c>
      <c r="C22" s="111" t="s">
        <v>356</v>
      </c>
      <c r="D22" s="109"/>
    </row>
    <row r="23" spans="1:4" x14ac:dyDescent="0.25">
      <c r="A23" s="110" t="s">
        <v>176</v>
      </c>
      <c r="B23" s="108" t="s">
        <v>134</v>
      </c>
      <c r="C23" s="111" t="s">
        <v>176</v>
      </c>
      <c r="D23" s="109" t="s">
        <v>203</v>
      </c>
    </row>
    <row r="24" spans="1:4" hidden="1" x14ac:dyDescent="0.25">
      <c r="A24" s="237" t="s">
        <v>358</v>
      </c>
      <c r="B24" s="108" t="s">
        <v>351</v>
      </c>
      <c r="C24" s="111" t="s">
        <v>278</v>
      </c>
      <c r="D24" s="109"/>
    </row>
    <row r="25" spans="1:4" hidden="1" x14ac:dyDescent="0.25">
      <c r="A25" s="237" t="s">
        <v>357</v>
      </c>
      <c r="B25" s="108" t="s">
        <v>351</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459</v>
      </c>
      <c r="C28" s="111" t="s">
        <v>182</v>
      </c>
      <c r="D28" s="109" t="s">
        <v>381</v>
      </c>
    </row>
    <row r="29" spans="1:4" x14ac:dyDescent="0.25">
      <c r="A29" s="110" t="s">
        <v>183</v>
      </c>
      <c r="B29" s="108" t="s">
        <v>134</v>
      </c>
      <c r="C29" s="111" t="s">
        <v>183</v>
      </c>
      <c r="D29" s="109" t="s">
        <v>206</v>
      </c>
    </row>
    <row r="30" spans="1:4" hidden="1" x14ac:dyDescent="0.25">
      <c r="A30" s="237" t="s">
        <v>359</v>
      </c>
      <c r="B30" s="108" t="s">
        <v>351</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hidden="1" x14ac:dyDescent="0.25">
      <c r="A36" s="237" t="s">
        <v>360</v>
      </c>
      <c r="B36" s="108" t="s">
        <v>351</v>
      </c>
      <c r="C36" s="111" t="s">
        <v>295</v>
      </c>
      <c r="D36" s="109"/>
    </row>
    <row r="37" spans="1:4" x14ac:dyDescent="0.25">
      <c r="A37" s="110" t="s">
        <v>192</v>
      </c>
      <c r="B37" s="108" t="s">
        <v>134</v>
      </c>
      <c r="C37" s="111" t="s">
        <v>192</v>
      </c>
      <c r="D37" s="109" t="s">
        <v>216</v>
      </c>
    </row>
    <row r="38" spans="1:4" hidden="1" x14ac:dyDescent="0.25">
      <c r="A38" s="237" t="s">
        <v>361</v>
      </c>
      <c r="B38" s="108" t="s">
        <v>351</v>
      </c>
      <c r="C38" s="111" t="s">
        <v>295</v>
      </c>
      <c r="D38" s="109"/>
    </row>
    <row r="39" spans="1:4" x14ac:dyDescent="0.25">
      <c r="A39" s="110" t="s">
        <v>362</v>
      </c>
      <c r="B39" s="108" t="s">
        <v>134</v>
      </c>
      <c r="C39" s="111" t="s">
        <v>362</v>
      </c>
      <c r="D39" s="109" t="s">
        <v>368</v>
      </c>
    </row>
    <row r="40" spans="1:4" hidden="1" x14ac:dyDescent="0.25">
      <c r="A40" s="237" t="s">
        <v>363</v>
      </c>
      <c r="B40" s="108" t="s">
        <v>351</v>
      </c>
      <c r="C40" s="111" t="s">
        <v>295</v>
      </c>
      <c r="D40" s="109"/>
    </row>
    <row r="41" spans="1:4" x14ac:dyDescent="0.25">
      <c r="A41" s="110" t="s">
        <v>364</v>
      </c>
      <c r="B41" s="108" t="s">
        <v>134</v>
      </c>
      <c r="C41" s="111" t="s">
        <v>364</v>
      </c>
      <c r="D41" s="109" t="s">
        <v>369</v>
      </c>
    </row>
    <row r="42" spans="1:4" hidden="1" x14ac:dyDescent="0.25">
      <c r="A42" s="237" t="s">
        <v>365</v>
      </c>
      <c r="B42" s="108" t="s">
        <v>351</v>
      </c>
      <c r="C42" s="111" t="s">
        <v>295</v>
      </c>
      <c r="D42" s="109"/>
    </row>
    <row r="43" spans="1:4" x14ac:dyDescent="0.25">
      <c r="A43" s="110" t="s">
        <v>186</v>
      </c>
      <c r="B43" s="108" t="s">
        <v>134</v>
      </c>
      <c r="C43" s="111" t="s">
        <v>186</v>
      </c>
      <c r="D43" s="109" t="s">
        <v>209</v>
      </c>
    </row>
    <row r="44" spans="1:4" hidden="1" x14ac:dyDescent="0.25">
      <c r="A44" s="237" t="s">
        <v>366</v>
      </c>
      <c r="B44" s="108" t="s">
        <v>351</v>
      </c>
      <c r="C44" s="111" t="s">
        <v>315</v>
      </c>
      <c r="D44" s="109"/>
    </row>
    <row r="45" spans="1:4" x14ac:dyDescent="0.25">
      <c r="A45" s="110" t="s">
        <v>187</v>
      </c>
      <c r="B45" s="108" t="s">
        <v>134</v>
      </c>
      <c r="C45" s="111" t="s">
        <v>187</v>
      </c>
      <c r="D45" s="109" t="s">
        <v>210</v>
      </c>
    </row>
    <row r="46" spans="1:4" x14ac:dyDescent="0.25">
      <c r="A46" s="110" t="s">
        <v>436</v>
      </c>
      <c r="B46" s="108" t="s">
        <v>134</v>
      </c>
      <c r="C46" s="111" t="s">
        <v>436</v>
      </c>
      <c r="D46" s="109" t="s">
        <v>437</v>
      </c>
    </row>
    <row r="47" spans="1:4" x14ac:dyDescent="0.25">
      <c r="A47" s="110" t="s">
        <v>188</v>
      </c>
      <c r="B47" s="108" t="s">
        <v>134</v>
      </c>
      <c r="C47" s="111" t="s">
        <v>188</v>
      </c>
      <c r="D47" s="109" t="s">
        <v>211</v>
      </c>
    </row>
    <row r="48" spans="1:4" x14ac:dyDescent="0.25">
      <c r="A48" s="110" t="s">
        <v>367</v>
      </c>
      <c r="B48" s="108" t="s">
        <v>134</v>
      </c>
      <c r="C48" s="111" t="s">
        <v>367</v>
      </c>
      <c r="D48" s="109" t="s">
        <v>370</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373</v>
      </c>
      <c r="B52" s="108" t="s">
        <v>134</v>
      </c>
      <c r="C52" s="111" t="s">
        <v>373</v>
      </c>
      <c r="D52" s="109" t="s">
        <v>380</v>
      </c>
    </row>
    <row r="53" spans="1:4" x14ac:dyDescent="0.25">
      <c r="A53" s="110" t="s">
        <v>405</v>
      </c>
      <c r="B53" s="108" t="s">
        <v>134</v>
      </c>
      <c r="C53" s="111" t="s">
        <v>405</v>
      </c>
      <c r="D53" s="109" t="s">
        <v>414</v>
      </c>
    </row>
    <row r="54" spans="1:4" x14ac:dyDescent="0.25">
      <c r="A54" s="110" t="s">
        <v>372</v>
      </c>
      <c r="B54" s="108" t="s">
        <v>134</v>
      </c>
      <c r="C54" s="111" t="s">
        <v>372</v>
      </c>
      <c r="D54" s="109" t="s">
        <v>213</v>
      </c>
    </row>
    <row r="55" spans="1:4" x14ac:dyDescent="0.25">
      <c r="A55" s="110" t="s">
        <v>371</v>
      </c>
      <c r="B55" s="108" t="s">
        <v>134</v>
      </c>
      <c r="C55" s="111" t="s">
        <v>371</v>
      </c>
      <c r="D55" s="109" t="s">
        <v>385</v>
      </c>
    </row>
    <row r="56" spans="1:4" x14ac:dyDescent="0.25">
      <c r="A56" s="110" t="s">
        <v>374</v>
      </c>
      <c r="B56" s="108" t="s">
        <v>134</v>
      </c>
      <c r="C56" s="111" t="s">
        <v>374</v>
      </c>
      <c r="D56" s="109" t="s">
        <v>384</v>
      </c>
    </row>
    <row r="57" spans="1:4" x14ac:dyDescent="0.25">
      <c r="A57" s="110" t="s">
        <v>375</v>
      </c>
      <c r="B57" s="108" t="s">
        <v>134</v>
      </c>
      <c r="C57" s="111" t="s">
        <v>375</v>
      </c>
      <c r="D57" s="109" t="s">
        <v>383</v>
      </c>
    </row>
    <row r="58" spans="1:4" x14ac:dyDescent="0.25">
      <c r="A58" s="110" t="s">
        <v>376</v>
      </c>
      <c r="B58" s="108" t="s">
        <v>134</v>
      </c>
      <c r="C58" s="111" t="s">
        <v>376</v>
      </c>
      <c r="D58" s="109" t="s">
        <v>386</v>
      </c>
    </row>
    <row r="59" spans="1:4" x14ac:dyDescent="0.25">
      <c r="A59" s="110" t="s">
        <v>377</v>
      </c>
      <c r="B59" s="108" t="s">
        <v>134</v>
      </c>
      <c r="C59" s="111" t="s">
        <v>377</v>
      </c>
      <c r="D59" s="109" t="s">
        <v>382</v>
      </c>
    </row>
    <row r="60" spans="1:4" x14ac:dyDescent="0.25">
      <c r="A60" s="110" t="s">
        <v>378</v>
      </c>
      <c r="B60" s="108" t="s">
        <v>134</v>
      </c>
      <c r="C60" s="111" t="s">
        <v>378</v>
      </c>
      <c r="D60" s="109" t="s">
        <v>387</v>
      </c>
    </row>
    <row r="61" spans="1:4" x14ac:dyDescent="0.25">
      <c r="A61" s="110" t="s">
        <v>379</v>
      </c>
      <c r="B61" s="108" t="s">
        <v>134</v>
      </c>
      <c r="C61" s="111" t="s">
        <v>379</v>
      </c>
      <c r="D61" s="109" t="s">
        <v>388</v>
      </c>
    </row>
    <row r="62" spans="1:4" x14ac:dyDescent="0.25">
      <c r="A62" s="110" t="s">
        <v>406</v>
      </c>
      <c r="B62" s="108" t="s">
        <v>134</v>
      </c>
      <c r="C62" s="111" t="s">
        <v>406</v>
      </c>
      <c r="D62" s="109" t="s">
        <v>411</v>
      </c>
    </row>
    <row r="63" spans="1:4" x14ac:dyDescent="0.25">
      <c r="A63" s="110" t="s">
        <v>407</v>
      </c>
      <c r="B63" s="108" t="s">
        <v>134</v>
      </c>
      <c r="C63" s="111" t="s">
        <v>407</v>
      </c>
      <c r="D63" s="109" t="s">
        <v>410</v>
      </c>
    </row>
    <row r="64" spans="1:4" x14ac:dyDescent="0.25">
      <c r="A64" s="110" t="s">
        <v>408</v>
      </c>
      <c r="B64" s="108" t="s">
        <v>134</v>
      </c>
      <c r="C64" s="111" t="s">
        <v>408</v>
      </c>
      <c r="D64" s="109" t="s">
        <v>412</v>
      </c>
    </row>
    <row r="65" spans="1:4" x14ac:dyDescent="0.25">
      <c r="A65" s="110" t="s">
        <v>409</v>
      </c>
      <c r="B65" s="108" t="s">
        <v>134</v>
      </c>
      <c r="C65" s="111" t="s">
        <v>409</v>
      </c>
      <c r="D65" s="109" t="s">
        <v>413</v>
      </c>
    </row>
    <row r="66" spans="1:4" x14ac:dyDescent="0.25">
      <c r="A66" s="110" t="s">
        <v>420</v>
      </c>
      <c r="B66" s="108" t="s">
        <v>134</v>
      </c>
      <c r="C66" s="111" t="s">
        <v>420</v>
      </c>
      <c r="D66" s="109" t="s">
        <v>196</v>
      </c>
    </row>
    <row r="67" spans="1:4" hidden="1" x14ac:dyDescent="0.25">
      <c r="A67" s="237" t="s">
        <v>421</v>
      </c>
      <c r="B67" s="108" t="s">
        <v>351</v>
      </c>
      <c r="C67" s="111" t="s">
        <v>416</v>
      </c>
      <c r="D67" s="109"/>
    </row>
    <row r="68" spans="1:4" x14ac:dyDescent="0.25">
      <c r="A68" s="110" t="s">
        <v>422</v>
      </c>
      <c r="B68" s="108" t="s">
        <v>134</v>
      </c>
      <c r="C68" s="111" t="s">
        <v>422</v>
      </c>
      <c r="D68" s="109" t="s">
        <v>423</v>
      </c>
    </row>
    <row r="69" spans="1:4" x14ac:dyDescent="0.25">
      <c r="A69" s="110" t="s">
        <v>457</v>
      </c>
      <c r="B69" s="108" t="s">
        <v>134</v>
      </c>
      <c r="C69" s="111" t="s">
        <v>457</v>
      </c>
      <c r="D69" s="109" t="s">
        <v>458</v>
      </c>
    </row>
    <row r="70" spans="1:4">
      <c r="A70" s="110" t="inlineStr">
        <is>
          <t>Australian tax</t>
        </is>
      </c>
      <c r="B70" s="108" t="inlineStr">
        <is>
          <t>Worksheet</t>
        </is>
      </c>
      <c r="C70" s="111" t="inlineStr">
        <is>
          <t>Australian tax</t>
        </is>
      </c>
      <c r="D70" s="109" t="inlineStr">
        <is>
          <t>ATO depreciation, GST and financial-year helpers</t>
        </is>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nabla.d.CountDOWλ'!$A$1" display="'nabla.d.CountDOWλ'!$A$1" xr:uid="{1EA85702-180F-4ED3-9514-1F34ABF31551}"/>
    <hyperlink ref="A11" location="'nabla.d.IsBetweenλ'!$A$1" display="'nabla.d.IsBetweenλ'!$A$1" xr:uid="{01A8DB1F-6500-48B8-ACA4-4D3783ACEDE2}"/>
    <hyperlink ref="A12" location="'nabla.d.IsOccurrenceDateλ'!$A$1" display="'nabla.d.IsOccurrenceDateλ'!$A$1" xr:uid="{84D84714-DCFA-4845-A904-4F7B33551932}"/>
    <hyperlink ref="A13" location="'nabla.d.IsOccurrenceDateλ'!$A$34:$E$39" display="'nabla.d.IsOccurrenceDateλ'!$A$34:$E$39" xr:uid="{3EE4710A-0A7D-4C6F-918F-948CB5FCB8CD}"/>
    <hyperlink ref="A14" location="'nabla.d.OverLapDaysλ'!$A$1" display="'nabla.d.OverLapDaysλ'!$A$1" xr:uid="{7B1DDDFE-DD14-49AD-B2D8-A10647832658}"/>
    <hyperlink ref="A15" location="'nabla.d.OverLapDaysλ'!$A$23:$E$25" display="'nabla.d.OverLapDaysλ'!$A$23:$E$25" xr:uid="{E1B731FE-6AE0-440A-9EA1-F0A74F1CF7F3}"/>
    <hyperlink ref="A16" location="'nabla.d.Periodsλ'!$A$1" display="'nabla.d.Periodsλ'!$A$1" xr:uid="{32E4CC23-A361-410B-8E03-EEC7C736F98C}"/>
    <hyperlink ref="A17" location="'nabla.d.PeriodLabelλ'!$A$1" display="'nabla.d.PeriodLabelλ'!$A$1" xr:uid="{A0D0F49B-6801-485A-BF70-D68CC79CD300}"/>
    <hyperlink ref="A18" location="'nabla.d.ScheduleRatesλ'!$A$1" display="'nabla.d.ScheduleRatesλ'!$A$1" xr:uid="{2901AE44-2664-485E-9CAE-28E43B25F0D1}"/>
    <hyperlink ref="A19" location="'nabla.d.ScheduleRatesλ'!$A$36:$B$38" display="'nabla.d.ScheduleRatesλ'!$A$36:$B$38" xr:uid="{9A36584A-9198-4FBF-8E9F-13960F21E62E}"/>
    <hyperlink ref="A20" location="'nabla.d.ScheduleRatesλ'!$A$43:$C$46" display="'nabla.d.ScheduleRatesλ'!$A$43:$C$46" xr:uid="{56FFBDDD-F76C-45ED-A67B-72B79DF7267E}"/>
    <hyperlink ref="A21" location="'nabla.d.ScheduleRatesByItemsλ'!$A$1" display="'nabla.d.ScheduleRatesByItemsλ'!$A$1" xr:uid="{8047904B-5AA7-4787-BA13-A73F5AC51BF6}"/>
    <hyperlink ref="A22" location="'nabla.d.ScheduleRatesByItemsλ'!$D$25:$F$38" display="'nabla.d.ScheduleRatesByItemsλ'!$D$25:$F$38" xr:uid="{3F7F55CD-4BF8-4D14-95DA-FAC04EB82B4A}"/>
    <hyperlink ref="A23" location="'nabla.d.ScheduleValuesλ'!$A$1" display="'nabla.d.ScheduleValuesλ'!$A$1" xr:uid="{EF7BB3C1-2F04-4CD6-9AA6-36AE344C2C5E}"/>
    <hyperlink ref="A25" location="'nabla.d.ScheduleValuesλ'!$A$28:$C$32" display="'nabla.d.ScheduleValuesλ'!$A$28:$C$32" xr:uid="{ED4A702A-5F0C-4C04-8E18-A1161CB1134B}"/>
    <hyperlink ref="A24" location="'nabla.d.ScheduleValuesλ'!$E$20:$I$40" display="'nabla.d.ScheduleValuesλ'!$E$20:$I$40" xr:uid="{FEE54B8C-7E14-4B0A-8B98-4B5A068BE255}"/>
    <hyperlink ref="A26" location="'nabla.d.ScheduleValuesByItemsλ'!$A$1" display="'nabla.d.ScheduleValuesByItemsλ'!$A$1" xr:uid="{C6993DBA-9182-4B59-B338-48D3D4B17DEE}"/>
    <hyperlink ref="A27" location="'nabla.d.Timelineλ'!$A$1" display="'nabla.d.Timelineλ'!$A$1" xr:uid="{A90D165F-C4AF-48D6-8D1D-F204F59625E9}"/>
    <hyperlink ref="A29" location="'nabla.f.Amortiseλ'!$A$1" display="'nabla.f.Amortiseλ'!$A$1" xr:uid="{BEA5B5B6-036F-423C-84EE-FC79FBEEEE69}"/>
    <hyperlink ref="A30" location="'nabla.f.Amortiseλ'!$A$24:$E$26" display="'nabla.f.Amortiseλ'!$A$24:$E$26" xr:uid="{1C636846-E572-463F-A44E-E91B33B0B14C}"/>
    <hyperlink ref="A31" location="'nabla.f.LabelAmortiseλ'!$A$1" display="'nabla.f.LabelAmortiseλ'!$A$1" xr:uid="{8B0E8BCB-C9D1-424F-95A9-EE73BAC3A2F7}"/>
    <hyperlink ref="A32" location="'nabla.f.SumAmortiseλ'!$A$1" display="'nabla.f.SumAmortiseλ'!$A$1" xr:uid="{D66697D1-12A9-407A-95C2-074D70520786}"/>
    <hyperlink ref="A33" location="'nabla.f.Corkscrewλ'!$A$1" display="'nabla.f.Corkscrewλ'!$A$1" xr:uid="{A7FC4DA8-89D6-47EA-A93C-D1A467CD3D18}"/>
    <hyperlink ref="A34" location="'nabla.f.Cumulativeλ'!$A$1" display="'nabla.f.Cumulativeλ'!$A$1" xr:uid="{5C07D413-045B-49AA-84AC-27A446010415}"/>
    <hyperlink ref="A35" location="'nabla.f.Depreciateλ'!$A$1" display="'nabla.f.Depreciateλ'!$A$1" xr:uid="{3010CCB3-7E12-441D-A389-196F03229010}"/>
    <hyperlink ref="A36" location="'nabla.f.Depreciateλ'!$A$46:$H$48" display="'nabla.f.Depreciateλ'!$A$46:$H$48" xr:uid="{1FA20571-FCAD-436A-AD66-6C86FC5A8825}"/>
    <hyperlink ref="A37" location="'nabla.f.LabelDepreciateλ'!$A$1" display="'nabla.f.LabelDepreciateλ'!$A$1" xr:uid="{4A06AA8A-28D9-4C80-9D9E-145EE1ABF538}"/>
    <hyperlink ref="A38" location="'nabla.f.LabelDepreciateλ'!$A$26:$H$28" display="'nabla.f.LabelDepreciateλ'!$A$26:$H$28" xr:uid="{7F51224E-A4FF-41E5-88BA-270AB69788A4}"/>
    <hyperlink ref="A39" location="'nabla.f.SumDepreciateλ'!$A$1" display="'nabla.f.SumDepreciateλ'!$A$1" xr:uid="{C83B5A30-FFC4-4E26-877E-0853E204A7AA}"/>
    <hyperlink ref="A40" location="'nabla.f.SumDepreciateλ'!$A$26:$H$28" display="'nabla.f.SumDepreciateλ'!$A$26:$H$28" xr:uid="{7535EEA8-D1DF-43DB-B564-8FE77209CFD9}"/>
    <hyperlink ref="A41" location="'nabla.f.SumContains'!$A$1" display="'nabla.f.SumContains'!$A$1" xr:uid="{5C8DAB05-8B34-4E16-BE14-BDB67049DC49}"/>
    <hyperlink ref="A42" location="'nabla.f.SumContains'!$A$29:$H$31" display="'nabla.f.SumContains'!$A$29:$H$31" xr:uid="{5D2F3E3F-6E09-48C9-B3C5-548B9CD76174}"/>
    <hyperlink ref="A43" location="'nabla.f.IntOnIntλ'!$A$1" display="'nabla.f.IntOnIntλ'!$A$1" xr:uid="{B5893D36-1849-443B-959D-9B7F1979F92D}"/>
    <hyperlink ref="A44" location="'nabla.f.IntOnIntλ'!$A$28:$D$30" display="'nabla.f.IntOnIntλ'!$A$28:$D$30" xr:uid="{6522888E-9D48-42FA-9B05-39A0CE8CA7DD}"/>
    <hyperlink ref="A45" location="'nabla.f.IRRλ'!$A$1" display="'nabla.f.IRRλ'!$A$1" xr:uid="{4DDD7FA6-DD83-476D-86DC-8F8C7D7B7C92}"/>
    <hyperlink ref="A46" location="'nabla.f.Reversalλ'!$A$1" display="'nabla.f.Reversalλ'!$A$1" xr:uid="{2BC91B08-8F0F-4354-B282-C26A51FDD4F0}"/>
    <hyperlink ref="A47" location="'nabla.f.Movementλ'!$A$1" display="'nabla.f.Movementλ'!$A$1" xr:uid="{84329063-D877-478D-9F9F-E346682DDB5B}"/>
    <hyperlink ref="A48" location="'nabla.f.RollingSumλ'!$A$1" display="'nabla.f.RollingSumλ'!$A$1" xr:uid="{D90BE02E-28EC-4AAB-AFE3-D7DF30270F5D}"/>
    <hyperlink ref="A49" location="'nabla.f.SumPeriodsλ'!$A$1" display="'nabla.f.SumPeriodsλ'!$A$1" xr:uid="{F8F315D9-BD34-4E1F-963D-CBE096B01AA1}"/>
    <hyperlink ref="A50" location="'nabla.f.TimelineOffsetλ'!$A$1" display="'nabla.f.TimelineOffsetλ'!$A$1" xr:uid="{78BD3347-2168-4112-9AC6-FD7758F6870E}"/>
    <hyperlink ref="A51" location="'nabla.f.TimelinePositionλ'!$A$1" display="'nabla.f.TimelinePositionλ'!$A$1" xr:uid="{D54C8264-B700-438A-92DC-0E1238CC7EF6}"/>
    <hyperlink ref="A52" location="'nabla.e.Aboutλ'!$A$1" display="'nabla.e.Aboutλ'!$A$1" xr:uid="{6AFB1077-9092-42FE-9EE3-9F60E6135748}"/>
    <hyperlink ref="A53" location="'nabla.e.CountCλ'!$A$1" display="'nabla.e.CountCλ'!$A$1" xr:uid="{425D1256-FB57-4E2D-9BE1-8E116617FAB0}"/>
    <hyperlink ref="A54" location="'nabla.e.SumRowsλ'!$A$1" display="'nabla.e.SumRowsλ'!$A$1" xr:uid="{9FE8402C-3B5E-44C2-924B-3B7A0AB24753}"/>
    <hyperlink ref="A55" location="'nabla.e.SumColsλ'!$A$1" display="'nabla.e.SumColsλ'!$A$1" xr:uid="{20824F45-B21C-4965-B6E9-9E5026AAF433}"/>
    <hyperlink ref="A56" location="'nabla.e.AvgRowsλ'!$A$1" display="'nabla.e.AvgRowsλ'!$A$1" xr:uid="{90263ED3-F51E-4C7B-9F9C-E16A4A3AA6B3}"/>
    <hyperlink ref="A57" location="'nabla.e.AvgColsλ'!$A$1" display="'nabla.e.AvgColsλ'!$A$1" xr:uid="{28FD9445-0707-4DA8-9318-B31561D7FF42}"/>
    <hyperlink ref="A58" location="'nabla.e.MinRowsλ'!$A$1" display="'nabla.e.MinRowsλ'!$A$1" xr:uid="{AE128D80-3DAD-4F2F-922F-32422BCC1374}"/>
    <hyperlink ref="A59" location="'nabla.e.MinColsλ'!$A$1" display="'nabla.e.MinColsλ'!$A$1" xr:uid="{BEA45A63-4F73-4E9F-966C-499A14E56E4C}"/>
    <hyperlink ref="A60" location="'nabla.e.MaxRowsλ'!$A$1" display="'nabla.e.MaxRowsλ'!$A$1" xr:uid="{A4591831-CBDC-4EAA-AF05-E72122CA1E45}"/>
    <hyperlink ref="A61" location="'nabla.e.MaxColsλ'!$A$1" display="'nabla.e.MaxColsλ'!$A$1" xr:uid="{EE9AD777-5C2F-47F1-9BC8-D481F550D593}"/>
    <hyperlink ref="A62" location="'nabla.e.CountRowsλ'!$A$1" display="'nabla.e.CountRowsλ'!$A$1" xr:uid="{85B0DB09-7E41-43E6-8AC1-401AC777C4E6}"/>
    <hyperlink ref="A63" location="'nabla.e.CountColsλ'!$A$1" display="'nabla.e.CountColsλ'!$A$1" xr:uid="{CD482693-E456-496A-A91A-7BA431261244}"/>
    <hyperlink ref="A64" location="'nabla.e.CountARowsλ'!$A$1" display="'nabla.e.CountARowsλ'!$A$1" xr:uid="{C4E0AD1D-05FC-450C-96BA-56434B0A7764}"/>
    <hyperlink ref="A65" location="'nabla.e.CountAColsλ'!$A$1" display="'nabla.e.CountAColsλ'!$A$1" xr:uid="{BF1CE99C-507A-421E-B5C9-DEFE2C01F553}"/>
    <hyperlink ref="A66" location="'nabla.e.IsBetweenλ'!$A$1" display="'nabla.e.IsBetweenλ'!$A$1" xr:uid="{88489402-EA40-4F69-806D-DA2A57AF77B1}"/>
    <hyperlink ref="A67" location="'nabla.e.IsBetweenλ'!$A$29:$B$33" display="'nabla.e.IsBetweenλ'!$A$29:$B$33" xr:uid="{DCC2715B-CFF8-43EA-B9F0-C1629F554799}"/>
    <hyperlink ref="A68" location="'nabla.e.RangeToDAλ'!$A$1" display="'nabla.e.RangeToDAλ'!$A$1" xr:uid="{4A8420CE-883D-4955-AA6C-068C9DA7572B}"/>
    <hyperlink ref="A69" location="'nabla.r.FinancialRatios'!$A$1" display="'nabla.r.FinancialRatios'!$A$1" xr:uid="{27006F34-ED4F-4D31-9273-4C75AEB7D26C}"/>
  </hyperlinks>
  <pageMargins left="0.7" right="0.7" top="0.75" bottom="0.75" header="0.3" footer="0.3"/>
  <pageSetup paperSize="9"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595959"/>
  </sheetPr>
  <dimension ref="A1:M13"/>
  <sheetViews>
    <sheetView showGridLines="0" workbookViewId="0">
      <selection activeCell="A1" sqref="A1"/>
    </sheetView>
  </sheetViews>
  <sheetFormatPr defaultRowHeight="15" x14ac:dyDescent="0.25"/>
  <cols>
    <col min="1" max="1" width="6.5703125" customWidth="1"/>
    <col min="2" max="2" width="21.7109375" bestFit="1" customWidth="1"/>
  </cols>
  <sheetData>
    <row r="1" spans="1:13" ht="45.75" x14ac:dyDescent="0.65">
      <c r="A1" s="270" t="str">
        <f>_xlfn.TEXTAFTER(CELL("filename",A1),"]")</f>
        <v>Data Validation</v>
      </c>
      <c r="B1" s="270"/>
      <c r="C1" s="270"/>
      <c r="D1" s="270"/>
      <c r="E1" s="270"/>
      <c r="F1" s="270"/>
      <c r="G1" s="270"/>
      <c r="H1" s="270"/>
      <c r="I1" s="112"/>
      <c r="J1" s="112"/>
      <c r="K1" s="112"/>
      <c r="L1" s="112"/>
      <c r="M1" s="112"/>
    </row>
    <row r="2" spans="1:13" x14ac:dyDescent="0.25">
      <c r="A2" s="273" t="s">
        <v>439</v>
      </c>
      <c r="B2" s="287"/>
      <c r="C2" s="287"/>
      <c r="D2" s="287"/>
      <c r="E2" s="287"/>
      <c r="F2" s="287"/>
      <c r="G2" s="287"/>
      <c r="H2" s="287"/>
      <c r="I2" s="287"/>
      <c r="J2" s="287"/>
      <c r="K2" s="287"/>
      <c r="L2" s="287"/>
      <c r="M2" s="288"/>
    </row>
    <row r="4" spans="1:13" ht="20.25" x14ac:dyDescent="0.3">
      <c r="A4" s="289" t="s">
        <v>448</v>
      </c>
      <c r="B4" s="290"/>
    </row>
    <row r="6" spans="1:13" x14ac:dyDescent="0.25">
      <c r="A6" t="s">
        <v>299</v>
      </c>
      <c r="B6" t="s">
        <v>131</v>
      </c>
    </row>
    <row r="7" spans="1:13" x14ac:dyDescent="0.25">
      <c r="A7" t="s">
        <v>438</v>
      </c>
      <c r="B7" t="s">
        <v>441</v>
      </c>
    </row>
    <row r="8" spans="1:13" x14ac:dyDescent="0.25">
      <c r="A8" t="s">
        <v>301</v>
      </c>
      <c r="B8" t="s">
        <v>442</v>
      </c>
    </row>
    <row r="9" spans="1:13" x14ac:dyDescent="0.25">
      <c r="A9" t="s">
        <v>302</v>
      </c>
      <c r="B9" t="s">
        <v>447</v>
      </c>
    </row>
    <row r="10" spans="1:13" x14ac:dyDescent="0.25">
      <c r="A10" t="s">
        <v>300</v>
      </c>
      <c r="B10" t="s">
        <v>440</v>
      </c>
    </row>
    <row r="11" spans="1:13" x14ac:dyDescent="0.25">
      <c r="A11" t="s">
        <v>443</v>
      </c>
      <c r="B11" t="s">
        <v>444</v>
      </c>
    </row>
    <row r="12" spans="1:13" x14ac:dyDescent="0.25">
      <c r="A12" t="s">
        <v>445</v>
      </c>
      <c r="B12" t="s">
        <v>446</v>
      </c>
    </row>
    <row r="13" spans="1:13">
      <c r="A13" t="s">
        <v>540</v>
      </c>
      <c r="B13" t="s">
        <v>541</v>
      </c>
    </row>
  </sheetData>
  <mergeCells count="3">
    <mergeCell ref="A1:H1"/>
    <mergeCell ref="A2:M2"/>
    <mergeCell ref="A4:B4"/>
  </mergeCells>
  <hyperlinks>
    <hyperlink ref="A1" location="'TOC'!$A$1" display="'TOC'!$A$1" xr:uid="{6197EC9A-87E6-48A7-A1CE-37F9C8C0EC40}"/>
  </hyperlink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595959"/>
  </sheetPr>
  <dimension ref="A1:V135"/>
  <sheetViews>
    <sheetView showGridLines="0" workbookViewId="0">
      <selection activeCell="A1" sqref="A1"/>
    </sheetView>
  </sheetViews>
  <sheetFormatPr defaultRowHeight="15" x14ac:dyDescent="0.25"/>
  <cols>
    <col min="1" max="1" width="18.28515625" customWidth="1"/>
    <col min="2" max="2" width="24.140625" customWidth="1"/>
    <col min="3" max="3" width="5.7109375" customWidth="1"/>
    <col min="4" max="4" width="3.5703125" customWidth="1"/>
    <col min="5" max="5" width="18.28515625" customWidth="1"/>
    <col min="6" max="12" width="3.5703125" customWidth="1"/>
  </cols>
  <sheetData>
    <row r="1" spans="1:22" ht="45.75" x14ac:dyDescent="0.65">
      <c r="A1" s="293" t="s">
        <v>2</v>
      </c>
      <c r="B1" s="293"/>
      <c r="C1" s="293"/>
      <c r="D1" s="293"/>
      <c r="E1" s="293"/>
      <c r="F1" s="293"/>
      <c r="G1" s="293"/>
      <c r="H1" s="293"/>
      <c r="I1" s="293"/>
      <c r="J1" s="293"/>
      <c r="K1" s="293"/>
      <c r="L1" s="293"/>
      <c r="M1" s="293"/>
      <c r="N1" s="293"/>
      <c r="O1" s="293"/>
      <c r="P1" s="293"/>
      <c r="Q1" s="293"/>
      <c r="R1" s="293"/>
      <c r="S1" s="113"/>
      <c r="T1" s="113"/>
      <c r="U1" s="113"/>
      <c r="V1" s="113"/>
    </row>
    <row r="2" spans="1:22" x14ac:dyDescent="0.25">
      <c r="A2" s="294"/>
      <c r="B2" s="294"/>
      <c r="C2" s="294"/>
      <c r="D2" s="294"/>
      <c r="E2" s="294"/>
      <c r="F2" s="294"/>
      <c r="G2" s="294"/>
      <c r="H2" s="294"/>
      <c r="I2" s="294"/>
      <c r="J2" s="294"/>
      <c r="K2" s="294"/>
      <c r="L2" s="294"/>
      <c r="M2" s="294"/>
      <c r="N2" s="294"/>
      <c r="O2" s="294"/>
      <c r="P2" s="294"/>
      <c r="Q2" s="294"/>
      <c r="R2" s="294"/>
      <c r="S2" s="104"/>
      <c r="T2" s="104"/>
      <c r="U2" s="104"/>
      <c r="V2" s="104"/>
    </row>
    <row r="4" spans="1:22" ht="20.25" x14ac:dyDescent="0.25">
      <c r="A4" s="292" t="s">
        <v>3</v>
      </c>
      <c r="B4" s="292"/>
      <c r="C4" s="292"/>
      <c r="D4" s="292"/>
      <c r="E4" s="292"/>
      <c r="F4" s="292"/>
      <c r="G4" s="292"/>
      <c r="H4" s="292"/>
      <c r="I4" s="292"/>
      <c r="J4" s="292"/>
      <c r="K4" s="292"/>
      <c r="L4" s="292"/>
    </row>
    <row r="5" spans="1:22" x14ac:dyDescent="0.25">
      <c r="A5" s="291" t="s">
        <v>4</v>
      </c>
      <c r="B5" s="291"/>
      <c r="C5" s="291"/>
      <c r="D5" s="291"/>
      <c r="E5" s="291"/>
      <c r="F5" s="291"/>
      <c r="G5" s="291"/>
      <c r="H5" s="291"/>
      <c r="I5" s="291"/>
      <c r="J5" s="291"/>
      <c r="K5" s="291"/>
      <c r="L5" s="291"/>
    </row>
    <row r="6" spans="1:22" ht="54"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5.7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0.25"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43125.60567430555</v>
      </c>
      <c r="F53" s="10" t="s">
        <v>24</v>
      </c>
      <c r="G53" s="10" t="s">
        <v>24</v>
      </c>
      <c r="H53" s="10"/>
      <c r="I53" s="10"/>
      <c r="J53" s="10" t="s">
        <v>24</v>
      </c>
      <c r="K53" s="10"/>
      <c r="L53" s="10"/>
    </row>
    <row r="54" spans="1:12" x14ac:dyDescent="0.25">
      <c r="A54" s="3" t="s">
        <v>56</v>
      </c>
      <c r="B54" s="3" t="s">
        <v>66</v>
      </c>
      <c r="C54" s="3"/>
      <c r="D54" s="3">
        <v>10</v>
      </c>
      <c r="E54" s="47">
        <v>43125.60560833333</v>
      </c>
      <c r="F54" s="10" t="s">
        <v>24</v>
      </c>
      <c r="G54" s="10" t="s">
        <v>24</v>
      </c>
      <c r="H54" s="10"/>
      <c r="I54" s="10"/>
      <c r="J54" s="10" t="s">
        <v>24</v>
      </c>
      <c r="K54" s="10"/>
      <c r="L54" s="10"/>
    </row>
    <row r="55" spans="1:12" x14ac:dyDescent="0.25">
      <c r="A55" s="3" t="s">
        <v>56</v>
      </c>
      <c r="B55" s="3" t="s">
        <v>67</v>
      </c>
      <c r="C55" s="16"/>
      <c r="D55" s="3">
        <v>10</v>
      </c>
      <c r="E55" s="48">
        <v>45537</v>
      </c>
      <c r="F55" s="10" t="s">
        <v>24</v>
      </c>
      <c r="G55" s="10" t="s">
        <v>24</v>
      </c>
      <c r="H55" s="10"/>
      <c r="I55" s="10"/>
      <c r="J55" s="10" t="s">
        <v>24</v>
      </c>
      <c r="K55" s="10"/>
      <c r="L55" s="10"/>
    </row>
    <row r="56" spans="1:12" x14ac:dyDescent="0.25">
      <c r="A56" s="3" t="s">
        <v>56</v>
      </c>
      <c r="B56" s="3" t="s">
        <v>68</v>
      </c>
      <c r="C56" s="3"/>
      <c r="D56" s="3">
        <v>11</v>
      </c>
      <c r="E56" s="49">
        <v>42394.605748495371</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ht="30"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ht="30"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1F4E79"/>
  </sheetPr>
  <dimension ref="A1:Q24"/>
  <sheetViews>
    <sheetView showGridLines="0" workbookViewId="0">
      <selection activeCell="A1" sqref="A1"/>
    </sheetView>
  </sheetViews>
  <sheetFormatPr defaultRowHeight="15" x14ac:dyDescent="0.25"/>
  <cols>
    <col min="1" max="1" width="12.7109375" bestFit="1" customWidth="1"/>
    <col min="2" max="2" width="11.7109375" customWidth="1"/>
    <col min="3" max="3" width="6.7109375" bestFit="1" customWidth="1"/>
    <col min="5" max="5" width="5.7109375" bestFit="1" customWidth="1"/>
    <col min="6" max="29" width="11.42578125" bestFit="1" customWidth="1"/>
  </cols>
  <sheetData>
    <row r="1" spans="1:17" ht="45.75" x14ac:dyDescent="0.65">
      <c r="A1" s="270" t="str">
        <f>_xlfn.TEXTAFTER(CELL("filename",A1),"]")</f>
        <v>nabla.d.CountDOWλ</v>
      </c>
      <c r="B1" s="270"/>
      <c r="C1" s="270"/>
      <c r="D1" s="270"/>
      <c r="E1" s="270"/>
      <c r="F1" s="270"/>
      <c r="G1" s="270"/>
      <c r="H1" s="270"/>
      <c r="I1" s="270"/>
      <c r="J1" s="270"/>
      <c r="K1" s="270"/>
      <c r="L1" s="270"/>
      <c r="M1" s="270"/>
      <c r="N1" s="112"/>
    </row>
    <row r="2" spans="1:17" x14ac:dyDescent="0.25">
      <c r="A2" s="273" t="s">
        <v>195</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row>
    <row r="4" spans="1:17" x14ac:dyDescent="0.25">
      <c r="A4" s="131" t="str" cm="1">
        <f t="array" ref="A4:B13">nabla.d.CountDOWλ()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https://github.com/ryanduguid/Nabla</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(nabla.d is assumed to be the module's name)</v>
      </c>
    </row>
    <row r="13" spans="1:17" x14ac:dyDescent="0.25">
      <c r="A13" t="str">
        <v>2</v>
      </c>
      <c r="B13" t="str">
        <v>=nabla.d.CountDOWλ("22/3/2012", "10/4/2012", 1)</v>
      </c>
    </row>
    <row r="18" spans="1:17" x14ac:dyDescent="0.25">
      <c r="E18" s="127" t="s">
        <v>150</v>
      </c>
      <c r="F18" s="128" cm="1">
        <f t="array" ref="F18:Q18">nabla.d.Timelineλ($B$21,$B$22,$B$23)</f>
        <v>45292</v>
      </c>
      <c r="G18" s="128">
        <v>46388</v>
      </c>
      <c r="H18" s="128">
        <v>46753</v>
      </c>
      <c r="I18" s="128">
        <v>47119</v>
      </c>
      <c r="J18" s="128">
        <v>47484</v>
      </c>
      <c r="K18" s="128">
        <v>47849</v>
      </c>
      <c r="L18" s="128">
        <v>48214</v>
      </c>
      <c r="M18" s="128">
        <v>48580</v>
      </c>
      <c r="N18" s="128">
        <v>48945</v>
      </c>
      <c r="O18" s="128">
        <v>49310</v>
      </c>
      <c r="P18" s="128">
        <v>49675</v>
      </c>
      <c r="Q18" s="128">
        <v>50041</v>
      </c>
    </row>
    <row r="19" spans="1:17" x14ac:dyDescent="0.25">
      <c r="A19" s="115" t="s">
        <v>137</v>
      </c>
      <c r="B19" s="116" t="s">
        <v>138</v>
      </c>
      <c r="C19" s="115" t="s">
        <v>139</v>
      </c>
      <c r="E19" s="126" t="s">
        <v>151</v>
      </c>
      <c r="F19" s="129" cm="1">
        <f t="array" ref="F19:Q19">nabla.d.Timelineλ($B$21,$B$22,$B$23,FALSE)</f>
        <v>45657</v>
      </c>
      <c r="G19" s="129">
        <v>46752</v>
      </c>
      <c r="H19" s="129">
        <v>47118</v>
      </c>
      <c r="I19" s="129">
        <v>47483</v>
      </c>
      <c r="J19" s="129">
        <v>47848</v>
      </c>
      <c r="K19" s="129">
        <v>48213</v>
      </c>
      <c r="L19" s="129">
        <v>48579</v>
      </c>
      <c r="M19" s="129">
        <v>48944</v>
      </c>
      <c r="N19" s="129">
        <v>49309</v>
      </c>
      <c r="O19" s="129">
        <v>49674</v>
      </c>
      <c r="P19" s="129">
        <v>50040</v>
      </c>
      <c r="Q19" s="129">
        <v>50405</v>
      </c>
    </row>
    <row r="20" spans="1:17" x14ac:dyDescent="0.25">
      <c r="A20" s="2" t="s">
        <v>149</v>
      </c>
      <c r="F20" s="130" cm="1">
        <f t="array" ref="F20:Q20">nabla.d.CountDOWλ(_xlfn.ANCHORARRAY( F18),_xlfn.ANCHORARRAY( F19), $B$24)</f>
        <v>52</v>
      </c>
      <c r="G20">
        <v>52</v>
      </c>
      <c r="H20">
        <v>52</v>
      </c>
      <c r="I20">
        <v>52</v>
      </c>
      <c r="J20">
        <v>53</v>
      </c>
      <c r="K20">
        <v>52</v>
      </c>
      <c r="L20">
        <v>52</v>
      </c>
      <c r="M20">
        <v>52</v>
      </c>
      <c r="N20">
        <v>52</v>
      </c>
      <c r="O20">
        <v>52</v>
      </c>
      <c r="P20">
        <v>53</v>
      </c>
      <c r="Q20">
        <v>52</v>
      </c>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customProperties>
    <customPr name="Description" r:id="rId1"/>
  </customProperties>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1F4E79"/>
  </sheetPr>
  <dimension ref="A1:Q34"/>
  <sheetViews>
    <sheetView showGridLines="0" workbookViewId="0">
      <selection activeCell="A1" sqref="A1"/>
    </sheetView>
  </sheetViews>
  <sheetFormatPr defaultRowHeight="15" x14ac:dyDescent="0.25"/>
  <cols>
    <col min="1" max="1" width="13.7109375" bestFit="1" customWidth="1"/>
    <col min="2" max="2" width="12.42578125" customWidth="1"/>
    <col min="3" max="3" width="5.85546875" bestFit="1" customWidth="1"/>
    <col min="5" max="5" width="5.7109375" bestFit="1" customWidth="1"/>
    <col min="6" max="7" width="11.42578125" bestFit="1" customWidth="1"/>
    <col min="8" max="8" width="11.7109375" bestFit="1" customWidth="1"/>
    <col min="9" max="9" width="11.28515625" customWidth="1"/>
    <col min="10" max="10" width="12.140625" bestFit="1" customWidth="1"/>
    <col min="11" max="29" width="11.42578125" bestFit="1" customWidth="1"/>
  </cols>
  <sheetData>
    <row r="1" spans="1:17" ht="45.75" x14ac:dyDescent="0.65">
      <c r="A1" s="270" t="str">
        <f>_xlfn.TEXTAFTER(CELL("filename",A1),"]")</f>
        <v>nabla.d.IsBetweenλ</v>
      </c>
      <c r="B1" s="270"/>
      <c r="C1" s="270"/>
      <c r="D1" s="270"/>
      <c r="E1" s="270"/>
      <c r="F1" s="270"/>
      <c r="G1" s="270"/>
      <c r="H1" s="270"/>
      <c r="I1" s="270"/>
      <c r="J1" s="270"/>
      <c r="K1" s="270"/>
      <c r="L1" s="270"/>
      <c r="M1" s="270"/>
      <c r="N1" s="112"/>
    </row>
    <row r="2" spans="1:17" x14ac:dyDescent="0.25">
      <c r="A2" s="273" t="s">
        <v>196</v>
      </c>
      <c r="B2" s="274"/>
      <c r="C2" s="274"/>
      <c r="D2" s="274"/>
      <c r="E2" s="274"/>
      <c r="F2" s="274"/>
      <c r="G2" s="274"/>
      <c r="H2" s="274"/>
      <c r="I2" s="274"/>
      <c r="J2" s="274"/>
      <c r="K2" s="274"/>
      <c r="L2" s="274"/>
      <c r="M2" s="274"/>
      <c r="N2" s="274"/>
      <c r="O2" s="274"/>
      <c r="P2" s="274"/>
      <c r="Q2" s="274"/>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nabla.d.IsBetweenλ()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https://github.com/ryanduguid/Nabla</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(nabla.d is assumed to be the module's name)</v>
      </c>
    </row>
    <row r="14" spans="1:17" x14ac:dyDescent="0.25">
      <c r="A14" t="str">
        <v>FALSE</v>
      </c>
      <c r="B14" t="str">
        <v>=nabla.d.IsBetweenλ(1, 2, 4)</v>
      </c>
    </row>
    <row r="15" spans="1:17" x14ac:dyDescent="0.25">
      <c r="A15" t="str">
        <v>TRUE</v>
      </c>
      <c r="B15" t="str">
        <v>=nabla.d.IsBetweenλ(Today(), Today(), Today()+1)</v>
      </c>
    </row>
    <row r="16" spans="1:17" x14ac:dyDescent="0.25">
      <c r="A16" t="str">
        <v>FALSE</v>
      </c>
      <c r="B16" t="str">
        <v>=nabla.d.IsBetweenλ("B", "B", "D", FALSE)</v>
      </c>
    </row>
    <row r="22" spans="1:17" x14ac:dyDescent="0.25">
      <c r="E22" s="127" t="s">
        <v>150</v>
      </c>
      <c r="F22" s="132" cm="1">
        <f t="array" ref="F22:Q22">nabla.d.Timelineλ($B$25,$B$26,$B$27)</f>
        <v>45292</v>
      </c>
      <c r="G22" s="128">
        <v>46054</v>
      </c>
      <c r="H22" s="128">
        <v>46082</v>
      </c>
      <c r="I22" s="128">
        <v>46113</v>
      </c>
      <c r="J22" s="128">
        <v>46143</v>
      </c>
      <c r="K22" s="128">
        <v>46174</v>
      </c>
      <c r="L22" s="128">
        <v>46204</v>
      </c>
      <c r="M22" s="128">
        <v>46235</v>
      </c>
      <c r="N22" s="128">
        <v>46266</v>
      </c>
      <c r="O22" s="128">
        <v>46296</v>
      </c>
      <c r="P22" s="128">
        <v>46327</v>
      </c>
      <c r="Q22" s="128">
        <v>46357</v>
      </c>
    </row>
    <row r="23" spans="1:17" x14ac:dyDescent="0.25">
      <c r="A23" s="115" t="s">
        <v>137</v>
      </c>
      <c r="B23" s="116" t="s">
        <v>138</v>
      </c>
      <c r="C23" s="115" t="s">
        <v>139</v>
      </c>
      <c r="E23" s="126" t="s">
        <v>151</v>
      </c>
      <c r="F23" s="129" cm="1">
        <f t="array" ref="F23:Q23">nabla.d.Timelineλ($B$25,$B$26,$B$27,FALSE)</f>
        <v>45322</v>
      </c>
      <c r="G23" s="129">
        <v>46081</v>
      </c>
      <c r="H23" s="129">
        <v>46112</v>
      </c>
      <c r="I23" s="129">
        <v>46142</v>
      </c>
      <c r="J23" s="129">
        <v>46173</v>
      </c>
      <c r="K23" s="129">
        <v>46203</v>
      </c>
      <c r="L23" s="129">
        <v>46234</v>
      </c>
      <c r="M23" s="129">
        <v>46265</v>
      </c>
      <c r="N23" s="129">
        <v>46295</v>
      </c>
      <c r="O23" s="129">
        <v>46326</v>
      </c>
      <c r="P23" s="129">
        <v>46356</v>
      </c>
      <c r="Q23" s="129">
        <v>46387</v>
      </c>
    </row>
    <row r="24" spans="1:17" x14ac:dyDescent="0.25">
      <c r="A24" s="2" t="s">
        <v>149</v>
      </c>
    </row>
    <row r="25" spans="1:17" x14ac:dyDescent="0.25">
      <c r="A25" s="121" t="s">
        <v>150</v>
      </c>
      <c r="B25" s="119">
        <v>46023</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46068</v>
      </c>
      <c r="C29" t="s">
        <v>145</v>
      </c>
      <c r="F29" s="187" cm="1">
        <f t="array" ref="F29:Q29">N( nabla.d.IsBetweenλ(B29,_xlfn.ANCHORARRAY(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46032</v>
      </c>
      <c r="C31" t="s">
        <v>145</v>
      </c>
      <c r="F31" s="154" cm="1">
        <f t="array" ref="F31:Q34">N( nabla.d.IsBetweenλ(B31:B34,_xlfn.ANCHORARRAY( $F$22),_xlfn.ANCHORARRAY( $F$23)))</f>
        <v>1</v>
      </c>
      <c r="G31">
        <v>0</v>
      </c>
      <c r="H31">
        <v>0</v>
      </c>
      <c r="I31">
        <v>0</v>
      </c>
      <c r="J31">
        <v>0</v>
      </c>
      <c r="K31">
        <v>0</v>
      </c>
      <c r="L31">
        <v>0</v>
      </c>
      <c r="M31">
        <v>0</v>
      </c>
      <c r="N31">
        <v>0</v>
      </c>
      <c r="O31">
        <v>0</v>
      </c>
      <c r="P31">
        <v>0</v>
      </c>
      <c r="Q31">
        <v>0</v>
      </c>
    </row>
    <row r="32" spans="1:17" x14ac:dyDescent="0.25">
      <c r="B32" s="119">
        <v>46091</v>
      </c>
      <c r="C32" t="s">
        <v>145</v>
      </c>
      <c r="F32">
        <v>0</v>
      </c>
      <c r="G32">
        <v>0</v>
      </c>
      <c r="H32">
        <v>1</v>
      </c>
      <c r="I32">
        <v>0</v>
      </c>
      <c r="J32">
        <v>0</v>
      </c>
      <c r="K32">
        <v>0</v>
      </c>
      <c r="L32">
        <v>0</v>
      </c>
      <c r="M32">
        <v>0</v>
      </c>
      <c r="N32">
        <v>0</v>
      </c>
      <c r="O32">
        <v>0</v>
      </c>
      <c r="P32">
        <v>0</v>
      </c>
      <c r="Q32">
        <v>0</v>
      </c>
    </row>
    <row r="33" spans="2:17" x14ac:dyDescent="0.25">
      <c r="B33" s="119">
        <v>46178</v>
      </c>
      <c r="C33" t="s">
        <v>145</v>
      </c>
      <c r="F33">
        <v>0</v>
      </c>
      <c r="G33">
        <v>0</v>
      </c>
      <c r="H33">
        <v>0</v>
      </c>
      <c r="I33">
        <v>0</v>
      </c>
      <c r="J33">
        <v>0</v>
      </c>
      <c r="K33">
        <v>1</v>
      </c>
      <c r="L33">
        <v>0</v>
      </c>
      <c r="M33">
        <v>0</v>
      </c>
      <c r="N33">
        <v>0</v>
      </c>
      <c r="O33">
        <v>0</v>
      </c>
      <c r="P33">
        <v>0</v>
      </c>
      <c r="Q33">
        <v>0</v>
      </c>
    </row>
    <row r="34" spans="2:17" x14ac:dyDescent="0.25">
      <c r="B34" s="119">
        <v>46272</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orientation="portrait" horizontalDpi="360" verticalDpi="36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1F4E79"/>
  </sheetPr>
  <dimension ref="A1:NH39"/>
  <sheetViews>
    <sheetView showGridLines="0" workbookViewId="0">
      <selection activeCell="A1" sqref="A1"/>
    </sheetView>
  </sheetViews>
  <sheetFormatPr defaultRowHeight="15" x14ac:dyDescent="0.25"/>
  <cols>
    <col min="1" max="1" width="22.28515625" bestFit="1" customWidth="1"/>
    <col min="2" max="2" width="11.140625" customWidth="1"/>
    <col min="3" max="3" width="11.7109375" customWidth="1"/>
    <col min="4" max="5" width="10.5703125" bestFit="1" customWidth="1"/>
    <col min="6" max="6" width="10.5703125" customWidth="1"/>
    <col min="7" max="7" width="15.28515625" bestFit="1" customWidth="1"/>
    <col min="8" max="11" width="10.7109375" bestFit="1" customWidth="1"/>
    <col min="12" max="16" width="10.140625" bestFit="1" customWidth="1"/>
    <col min="17" max="38" width="11.140625" bestFit="1" customWidth="1"/>
    <col min="39" max="47" width="10.28515625" bestFit="1" customWidth="1"/>
    <col min="48" max="67" width="11.28515625" bestFit="1" customWidth="1"/>
    <col min="68" max="76" width="10.7109375" bestFit="1" customWidth="1"/>
    <col min="77" max="98" width="11.7109375" bestFit="1" customWidth="1"/>
    <col min="99" max="107" width="10.28515625" bestFit="1" customWidth="1"/>
    <col min="108" max="128" width="11.28515625" bestFit="1" customWidth="1"/>
    <col min="129" max="137" width="11.140625" bestFit="1" customWidth="1"/>
    <col min="138" max="159" width="12.140625" bestFit="1" customWidth="1"/>
    <col min="160" max="168" width="10.28515625" bestFit="1" customWidth="1"/>
    <col min="169" max="189" width="11.28515625" bestFit="1" customWidth="1"/>
    <col min="190" max="198" width="9.5703125" bestFit="1" customWidth="1"/>
    <col min="199" max="220" width="10.5703125" bestFit="1" customWidth="1"/>
    <col min="221" max="229" width="10.7109375" bestFit="1" customWidth="1"/>
    <col min="230" max="251" width="11.7109375" bestFit="1" customWidth="1"/>
    <col min="252" max="260" width="10.42578125" bestFit="1" customWidth="1"/>
    <col min="261" max="281" width="11.42578125" bestFit="1" customWidth="1"/>
    <col min="282" max="290" width="10.28515625" bestFit="1" customWidth="1"/>
    <col min="291" max="312" width="11.28515625" bestFit="1" customWidth="1"/>
    <col min="313" max="321" width="10.7109375" bestFit="1" customWidth="1"/>
    <col min="322" max="342" width="11.7109375" bestFit="1" customWidth="1"/>
    <col min="343" max="351" width="10.42578125" bestFit="1" customWidth="1"/>
    <col min="352" max="372" width="11.42578125" bestFit="1" customWidth="1"/>
  </cols>
  <sheetData>
    <row r="1" spans="1:16" ht="45.75" x14ac:dyDescent="0.65">
      <c r="A1" s="270" t="str">
        <f>_xlfn.TEXTAFTER(CELL("filename",A1),"]")</f>
        <v>nabla.d.IsOccurrenceDateλ</v>
      </c>
      <c r="B1" s="270"/>
      <c r="C1" s="270"/>
      <c r="D1" s="270"/>
      <c r="E1" s="270"/>
      <c r="F1" s="270"/>
      <c r="G1" s="270"/>
      <c r="H1" s="270"/>
      <c r="I1" s="270"/>
      <c r="J1" s="270"/>
      <c r="K1" s="270"/>
      <c r="L1" s="270"/>
      <c r="M1" s="270"/>
      <c r="N1" s="270"/>
      <c r="O1" s="270"/>
      <c r="P1" s="270"/>
    </row>
    <row r="2" spans="1:16" x14ac:dyDescent="0.25">
      <c r="A2" s="273" t="s">
        <v>197</v>
      </c>
      <c r="B2" s="287"/>
      <c r="C2" s="287"/>
      <c r="D2" s="287"/>
      <c r="E2" s="287"/>
      <c r="F2" s="287"/>
      <c r="G2" s="287"/>
      <c r="H2" s="287"/>
      <c r="I2" s="287"/>
      <c r="J2" s="287"/>
      <c r="K2" s="287"/>
      <c r="L2" s="287"/>
      <c r="M2" s="287"/>
      <c r="N2" s="287"/>
      <c r="O2" s="287"/>
      <c r="P2" s="288"/>
    </row>
    <row r="4" spans="1:16" x14ac:dyDescent="0.25">
      <c r="A4" s="131" t="str" cm="1">
        <f t="array" ref="A4:B28">nabla.d.IsOccurrenceDateλ()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https://github.com/ryanduguid/Nabla</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(nabla.d is assumed to be the module's name)</v>
      </c>
    </row>
    <row r="26" spans="1:372" x14ac:dyDescent="0.25">
      <c r="A26" t="str">
        <v>72</v>
      </c>
      <c r="B26" t="str">
        <v>=SUM(N(nabla.d.IsOccurrenceDateλ(SEQUENCE(,90,"1/1/2025"), "1/1/2025", "13/3/2025", "D")))</v>
      </c>
    </row>
    <row r="27" spans="1:372" x14ac:dyDescent="0.25">
      <c r="A27" t="str">
        <v>01</v>
      </c>
      <c r="B27" t="str">
        <v>=SUM(N(nabla.d.IsOccurrenceDateλ(SEQUENCE(,90,"1/1/2025"), "1/1/2025", "13/3/2025", "O")))</v>
      </c>
    </row>
    <row r="28" spans="1:372" x14ac:dyDescent="0.25">
      <c r="A28" t="str">
        <v>11</v>
      </c>
      <c r="B28" t="str">
        <v>=SUM(N(nabla.d.IsOccurrenceDateλ(SEQUENCE(,90,"1/1/2025"), "1/1/2025", "13/3/2025", "W")))</v>
      </c>
    </row>
    <row r="31" spans="1:372" ht="20.25" x14ac:dyDescent="0.3">
      <c r="A31" s="295" t="s">
        <v>220</v>
      </c>
      <c r="B31" s="296"/>
      <c r="C31" s="296"/>
      <c r="D31" s="296"/>
      <c r="E31" s="296"/>
      <c r="F31" s="153"/>
      <c r="G31" s="135" t="s">
        <v>246</v>
      </c>
      <c r="H31" s="157" cm="1">
        <f t="array" ref="H31:NH31">nabla.f.Cumulativeλ(_xlfn.ANCHORARRAY(H32))</f>
        <v>3981</v>
      </c>
      <c r="I31" s="157">
        <v>3962</v>
      </c>
      <c r="J31" s="157">
        <v>3868</v>
      </c>
      <c r="K31" s="157">
        <v>3849</v>
      </c>
      <c r="L31" s="157">
        <v>-670</v>
      </c>
      <c r="M31" s="157">
        <v>-670</v>
      </c>
      <c r="N31" s="157">
        <v>-670</v>
      </c>
      <c r="O31" s="157">
        <v>-689</v>
      </c>
      <c r="P31" s="157">
        <v>-708</v>
      </c>
      <c r="Q31" s="157">
        <v>-1302</v>
      </c>
      <c r="R31" s="157">
        <v>-1321</v>
      </c>
      <c r="S31" s="157">
        <v>-1340</v>
      </c>
      <c r="T31" s="157">
        <v>-1340</v>
      </c>
      <c r="U31" s="157">
        <v>-1340</v>
      </c>
      <c r="V31" s="157">
        <v>4641</v>
      </c>
      <c r="W31" s="157">
        <v>4622</v>
      </c>
      <c r="X31" s="157">
        <v>4528</v>
      </c>
      <c r="Y31" s="157">
        <v>4509</v>
      </c>
      <c r="Z31" s="157">
        <v>4490</v>
      </c>
      <c r="AA31" s="157">
        <v>4490</v>
      </c>
      <c r="AB31" s="157">
        <v>4490</v>
      </c>
      <c r="AC31" s="157">
        <v>4471</v>
      </c>
      <c r="AD31" s="157">
        <v>4452</v>
      </c>
      <c r="AE31" s="157">
        <v>4358</v>
      </c>
      <c r="AF31" s="157">
        <v>4339</v>
      </c>
      <c r="AG31" s="157">
        <v>4320</v>
      </c>
      <c r="AH31" s="157">
        <v>4320</v>
      </c>
      <c r="AI31" s="157">
        <v>4320</v>
      </c>
      <c r="AJ31" s="157">
        <v>10301</v>
      </c>
      <c r="AK31" s="157">
        <v>10282</v>
      </c>
      <c r="AL31" s="157">
        <v>10188</v>
      </c>
      <c r="AM31" s="157">
        <v>10169</v>
      </c>
      <c r="AN31" s="157">
        <v>10150</v>
      </c>
      <c r="AO31" s="157">
        <v>10150</v>
      </c>
      <c r="AP31" s="157">
        <v>10150</v>
      </c>
      <c r="AQ31" s="157">
        <v>5631</v>
      </c>
      <c r="AR31" s="157">
        <v>5612</v>
      </c>
      <c r="AS31" s="157">
        <v>5518</v>
      </c>
      <c r="AT31" s="157">
        <v>5499</v>
      </c>
      <c r="AU31" s="157">
        <v>5480</v>
      </c>
      <c r="AV31" s="157">
        <v>5480</v>
      </c>
      <c r="AW31" s="157">
        <v>5480</v>
      </c>
      <c r="AX31" s="157">
        <v>11461</v>
      </c>
      <c r="AY31" s="157">
        <v>11442</v>
      </c>
      <c r="AZ31" s="157">
        <v>11348</v>
      </c>
      <c r="BA31" s="157">
        <v>11329</v>
      </c>
      <c r="BB31" s="157">
        <v>11310</v>
      </c>
      <c r="BC31" s="157">
        <v>11310</v>
      </c>
      <c r="BD31" s="157">
        <v>11310</v>
      </c>
      <c r="BE31" s="157">
        <v>11291</v>
      </c>
      <c r="BF31" s="157">
        <v>11272</v>
      </c>
      <c r="BG31" s="157">
        <v>11178</v>
      </c>
      <c r="BH31" s="157">
        <v>11159</v>
      </c>
      <c r="BI31" s="157">
        <v>11140</v>
      </c>
      <c r="BJ31" s="157">
        <v>11140</v>
      </c>
      <c r="BK31" s="157">
        <v>11140</v>
      </c>
      <c r="BL31" s="157">
        <v>17121</v>
      </c>
      <c r="BM31" s="157">
        <v>17102</v>
      </c>
      <c r="BN31" s="157">
        <v>17008</v>
      </c>
      <c r="BO31" s="157">
        <v>16989</v>
      </c>
      <c r="BP31" s="157">
        <v>16970</v>
      </c>
      <c r="BQ31" s="157">
        <v>16970</v>
      </c>
      <c r="BR31" s="157">
        <v>16970</v>
      </c>
      <c r="BS31" s="157">
        <v>16951</v>
      </c>
      <c r="BT31" s="157">
        <v>12432</v>
      </c>
      <c r="BU31" s="157">
        <v>12338</v>
      </c>
      <c r="BV31" s="157">
        <v>12319</v>
      </c>
      <c r="BW31" s="157">
        <v>12300</v>
      </c>
      <c r="BX31" s="157">
        <v>12300</v>
      </c>
      <c r="BY31" s="157">
        <v>12300</v>
      </c>
      <c r="BZ31" s="157">
        <v>18281</v>
      </c>
      <c r="CA31" s="157">
        <v>18262</v>
      </c>
      <c r="CB31" s="157">
        <v>18168</v>
      </c>
      <c r="CC31" s="157">
        <v>18149</v>
      </c>
      <c r="CD31" s="157">
        <v>18130</v>
      </c>
      <c r="CE31" s="157">
        <v>18130</v>
      </c>
      <c r="CF31" s="157">
        <v>18130</v>
      </c>
      <c r="CG31" s="157">
        <v>18111</v>
      </c>
      <c r="CH31" s="157">
        <v>18092</v>
      </c>
      <c r="CI31" s="157">
        <v>17998</v>
      </c>
      <c r="CJ31" s="157">
        <v>17979</v>
      </c>
      <c r="CK31" s="157">
        <v>17960</v>
      </c>
      <c r="CL31" s="157">
        <v>17960</v>
      </c>
      <c r="CM31" s="157">
        <v>17960</v>
      </c>
      <c r="CN31" s="157">
        <v>23941</v>
      </c>
      <c r="CO31" s="157">
        <v>23922</v>
      </c>
      <c r="CP31" s="157">
        <v>23828</v>
      </c>
      <c r="CQ31" s="157">
        <v>23809</v>
      </c>
      <c r="CR31" s="157">
        <v>23790</v>
      </c>
      <c r="CS31" s="157">
        <v>23790</v>
      </c>
      <c r="CT31" s="157">
        <v>23790</v>
      </c>
      <c r="CU31" s="157">
        <v>23771</v>
      </c>
      <c r="CV31" s="157">
        <v>23752</v>
      </c>
      <c r="CW31" s="157">
        <v>23658</v>
      </c>
      <c r="CX31" s="157">
        <v>23639</v>
      </c>
      <c r="CY31" s="157">
        <v>19120</v>
      </c>
      <c r="CZ31" s="157">
        <v>19120</v>
      </c>
      <c r="DA31" s="157">
        <v>19120</v>
      </c>
      <c r="DB31" s="157">
        <v>25101</v>
      </c>
      <c r="DC31" s="157">
        <v>25082</v>
      </c>
      <c r="DD31" s="157">
        <v>24488</v>
      </c>
      <c r="DE31" s="157">
        <v>24469</v>
      </c>
      <c r="DF31" s="157">
        <v>24450</v>
      </c>
      <c r="DG31" s="157">
        <v>24450</v>
      </c>
      <c r="DH31" s="157">
        <v>24450</v>
      </c>
      <c r="DI31" s="157">
        <v>24431</v>
      </c>
      <c r="DJ31" s="157">
        <v>24412</v>
      </c>
      <c r="DK31" s="157">
        <v>24318</v>
      </c>
      <c r="DL31" s="157">
        <v>24299</v>
      </c>
      <c r="DM31" s="157">
        <v>24280</v>
      </c>
      <c r="DN31" s="157">
        <v>24280</v>
      </c>
      <c r="DO31" s="157">
        <v>24280</v>
      </c>
      <c r="DP31" s="157">
        <v>30261</v>
      </c>
      <c r="DQ31" s="157">
        <v>30242</v>
      </c>
      <c r="DR31" s="157">
        <v>30148</v>
      </c>
      <c r="DS31" s="157">
        <v>30129</v>
      </c>
      <c r="DT31" s="157">
        <v>30110</v>
      </c>
      <c r="DU31" s="157">
        <v>30110</v>
      </c>
      <c r="DV31" s="157">
        <v>30110</v>
      </c>
      <c r="DW31" s="157">
        <v>30091</v>
      </c>
      <c r="DX31" s="157">
        <v>30072</v>
      </c>
      <c r="DY31" s="157">
        <v>29978</v>
      </c>
      <c r="DZ31" s="157">
        <v>29959</v>
      </c>
      <c r="EA31" s="157">
        <v>29940</v>
      </c>
      <c r="EB31" s="157">
        <v>29940</v>
      </c>
      <c r="EC31" s="157">
        <v>25440</v>
      </c>
      <c r="ED31" s="157">
        <v>31421</v>
      </c>
      <c r="EE31" s="157">
        <v>31402</v>
      </c>
      <c r="EF31" s="157">
        <v>31308</v>
      </c>
      <c r="EG31" s="157">
        <v>31289</v>
      </c>
      <c r="EH31" s="157">
        <v>31270</v>
      </c>
      <c r="EI31" s="157">
        <v>31270</v>
      </c>
      <c r="EJ31" s="157">
        <v>31270</v>
      </c>
      <c r="EK31" s="157">
        <v>31251</v>
      </c>
      <c r="EL31" s="157">
        <v>31232</v>
      </c>
      <c r="EM31" s="157">
        <v>31138</v>
      </c>
      <c r="EN31" s="157">
        <v>31119</v>
      </c>
      <c r="EO31" s="157">
        <v>31100</v>
      </c>
      <c r="EP31" s="157">
        <v>31100</v>
      </c>
      <c r="EQ31" s="157">
        <v>31100</v>
      </c>
      <c r="ER31" s="157">
        <v>37081</v>
      </c>
      <c r="ES31" s="157">
        <v>37062</v>
      </c>
      <c r="ET31" s="157">
        <v>36968</v>
      </c>
      <c r="EU31" s="157">
        <v>36949</v>
      </c>
      <c r="EV31" s="157">
        <v>36930</v>
      </c>
      <c r="EW31" s="157">
        <v>36930</v>
      </c>
      <c r="EX31" s="157">
        <v>36930</v>
      </c>
      <c r="EY31" s="157">
        <v>36911</v>
      </c>
      <c r="EZ31" s="157">
        <v>36892</v>
      </c>
      <c r="FA31" s="157">
        <v>36798</v>
      </c>
      <c r="FB31" s="157">
        <v>36779</v>
      </c>
      <c r="FC31" s="157">
        <v>36760</v>
      </c>
      <c r="FD31" s="157">
        <v>36760</v>
      </c>
      <c r="FE31" s="157">
        <v>36760</v>
      </c>
      <c r="FF31" s="157">
        <v>42741</v>
      </c>
      <c r="FG31" s="157">
        <v>42722</v>
      </c>
      <c r="FH31" s="157">
        <v>38128</v>
      </c>
      <c r="FI31" s="157">
        <v>38109</v>
      </c>
      <c r="FJ31" s="157">
        <v>38090</v>
      </c>
      <c r="FK31" s="157">
        <v>38090</v>
      </c>
      <c r="FL31" s="157">
        <v>38090</v>
      </c>
      <c r="FM31" s="157">
        <v>38071</v>
      </c>
      <c r="FN31" s="157">
        <v>38052</v>
      </c>
      <c r="FO31" s="157">
        <v>37958</v>
      </c>
      <c r="FP31" s="157">
        <v>37939</v>
      </c>
      <c r="FQ31" s="157">
        <v>37920</v>
      </c>
      <c r="FR31" s="157">
        <v>37920</v>
      </c>
      <c r="FS31" s="157">
        <v>37920</v>
      </c>
      <c r="FT31" s="157">
        <v>43901</v>
      </c>
      <c r="FU31" s="157">
        <v>43882</v>
      </c>
      <c r="FV31" s="157">
        <v>43788</v>
      </c>
      <c r="FW31" s="157">
        <v>43769</v>
      </c>
      <c r="FX31" s="157">
        <v>43750</v>
      </c>
      <c r="FY31" s="157">
        <v>43750</v>
      </c>
      <c r="FZ31" s="157">
        <v>43750</v>
      </c>
      <c r="GA31" s="157">
        <v>43731</v>
      </c>
      <c r="GB31" s="157">
        <v>43712</v>
      </c>
      <c r="GC31" s="157">
        <v>43618</v>
      </c>
      <c r="GD31" s="157">
        <v>43599</v>
      </c>
      <c r="GE31" s="157">
        <v>43580</v>
      </c>
      <c r="GF31" s="157">
        <v>43580</v>
      </c>
      <c r="GG31" s="157">
        <v>43580</v>
      </c>
      <c r="GH31" s="157">
        <v>47561</v>
      </c>
      <c r="GI31" s="157">
        <v>47542</v>
      </c>
      <c r="GJ31" s="157">
        <v>47448</v>
      </c>
      <c r="GK31" s="157">
        <v>47429</v>
      </c>
      <c r="GL31" s="157">
        <v>42910</v>
      </c>
      <c r="GM31" s="157">
        <v>42910</v>
      </c>
      <c r="GN31" s="157">
        <v>42910</v>
      </c>
      <c r="GO31" s="157">
        <v>42891</v>
      </c>
      <c r="GP31" s="157">
        <v>42872</v>
      </c>
      <c r="GQ31" s="157">
        <v>42278</v>
      </c>
      <c r="GR31" s="157">
        <v>42259</v>
      </c>
      <c r="GS31" s="157">
        <v>42240</v>
      </c>
      <c r="GT31" s="157">
        <v>42240</v>
      </c>
      <c r="GU31" s="157">
        <v>42240</v>
      </c>
      <c r="GV31" s="157">
        <v>48221</v>
      </c>
      <c r="GW31" s="157">
        <v>48202</v>
      </c>
      <c r="GX31" s="157">
        <v>48108</v>
      </c>
      <c r="GY31" s="157">
        <v>48089</v>
      </c>
      <c r="GZ31" s="157">
        <v>48070</v>
      </c>
      <c r="HA31" s="157">
        <v>48070</v>
      </c>
      <c r="HB31" s="157">
        <v>48070</v>
      </c>
      <c r="HC31" s="157">
        <v>48051</v>
      </c>
      <c r="HD31" s="157">
        <v>48032</v>
      </c>
      <c r="HE31" s="157">
        <v>47938</v>
      </c>
      <c r="HF31" s="157">
        <v>47919</v>
      </c>
      <c r="HG31" s="157">
        <v>47900</v>
      </c>
      <c r="HH31" s="157">
        <v>47900</v>
      </c>
      <c r="HI31" s="157">
        <v>47900</v>
      </c>
      <c r="HJ31" s="157">
        <v>53881</v>
      </c>
      <c r="HK31" s="157">
        <v>53862</v>
      </c>
      <c r="HL31" s="157">
        <v>53768</v>
      </c>
      <c r="HM31" s="157">
        <v>53749</v>
      </c>
      <c r="HN31" s="157">
        <v>53730</v>
      </c>
      <c r="HO31" s="157">
        <v>53730</v>
      </c>
      <c r="HP31" s="157">
        <v>53730</v>
      </c>
      <c r="HQ31" s="157">
        <v>49211</v>
      </c>
      <c r="HR31" s="157">
        <v>49192</v>
      </c>
      <c r="HS31" s="157">
        <v>49098</v>
      </c>
      <c r="HT31" s="157">
        <v>49079</v>
      </c>
      <c r="HU31" s="157">
        <v>49060</v>
      </c>
      <c r="HV31" s="157">
        <v>49060</v>
      </c>
      <c r="HW31" s="157">
        <v>49060</v>
      </c>
      <c r="HX31" s="157">
        <v>55041</v>
      </c>
      <c r="HY31" s="157">
        <v>55022</v>
      </c>
      <c r="HZ31" s="157">
        <v>54928</v>
      </c>
      <c r="IA31" s="157">
        <v>54909</v>
      </c>
      <c r="IB31" s="157">
        <v>54890</v>
      </c>
      <c r="IC31" s="157">
        <v>54890</v>
      </c>
      <c r="ID31" s="157">
        <v>54890</v>
      </c>
      <c r="IE31" s="157">
        <v>54871</v>
      </c>
      <c r="IF31" s="157">
        <v>54852</v>
      </c>
      <c r="IG31" s="157">
        <v>54758</v>
      </c>
      <c r="IH31" s="157">
        <v>54739</v>
      </c>
      <c r="II31" s="157">
        <v>54720</v>
      </c>
      <c r="IJ31" s="157">
        <v>54720</v>
      </c>
      <c r="IK31" s="157">
        <v>54720</v>
      </c>
      <c r="IL31" s="157">
        <v>60701</v>
      </c>
      <c r="IM31" s="157">
        <v>60682</v>
      </c>
      <c r="IN31" s="157">
        <v>60588</v>
      </c>
      <c r="IO31" s="157">
        <v>60569</v>
      </c>
      <c r="IP31" s="157">
        <v>60550</v>
      </c>
      <c r="IQ31" s="157">
        <v>60550</v>
      </c>
      <c r="IR31" s="157">
        <v>60550</v>
      </c>
      <c r="IS31" s="157">
        <v>60531</v>
      </c>
      <c r="IT31" s="157">
        <v>60512</v>
      </c>
      <c r="IU31" s="157">
        <v>60418</v>
      </c>
      <c r="IV31" s="157">
        <v>55899</v>
      </c>
      <c r="IW31" s="157">
        <v>55880</v>
      </c>
      <c r="IX31" s="157">
        <v>55880</v>
      </c>
      <c r="IY31" s="157">
        <v>55880</v>
      </c>
      <c r="IZ31" s="157">
        <v>61861</v>
      </c>
      <c r="JA31" s="157">
        <v>61842</v>
      </c>
      <c r="JB31" s="157">
        <v>61748</v>
      </c>
      <c r="JC31" s="157">
        <v>61729</v>
      </c>
      <c r="JD31" s="157">
        <v>61710</v>
      </c>
      <c r="JE31" s="157">
        <v>61710</v>
      </c>
      <c r="JF31" s="157">
        <v>61710</v>
      </c>
      <c r="JG31" s="157">
        <v>61691</v>
      </c>
      <c r="JH31" s="157">
        <v>61672</v>
      </c>
      <c r="JI31" s="157">
        <v>61578</v>
      </c>
      <c r="JJ31" s="157">
        <v>61559</v>
      </c>
      <c r="JK31" s="157">
        <v>61540</v>
      </c>
      <c r="JL31" s="157">
        <v>61540</v>
      </c>
      <c r="JM31" s="157">
        <v>61540</v>
      </c>
      <c r="JN31" s="157">
        <v>67521</v>
      </c>
      <c r="JO31" s="157">
        <v>67502</v>
      </c>
      <c r="JP31" s="157">
        <v>67408</v>
      </c>
      <c r="JQ31" s="157">
        <v>67389</v>
      </c>
      <c r="JR31" s="157">
        <v>67370</v>
      </c>
      <c r="JS31" s="157">
        <v>67370</v>
      </c>
      <c r="JT31" s="157">
        <v>67370</v>
      </c>
      <c r="JU31" s="157">
        <v>67351</v>
      </c>
      <c r="JV31" s="157">
        <v>67332</v>
      </c>
      <c r="JW31" s="157">
        <v>67238</v>
      </c>
      <c r="JX31" s="157">
        <v>67219</v>
      </c>
      <c r="JY31" s="157">
        <v>67200</v>
      </c>
      <c r="JZ31" s="157">
        <v>62700</v>
      </c>
      <c r="KA31" s="157">
        <v>62700</v>
      </c>
      <c r="KB31" s="157">
        <v>68681</v>
      </c>
      <c r="KC31" s="157">
        <v>68662</v>
      </c>
      <c r="KD31" s="157">
        <v>68568</v>
      </c>
      <c r="KE31" s="157">
        <v>68049</v>
      </c>
      <c r="KF31" s="157">
        <v>68030</v>
      </c>
      <c r="KG31" s="157">
        <v>68030</v>
      </c>
      <c r="KH31" s="157">
        <v>68030</v>
      </c>
      <c r="KI31" s="157">
        <v>68011</v>
      </c>
      <c r="KJ31" s="157">
        <v>67992</v>
      </c>
      <c r="KK31" s="157">
        <v>67898</v>
      </c>
      <c r="KL31" s="157">
        <v>67879</v>
      </c>
      <c r="KM31" s="157">
        <v>67860</v>
      </c>
      <c r="KN31" s="157">
        <v>67860</v>
      </c>
      <c r="KO31" s="157">
        <v>67860</v>
      </c>
      <c r="KP31" s="157">
        <v>73841</v>
      </c>
      <c r="KQ31" s="157">
        <v>73822</v>
      </c>
      <c r="KR31" s="157">
        <v>73728</v>
      </c>
      <c r="KS31" s="157">
        <v>73709</v>
      </c>
      <c r="KT31" s="157">
        <v>73690</v>
      </c>
      <c r="KU31" s="157">
        <v>73690</v>
      </c>
      <c r="KV31" s="157">
        <v>73690</v>
      </c>
      <c r="KW31" s="157">
        <v>73671</v>
      </c>
      <c r="KX31" s="157">
        <v>73652</v>
      </c>
      <c r="KY31" s="157">
        <v>73558</v>
      </c>
      <c r="KZ31" s="157">
        <v>73539</v>
      </c>
      <c r="LA31" s="157">
        <v>73520</v>
      </c>
      <c r="LB31" s="157">
        <v>73520</v>
      </c>
      <c r="LC31" s="157">
        <v>73520</v>
      </c>
      <c r="LD31" s="157">
        <v>79501</v>
      </c>
      <c r="LE31" s="157">
        <v>74982</v>
      </c>
      <c r="LF31" s="157">
        <v>74888</v>
      </c>
      <c r="LG31" s="157">
        <v>74869</v>
      </c>
      <c r="LH31" s="157">
        <v>74850</v>
      </c>
      <c r="LI31" s="157">
        <v>74850</v>
      </c>
      <c r="LJ31" s="157">
        <v>74850</v>
      </c>
      <c r="LK31" s="157">
        <v>74831</v>
      </c>
      <c r="LL31" s="157">
        <v>74812</v>
      </c>
      <c r="LM31" s="157">
        <v>74718</v>
      </c>
      <c r="LN31" s="157">
        <v>74699</v>
      </c>
      <c r="LO31" s="157">
        <v>74680</v>
      </c>
      <c r="LP31" s="157">
        <v>74680</v>
      </c>
      <c r="LQ31" s="157">
        <v>74680</v>
      </c>
      <c r="LR31" s="157">
        <v>80661</v>
      </c>
      <c r="LS31" s="157">
        <v>80642</v>
      </c>
      <c r="LT31" s="157">
        <v>80548</v>
      </c>
      <c r="LU31" s="157">
        <v>80529</v>
      </c>
      <c r="LV31" s="157">
        <v>80510</v>
      </c>
      <c r="LW31" s="157">
        <v>80510</v>
      </c>
      <c r="LX31" s="157">
        <v>80510</v>
      </c>
      <c r="LY31" s="157">
        <v>80491</v>
      </c>
      <c r="LZ31" s="157">
        <v>80472</v>
      </c>
      <c r="MA31" s="157">
        <v>80378</v>
      </c>
      <c r="MB31" s="157">
        <v>80359</v>
      </c>
      <c r="MC31" s="157">
        <v>80340</v>
      </c>
      <c r="MD31" s="157">
        <v>80340</v>
      </c>
      <c r="ME31" s="157">
        <v>80340</v>
      </c>
      <c r="MF31" s="157">
        <v>86321</v>
      </c>
      <c r="MG31" s="157">
        <v>86302</v>
      </c>
      <c r="MH31" s="157">
        <v>86208</v>
      </c>
      <c r="MI31" s="157">
        <v>81689</v>
      </c>
      <c r="MJ31" s="157">
        <v>81670</v>
      </c>
      <c r="MK31" s="157">
        <v>81670</v>
      </c>
      <c r="ML31" s="157">
        <v>81670</v>
      </c>
      <c r="MM31" s="157">
        <v>81651</v>
      </c>
      <c r="MN31" s="157">
        <v>81632</v>
      </c>
      <c r="MO31" s="157">
        <v>81538</v>
      </c>
      <c r="MP31" s="157">
        <v>81519</v>
      </c>
      <c r="MQ31" s="157">
        <v>81500</v>
      </c>
      <c r="MR31" s="157">
        <v>81500</v>
      </c>
      <c r="MS31" s="157">
        <v>81500</v>
      </c>
      <c r="MT31" s="157">
        <v>87481</v>
      </c>
      <c r="MU31" s="157">
        <v>87462</v>
      </c>
      <c r="MV31" s="157">
        <v>87368</v>
      </c>
      <c r="MW31" s="157">
        <v>87349</v>
      </c>
      <c r="MX31" s="157">
        <v>87330</v>
      </c>
      <c r="MY31" s="157">
        <v>87330</v>
      </c>
      <c r="MZ31" s="157">
        <v>87330</v>
      </c>
      <c r="NA31" s="157">
        <v>87311</v>
      </c>
      <c r="NB31" s="157">
        <v>87292</v>
      </c>
      <c r="NC31" s="157">
        <v>87198</v>
      </c>
      <c r="ND31" s="157">
        <v>87179</v>
      </c>
      <c r="NE31" s="157">
        <v>87160</v>
      </c>
      <c r="NF31" s="157">
        <v>87160</v>
      </c>
      <c r="NG31" s="157">
        <v>87160</v>
      </c>
      <c r="NH31" s="157">
        <v>93141</v>
      </c>
    </row>
    <row r="32" spans="1:372" x14ac:dyDescent="0.25">
      <c r="A32" s="280" t="s">
        <v>221</v>
      </c>
      <c r="B32" s="281"/>
      <c r="C32" s="281"/>
      <c r="D32" s="281"/>
      <c r="E32" s="281"/>
      <c r="F32" s="152"/>
      <c r="G32" s="158" t="s">
        <v>245</v>
      </c>
      <c r="H32" s="159" cm="1">
        <f t="array" ref="H32:NH32">nabla.e.SumColsλ(_xlfn.ANCHORARRAY($H$34))</f>
        <v>3981</v>
      </c>
      <c r="I32" s="159">
        <v>-19</v>
      </c>
      <c r="J32" s="159">
        <v>-94</v>
      </c>
      <c r="K32" s="159">
        <v>-19</v>
      </c>
      <c r="L32" s="159">
        <v>-4519</v>
      </c>
      <c r="M32" s="159">
        <v>0</v>
      </c>
      <c r="N32" s="159">
        <v>0</v>
      </c>
      <c r="O32" s="159">
        <v>-19</v>
      </c>
      <c r="P32" s="159">
        <v>-19</v>
      </c>
      <c r="Q32" s="159">
        <v>-594</v>
      </c>
      <c r="R32" s="159">
        <v>-19</v>
      </c>
      <c r="S32" s="159">
        <v>-19</v>
      </c>
      <c r="T32" s="159">
        <v>0</v>
      </c>
      <c r="U32" s="159">
        <v>0</v>
      </c>
      <c r="V32" s="159">
        <v>5981</v>
      </c>
      <c r="W32" s="159">
        <v>-19</v>
      </c>
      <c r="X32" s="159">
        <v>-94</v>
      </c>
      <c r="Y32" s="159">
        <v>-19</v>
      </c>
      <c r="Z32" s="159">
        <v>-19</v>
      </c>
      <c r="AA32" s="159">
        <v>0</v>
      </c>
      <c r="AB32" s="159">
        <v>0</v>
      </c>
      <c r="AC32" s="159">
        <v>-19</v>
      </c>
      <c r="AD32" s="159">
        <v>-19</v>
      </c>
      <c r="AE32" s="159">
        <v>-94</v>
      </c>
      <c r="AF32" s="159">
        <v>-19</v>
      </c>
      <c r="AG32" s="159">
        <v>-19</v>
      </c>
      <c r="AH32" s="159">
        <v>0</v>
      </c>
      <c r="AI32" s="159">
        <v>0</v>
      </c>
      <c r="AJ32" s="159">
        <v>5981</v>
      </c>
      <c r="AK32" s="159">
        <v>-19</v>
      </c>
      <c r="AL32" s="159">
        <v>-94</v>
      </c>
      <c r="AM32" s="159">
        <v>-19</v>
      </c>
      <c r="AN32" s="159">
        <v>-19</v>
      </c>
      <c r="AO32" s="159">
        <v>0</v>
      </c>
      <c r="AP32" s="159">
        <v>0</v>
      </c>
      <c r="AQ32" s="159">
        <v>-4519</v>
      </c>
      <c r="AR32" s="159">
        <v>-19</v>
      </c>
      <c r="AS32" s="159">
        <v>-94</v>
      </c>
      <c r="AT32" s="159">
        <v>-19</v>
      </c>
      <c r="AU32" s="159">
        <v>-19</v>
      </c>
      <c r="AV32" s="159">
        <v>0</v>
      </c>
      <c r="AW32" s="159">
        <v>0</v>
      </c>
      <c r="AX32" s="159">
        <v>5981</v>
      </c>
      <c r="AY32" s="159">
        <v>-19</v>
      </c>
      <c r="AZ32" s="159">
        <v>-94</v>
      </c>
      <c r="BA32" s="159">
        <v>-19</v>
      </c>
      <c r="BB32" s="159">
        <v>-19</v>
      </c>
      <c r="BC32" s="159">
        <v>0</v>
      </c>
      <c r="BD32" s="159">
        <v>0</v>
      </c>
      <c r="BE32" s="159">
        <v>-19</v>
      </c>
      <c r="BF32" s="159">
        <v>-19</v>
      </c>
      <c r="BG32" s="159">
        <v>-94</v>
      </c>
      <c r="BH32" s="159">
        <v>-19</v>
      </c>
      <c r="BI32" s="159">
        <v>-19</v>
      </c>
      <c r="BJ32" s="159">
        <v>0</v>
      </c>
      <c r="BK32" s="159">
        <v>0</v>
      </c>
      <c r="BL32" s="159">
        <v>5981</v>
      </c>
      <c r="BM32" s="159">
        <v>-19</v>
      </c>
      <c r="BN32" s="159">
        <v>-94</v>
      </c>
      <c r="BO32" s="159">
        <v>-19</v>
      </c>
      <c r="BP32" s="159">
        <v>-19</v>
      </c>
      <c r="BQ32" s="159">
        <v>0</v>
      </c>
      <c r="BR32" s="159">
        <v>0</v>
      </c>
      <c r="BS32" s="159">
        <v>-19</v>
      </c>
      <c r="BT32" s="159">
        <v>-4519</v>
      </c>
      <c r="BU32" s="159">
        <v>-94</v>
      </c>
      <c r="BV32" s="159">
        <v>-19</v>
      </c>
      <c r="BW32" s="159">
        <v>-19</v>
      </c>
      <c r="BX32" s="159">
        <v>0</v>
      </c>
      <c r="BY32" s="159">
        <v>0</v>
      </c>
      <c r="BZ32" s="159">
        <v>5981</v>
      </c>
      <c r="CA32" s="159">
        <v>-19</v>
      </c>
      <c r="CB32" s="159">
        <v>-94</v>
      </c>
      <c r="CC32" s="159">
        <v>-19</v>
      </c>
      <c r="CD32" s="159">
        <v>-19</v>
      </c>
      <c r="CE32" s="159">
        <v>0</v>
      </c>
      <c r="CF32" s="159">
        <v>0</v>
      </c>
      <c r="CG32" s="159">
        <v>-19</v>
      </c>
      <c r="CH32" s="159">
        <v>-19</v>
      </c>
      <c r="CI32" s="159">
        <v>-94</v>
      </c>
      <c r="CJ32" s="159">
        <v>-19</v>
      </c>
      <c r="CK32" s="159">
        <v>-19</v>
      </c>
      <c r="CL32" s="159">
        <v>0</v>
      </c>
      <c r="CM32" s="159">
        <v>0</v>
      </c>
      <c r="CN32" s="159">
        <v>5981</v>
      </c>
      <c r="CO32" s="159">
        <v>-19</v>
      </c>
      <c r="CP32" s="159">
        <v>-94</v>
      </c>
      <c r="CQ32" s="159">
        <v>-19</v>
      </c>
      <c r="CR32" s="159">
        <v>-19</v>
      </c>
      <c r="CS32" s="159">
        <v>0</v>
      </c>
      <c r="CT32" s="159">
        <v>0</v>
      </c>
      <c r="CU32" s="159">
        <v>-19</v>
      </c>
      <c r="CV32" s="159">
        <v>-19</v>
      </c>
      <c r="CW32" s="159">
        <v>-94</v>
      </c>
      <c r="CX32" s="159">
        <v>-19</v>
      </c>
      <c r="CY32" s="159">
        <v>-4519</v>
      </c>
      <c r="CZ32" s="159">
        <v>0</v>
      </c>
      <c r="DA32" s="159">
        <v>0</v>
      </c>
      <c r="DB32" s="159">
        <v>5981</v>
      </c>
      <c r="DC32" s="159">
        <v>-19</v>
      </c>
      <c r="DD32" s="159">
        <v>-594</v>
      </c>
      <c r="DE32" s="159">
        <v>-19</v>
      </c>
      <c r="DF32" s="159">
        <v>-19</v>
      </c>
      <c r="DG32" s="159">
        <v>0</v>
      </c>
      <c r="DH32" s="159">
        <v>0</v>
      </c>
      <c r="DI32" s="159">
        <v>-19</v>
      </c>
      <c r="DJ32" s="159">
        <v>-19</v>
      </c>
      <c r="DK32" s="159">
        <v>-94</v>
      </c>
      <c r="DL32" s="159">
        <v>-19</v>
      </c>
      <c r="DM32" s="159">
        <v>-19</v>
      </c>
      <c r="DN32" s="159">
        <v>0</v>
      </c>
      <c r="DO32" s="159">
        <v>0</v>
      </c>
      <c r="DP32" s="159">
        <v>5981</v>
      </c>
      <c r="DQ32" s="159">
        <v>-19</v>
      </c>
      <c r="DR32" s="159">
        <v>-94</v>
      </c>
      <c r="DS32" s="159">
        <v>-19</v>
      </c>
      <c r="DT32" s="159">
        <v>-19</v>
      </c>
      <c r="DU32" s="159">
        <v>0</v>
      </c>
      <c r="DV32" s="159">
        <v>0</v>
      </c>
      <c r="DW32" s="159">
        <v>-19</v>
      </c>
      <c r="DX32" s="159">
        <v>-19</v>
      </c>
      <c r="DY32" s="159">
        <v>-94</v>
      </c>
      <c r="DZ32" s="159">
        <v>-19</v>
      </c>
      <c r="EA32" s="159">
        <v>-19</v>
      </c>
      <c r="EB32" s="159">
        <v>0</v>
      </c>
      <c r="EC32" s="159">
        <v>-4500</v>
      </c>
      <c r="ED32" s="159">
        <v>5981</v>
      </c>
      <c r="EE32" s="159">
        <v>-19</v>
      </c>
      <c r="EF32" s="159">
        <v>-94</v>
      </c>
      <c r="EG32" s="159">
        <v>-19</v>
      </c>
      <c r="EH32" s="159">
        <v>-19</v>
      </c>
      <c r="EI32" s="159">
        <v>0</v>
      </c>
      <c r="EJ32" s="159">
        <v>0</v>
      </c>
      <c r="EK32" s="159">
        <v>-19</v>
      </c>
      <c r="EL32" s="159">
        <v>-19</v>
      </c>
      <c r="EM32" s="159">
        <v>-94</v>
      </c>
      <c r="EN32" s="159">
        <v>-19</v>
      </c>
      <c r="EO32" s="159">
        <v>-19</v>
      </c>
      <c r="EP32" s="159">
        <v>0</v>
      </c>
      <c r="EQ32" s="159">
        <v>0</v>
      </c>
      <c r="ER32" s="159">
        <v>5981</v>
      </c>
      <c r="ES32" s="159">
        <v>-19</v>
      </c>
      <c r="ET32" s="159">
        <v>-94</v>
      </c>
      <c r="EU32" s="159">
        <v>-19</v>
      </c>
      <c r="EV32" s="159">
        <v>-19</v>
      </c>
      <c r="EW32" s="159">
        <v>0</v>
      </c>
      <c r="EX32" s="159">
        <v>0</v>
      </c>
      <c r="EY32" s="159">
        <v>-19</v>
      </c>
      <c r="EZ32" s="159">
        <v>-19</v>
      </c>
      <c r="FA32" s="159">
        <v>-94</v>
      </c>
      <c r="FB32" s="159">
        <v>-19</v>
      </c>
      <c r="FC32" s="159">
        <v>-19</v>
      </c>
      <c r="FD32" s="159">
        <v>0</v>
      </c>
      <c r="FE32" s="159">
        <v>0</v>
      </c>
      <c r="FF32" s="159">
        <v>5981</v>
      </c>
      <c r="FG32" s="159">
        <v>-19</v>
      </c>
      <c r="FH32" s="159">
        <v>-4594</v>
      </c>
      <c r="FI32" s="159">
        <v>-19</v>
      </c>
      <c r="FJ32" s="159">
        <v>-19</v>
      </c>
      <c r="FK32" s="159">
        <v>0</v>
      </c>
      <c r="FL32" s="159">
        <v>0</v>
      </c>
      <c r="FM32" s="159">
        <v>-19</v>
      </c>
      <c r="FN32" s="159">
        <v>-19</v>
      </c>
      <c r="FO32" s="159">
        <v>-94</v>
      </c>
      <c r="FP32" s="159">
        <v>-19</v>
      </c>
      <c r="FQ32" s="159">
        <v>-19</v>
      </c>
      <c r="FR32" s="159">
        <v>0</v>
      </c>
      <c r="FS32" s="159">
        <v>0</v>
      </c>
      <c r="FT32" s="159">
        <v>5981</v>
      </c>
      <c r="FU32" s="159">
        <v>-19</v>
      </c>
      <c r="FV32" s="159">
        <v>-94</v>
      </c>
      <c r="FW32" s="159">
        <v>-19</v>
      </c>
      <c r="FX32" s="159">
        <v>-19</v>
      </c>
      <c r="FY32" s="159">
        <v>0</v>
      </c>
      <c r="FZ32" s="159">
        <v>0</v>
      </c>
      <c r="GA32" s="159">
        <v>-19</v>
      </c>
      <c r="GB32" s="159">
        <v>-19</v>
      </c>
      <c r="GC32" s="159">
        <v>-94</v>
      </c>
      <c r="GD32" s="159">
        <v>-19</v>
      </c>
      <c r="GE32" s="159">
        <v>-19</v>
      </c>
      <c r="GF32" s="159">
        <v>0</v>
      </c>
      <c r="GG32" s="159">
        <v>0</v>
      </c>
      <c r="GH32" s="159">
        <v>3981</v>
      </c>
      <c r="GI32" s="159">
        <v>-19</v>
      </c>
      <c r="GJ32" s="159">
        <v>-94</v>
      </c>
      <c r="GK32" s="159">
        <v>-19</v>
      </c>
      <c r="GL32" s="159">
        <v>-4519</v>
      </c>
      <c r="GM32" s="159">
        <v>0</v>
      </c>
      <c r="GN32" s="159">
        <v>0</v>
      </c>
      <c r="GO32" s="159">
        <v>-19</v>
      </c>
      <c r="GP32" s="159">
        <v>-19</v>
      </c>
      <c r="GQ32" s="159">
        <v>-594</v>
      </c>
      <c r="GR32" s="159">
        <v>-19</v>
      </c>
      <c r="GS32" s="159">
        <v>-19</v>
      </c>
      <c r="GT32" s="159">
        <v>0</v>
      </c>
      <c r="GU32" s="159">
        <v>0</v>
      </c>
      <c r="GV32" s="159">
        <v>5981</v>
      </c>
      <c r="GW32" s="159">
        <v>-19</v>
      </c>
      <c r="GX32" s="159">
        <v>-94</v>
      </c>
      <c r="GY32" s="159">
        <v>-19</v>
      </c>
      <c r="GZ32" s="159">
        <v>-19</v>
      </c>
      <c r="HA32" s="159">
        <v>0</v>
      </c>
      <c r="HB32" s="159">
        <v>0</v>
      </c>
      <c r="HC32" s="159">
        <v>-19</v>
      </c>
      <c r="HD32" s="159">
        <v>-19</v>
      </c>
      <c r="HE32" s="159">
        <v>-94</v>
      </c>
      <c r="HF32" s="159">
        <v>-19</v>
      </c>
      <c r="HG32" s="159">
        <v>-19</v>
      </c>
      <c r="HH32" s="159">
        <v>0</v>
      </c>
      <c r="HI32" s="159">
        <v>0</v>
      </c>
      <c r="HJ32" s="159">
        <v>5981</v>
      </c>
      <c r="HK32" s="159">
        <v>-19</v>
      </c>
      <c r="HL32" s="159">
        <v>-94</v>
      </c>
      <c r="HM32" s="159">
        <v>-19</v>
      </c>
      <c r="HN32" s="159">
        <v>-19</v>
      </c>
      <c r="HO32" s="159">
        <v>0</v>
      </c>
      <c r="HP32" s="159">
        <v>0</v>
      </c>
      <c r="HQ32" s="159">
        <v>-4519</v>
      </c>
      <c r="HR32" s="159">
        <v>-19</v>
      </c>
      <c r="HS32" s="159">
        <v>-94</v>
      </c>
      <c r="HT32" s="159">
        <v>-19</v>
      </c>
      <c r="HU32" s="159">
        <v>-19</v>
      </c>
      <c r="HV32" s="159">
        <v>0</v>
      </c>
      <c r="HW32" s="159">
        <v>0</v>
      </c>
      <c r="HX32" s="159">
        <v>5981</v>
      </c>
      <c r="HY32" s="159">
        <v>-19</v>
      </c>
      <c r="HZ32" s="159">
        <v>-94</v>
      </c>
      <c r="IA32" s="159">
        <v>-19</v>
      </c>
      <c r="IB32" s="159">
        <v>-19</v>
      </c>
      <c r="IC32" s="159">
        <v>0</v>
      </c>
      <c r="ID32" s="159">
        <v>0</v>
      </c>
      <c r="IE32" s="159">
        <v>-19</v>
      </c>
      <c r="IF32" s="159">
        <v>-19</v>
      </c>
      <c r="IG32" s="159">
        <v>-94</v>
      </c>
      <c r="IH32" s="159">
        <v>-19</v>
      </c>
      <c r="II32" s="159">
        <v>-19</v>
      </c>
      <c r="IJ32" s="159">
        <v>0</v>
      </c>
      <c r="IK32" s="159">
        <v>0</v>
      </c>
      <c r="IL32" s="159">
        <v>5981</v>
      </c>
      <c r="IM32" s="159">
        <v>-19</v>
      </c>
      <c r="IN32" s="159">
        <v>-94</v>
      </c>
      <c r="IO32" s="159">
        <v>-19</v>
      </c>
      <c r="IP32" s="159">
        <v>-19</v>
      </c>
      <c r="IQ32" s="159">
        <v>0</v>
      </c>
      <c r="IR32" s="159">
        <v>0</v>
      </c>
      <c r="IS32" s="159">
        <v>-19</v>
      </c>
      <c r="IT32" s="159">
        <v>-19</v>
      </c>
      <c r="IU32" s="159">
        <v>-94</v>
      </c>
      <c r="IV32" s="159">
        <v>-4519</v>
      </c>
      <c r="IW32" s="159">
        <v>-19</v>
      </c>
      <c r="IX32" s="159">
        <v>0</v>
      </c>
      <c r="IY32" s="159">
        <v>0</v>
      </c>
      <c r="IZ32" s="159">
        <v>5981</v>
      </c>
      <c r="JA32" s="159">
        <v>-19</v>
      </c>
      <c r="JB32" s="159">
        <v>-94</v>
      </c>
      <c r="JC32" s="159">
        <v>-19</v>
      </c>
      <c r="JD32" s="159">
        <v>-19</v>
      </c>
      <c r="JE32" s="159">
        <v>0</v>
      </c>
      <c r="JF32" s="159">
        <v>0</v>
      </c>
      <c r="JG32" s="159">
        <v>-19</v>
      </c>
      <c r="JH32" s="159">
        <v>-19</v>
      </c>
      <c r="JI32" s="159">
        <v>-94</v>
      </c>
      <c r="JJ32" s="159">
        <v>-19</v>
      </c>
      <c r="JK32" s="159">
        <v>-19</v>
      </c>
      <c r="JL32" s="159">
        <v>0</v>
      </c>
      <c r="JM32" s="159">
        <v>0</v>
      </c>
      <c r="JN32" s="159">
        <v>5981</v>
      </c>
      <c r="JO32" s="159">
        <v>-19</v>
      </c>
      <c r="JP32" s="159">
        <v>-94</v>
      </c>
      <c r="JQ32" s="159">
        <v>-19</v>
      </c>
      <c r="JR32" s="159">
        <v>-19</v>
      </c>
      <c r="JS32" s="159">
        <v>0</v>
      </c>
      <c r="JT32" s="159">
        <v>0</v>
      </c>
      <c r="JU32" s="159">
        <v>-19</v>
      </c>
      <c r="JV32" s="159">
        <v>-19</v>
      </c>
      <c r="JW32" s="159">
        <v>-94</v>
      </c>
      <c r="JX32" s="159">
        <v>-19</v>
      </c>
      <c r="JY32" s="159">
        <v>-19</v>
      </c>
      <c r="JZ32" s="159">
        <v>-4500</v>
      </c>
      <c r="KA32" s="159">
        <v>0</v>
      </c>
      <c r="KB32" s="159">
        <v>5981</v>
      </c>
      <c r="KC32" s="159">
        <v>-19</v>
      </c>
      <c r="KD32" s="159">
        <v>-94</v>
      </c>
      <c r="KE32" s="159">
        <v>-519</v>
      </c>
      <c r="KF32" s="159">
        <v>-19</v>
      </c>
      <c r="KG32" s="159">
        <v>0</v>
      </c>
      <c r="KH32" s="159">
        <v>0</v>
      </c>
      <c r="KI32" s="159">
        <v>-19</v>
      </c>
      <c r="KJ32" s="159">
        <v>-19</v>
      </c>
      <c r="KK32" s="159">
        <v>-94</v>
      </c>
      <c r="KL32" s="159">
        <v>-19</v>
      </c>
      <c r="KM32" s="159">
        <v>-19</v>
      </c>
      <c r="KN32" s="159">
        <v>0</v>
      </c>
      <c r="KO32" s="159">
        <v>0</v>
      </c>
      <c r="KP32" s="159">
        <v>5981</v>
      </c>
      <c r="KQ32" s="159">
        <v>-19</v>
      </c>
      <c r="KR32" s="159">
        <v>-94</v>
      </c>
      <c r="KS32" s="159">
        <v>-19</v>
      </c>
      <c r="KT32" s="159">
        <v>-19</v>
      </c>
      <c r="KU32" s="159">
        <v>0</v>
      </c>
      <c r="KV32" s="159">
        <v>0</v>
      </c>
      <c r="KW32" s="159">
        <v>-19</v>
      </c>
      <c r="KX32" s="159">
        <v>-19</v>
      </c>
      <c r="KY32" s="159">
        <v>-94</v>
      </c>
      <c r="KZ32" s="159">
        <v>-19</v>
      </c>
      <c r="LA32" s="159">
        <v>-19</v>
      </c>
      <c r="LB32" s="159">
        <v>0</v>
      </c>
      <c r="LC32" s="159">
        <v>0</v>
      </c>
      <c r="LD32" s="159">
        <v>5981</v>
      </c>
      <c r="LE32" s="159">
        <v>-4519</v>
      </c>
      <c r="LF32" s="159">
        <v>-94</v>
      </c>
      <c r="LG32" s="159">
        <v>-19</v>
      </c>
      <c r="LH32" s="159">
        <v>-19</v>
      </c>
      <c r="LI32" s="159">
        <v>0</v>
      </c>
      <c r="LJ32" s="159">
        <v>0</v>
      </c>
      <c r="LK32" s="159">
        <v>-19</v>
      </c>
      <c r="LL32" s="159">
        <v>-19</v>
      </c>
      <c r="LM32" s="159">
        <v>-94</v>
      </c>
      <c r="LN32" s="159">
        <v>-19</v>
      </c>
      <c r="LO32" s="159">
        <v>-19</v>
      </c>
      <c r="LP32" s="159">
        <v>0</v>
      </c>
      <c r="LQ32" s="159">
        <v>0</v>
      </c>
      <c r="LR32" s="159">
        <v>5981</v>
      </c>
      <c r="LS32" s="159">
        <v>-19</v>
      </c>
      <c r="LT32" s="159">
        <v>-94</v>
      </c>
      <c r="LU32" s="159">
        <v>-19</v>
      </c>
      <c r="LV32" s="159">
        <v>-19</v>
      </c>
      <c r="LW32" s="159">
        <v>0</v>
      </c>
      <c r="LX32" s="159">
        <v>0</v>
      </c>
      <c r="LY32" s="159">
        <v>-19</v>
      </c>
      <c r="LZ32" s="159">
        <v>-19</v>
      </c>
      <c r="MA32" s="159">
        <v>-94</v>
      </c>
      <c r="MB32" s="159">
        <v>-19</v>
      </c>
      <c r="MC32" s="159">
        <v>-19</v>
      </c>
      <c r="MD32" s="159">
        <v>0</v>
      </c>
      <c r="ME32" s="159">
        <v>0</v>
      </c>
      <c r="MF32" s="159">
        <v>5981</v>
      </c>
      <c r="MG32" s="159">
        <v>-19</v>
      </c>
      <c r="MH32" s="159">
        <v>-94</v>
      </c>
      <c r="MI32" s="159">
        <v>-4519</v>
      </c>
      <c r="MJ32" s="159">
        <v>-19</v>
      </c>
      <c r="MK32" s="159">
        <v>0</v>
      </c>
      <c r="ML32" s="159">
        <v>0</v>
      </c>
      <c r="MM32" s="159">
        <v>-19</v>
      </c>
      <c r="MN32" s="159">
        <v>-19</v>
      </c>
      <c r="MO32" s="159">
        <v>-94</v>
      </c>
      <c r="MP32" s="159">
        <v>-19</v>
      </c>
      <c r="MQ32" s="159">
        <v>-19</v>
      </c>
      <c r="MR32" s="159">
        <v>0</v>
      </c>
      <c r="MS32" s="159">
        <v>0</v>
      </c>
      <c r="MT32" s="159">
        <v>5981</v>
      </c>
      <c r="MU32" s="159">
        <v>-19</v>
      </c>
      <c r="MV32" s="159">
        <v>-94</v>
      </c>
      <c r="MW32" s="159">
        <v>-19</v>
      </c>
      <c r="MX32" s="159">
        <v>-19</v>
      </c>
      <c r="MY32" s="159">
        <v>0</v>
      </c>
      <c r="MZ32" s="159">
        <v>0</v>
      </c>
      <c r="NA32" s="159">
        <v>-19</v>
      </c>
      <c r="NB32" s="159">
        <v>-19</v>
      </c>
      <c r="NC32" s="159">
        <v>-94</v>
      </c>
      <c r="ND32" s="159">
        <v>-19</v>
      </c>
      <c r="NE32" s="159">
        <v>-19</v>
      </c>
      <c r="NF32" s="159">
        <v>0</v>
      </c>
      <c r="NG32" s="159">
        <v>0</v>
      </c>
      <c r="NH32" s="159">
        <v>5981</v>
      </c>
    </row>
    <row r="33" spans="1:372" x14ac:dyDescent="0.25">
      <c r="A33" s="145" t="s">
        <v>131</v>
      </c>
      <c r="B33" s="146" t="s">
        <v>249</v>
      </c>
      <c r="C33" s="146" t="s">
        <v>222</v>
      </c>
      <c r="D33" s="147" t="s">
        <v>223</v>
      </c>
      <c r="E33" s="145" t="s">
        <v>224</v>
      </c>
      <c r="G33" s="155" t="s">
        <v>247</v>
      </c>
      <c r="H33" s="156" cm="1">
        <f t="array" ref="H33:NH33">nabla.d.Timelineλ("1/1/2026", 365, "D")</f>
        <v>45292</v>
      </c>
      <c r="I33" s="156">
        <v>46024</v>
      </c>
      <c r="J33" s="156">
        <v>46025</v>
      </c>
      <c r="K33" s="156">
        <v>46026</v>
      </c>
      <c r="L33" s="156">
        <v>46027</v>
      </c>
      <c r="M33" s="156">
        <v>46028</v>
      </c>
      <c r="N33" s="156">
        <v>46029</v>
      </c>
      <c r="O33" s="156">
        <v>46030</v>
      </c>
      <c r="P33" s="156">
        <v>46031</v>
      </c>
      <c r="Q33" s="156">
        <v>46032</v>
      </c>
      <c r="R33" s="156">
        <v>46033</v>
      </c>
      <c r="S33" s="156">
        <v>46034</v>
      </c>
      <c r="T33" s="156">
        <v>46035</v>
      </c>
      <c r="U33" s="156">
        <v>46036</v>
      </c>
      <c r="V33" s="156">
        <v>46037</v>
      </c>
      <c r="W33" s="156">
        <v>46038</v>
      </c>
      <c r="X33" s="156">
        <v>46039</v>
      </c>
      <c r="Y33" s="156">
        <v>46040</v>
      </c>
      <c r="Z33" s="156">
        <v>46041</v>
      </c>
      <c r="AA33" s="156">
        <v>46042</v>
      </c>
      <c r="AB33" s="156">
        <v>46043</v>
      </c>
      <c r="AC33" s="156">
        <v>46044</v>
      </c>
      <c r="AD33" s="156">
        <v>46045</v>
      </c>
      <c r="AE33" s="156">
        <v>46046</v>
      </c>
      <c r="AF33" s="156">
        <v>46047</v>
      </c>
      <c r="AG33" s="156">
        <v>46048</v>
      </c>
      <c r="AH33" s="156">
        <v>46049</v>
      </c>
      <c r="AI33" s="156">
        <v>46050</v>
      </c>
      <c r="AJ33" s="156">
        <v>46051</v>
      </c>
      <c r="AK33" s="156">
        <v>46052</v>
      </c>
      <c r="AL33" s="156">
        <v>46053</v>
      </c>
      <c r="AM33" s="156">
        <v>46054</v>
      </c>
      <c r="AN33" s="156">
        <v>46055</v>
      </c>
      <c r="AO33" s="156">
        <v>46056</v>
      </c>
      <c r="AP33" s="156">
        <v>46057</v>
      </c>
      <c r="AQ33" s="156">
        <v>46058</v>
      </c>
      <c r="AR33" s="156">
        <v>46059</v>
      </c>
      <c r="AS33" s="156">
        <v>46060</v>
      </c>
      <c r="AT33" s="156">
        <v>46061</v>
      </c>
      <c r="AU33" s="156">
        <v>46062</v>
      </c>
      <c r="AV33" s="156">
        <v>46063</v>
      </c>
      <c r="AW33" s="156">
        <v>46064</v>
      </c>
      <c r="AX33" s="156">
        <v>46065</v>
      </c>
      <c r="AY33" s="156">
        <v>46066</v>
      </c>
      <c r="AZ33" s="156">
        <v>46067</v>
      </c>
      <c r="BA33" s="156">
        <v>46068</v>
      </c>
      <c r="BB33" s="156">
        <v>46069</v>
      </c>
      <c r="BC33" s="156">
        <v>46070</v>
      </c>
      <c r="BD33" s="156">
        <v>46071</v>
      </c>
      <c r="BE33" s="156">
        <v>46072</v>
      </c>
      <c r="BF33" s="156">
        <v>46073</v>
      </c>
      <c r="BG33" s="156">
        <v>46074</v>
      </c>
      <c r="BH33" s="156">
        <v>46075</v>
      </c>
      <c r="BI33" s="156">
        <v>46076</v>
      </c>
      <c r="BJ33" s="156">
        <v>46077</v>
      </c>
      <c r="BK33" s="156">
        <v>46078</v>
      </c>
      <c r="BL33" s="156">
        <v>46079</v>
      </c>
      <c r="BM33" s="156">
        <v>46080</v>
      </c>
      <c r="BN33" s="156">
        <v>46081</v>
      </c>
      <c r="BO33" s="156">
        <v>46081</v>
      </c>
      <c r="BP33" s="156">
        <v>46082</v>
      </c>
      <c r="BQ33" s="156">
        <v>46083</v>
      </c>
      <c r="BR33" s="156">
        <v>46084</v>
      </c>
      <c r="BS33" s="156">
        <v>46085</v>
      </c>
      <c r="BT33" s="156">
        <v>46086</v>
      </c>
      <c r="BU33" s="156">
        <v>46087</v>
      </c>
      <c r="BV33" s="156">
        <v>46088</v>
      </c>
      <c r="BW33" s="156">
        <v>46089</v>
      </c>
      <c r="BX33" s="156">
        <v>46090</v>
      </c>
      <c r="BY33" s="156">
        <v>46091</v>
      </c>
      <c r="BZ33" s="156">
        <v>46092</v>
      </c>
      <c r="CA33" s="156">
        <v>46093</v>
      </c>
      <c r="CB33" s="156">
        <v>46094</v>
      </c>
      <c r="CC33" s="156">
        <v>46095</v>
      </c>
      <c r="CD33" s="156">
        <v>46096</v>
      </c>
      <c r="CE33" s="156">
        <v>46097</v>
      </c>
      <c r="CF33" s="156">
        <v>46098</v>
      </c>
      <c r="CG33" s="156">
        <v>46099</v>
      </c>
      <c r="CH33" s="156">
        <v>46100</v>
      </c>
      <c r="CI33" s="156">
        <v>46101</v>
      </c>
      <c r="CJ33" s="156">
        <v>46102</v>
      </c>
      <c r="CK33" s="156">
        <v>46103</v>
      </c>
      <c r="CL33" s="156">
        <v>46104</v>
      </c>
      <c r="CM33" s="156">
        <v>46105</v>
      </c>
      <c r="CN33" s="156">
        <v>46106</v>
      </c>
      <c r="CO33" s="156">
        <v>46107</v>
      </c>
      <c r="CP33" s="156">
        <v>46108</v>
      </c>
      <c r="CQ33" s="156">
        <v>46109</v>
      </c>
      <c r="CR33" s="156">
        <v>46110</v>
      </c>
      <c r="CS33" s="156">
        <v>46111</v>
      </c>
      <c r="CT33" s="156">
        <v>46112</v>
      </c>
      <c r="CU33" s="156">
        <v>46113</v>
      </c>
      <c r="CV33" s="156">
        <v>46114</v>
      </c>
      <c r="CW33" s="156">
        <v>46115</v>
      </c>
      <c r="CX33" s="156">
        <v>46116</v>
      </c>
      <c r="CY33" s="156">
        <v>46117</v>
      </c>
      <c r="CZ33" s="156">
        <v>46118</v>
      </c>
      <c r="DA33" s="156">
        <v>46119</v>
      </c>
      <c r="DB33" s="156">
        <v>46120</v>
      </c>
      <c r="DC33" s="156">
        <v>46121</v>
      </c>
      <c r="DD33" s="156">
        <v>46122</v>
      </c>
      <c r="DE33" s="156">
        <v>46123</v>
      </c>
      <c r="DF33" s="156">
        <v>46124</v>
      </c>
      <c r="DG33" s="156">
        <v>46125</v>
      </c>
      <c r="DH33" s="156">
        <v>46126</v>
      </c>
      <c r="DI33" s="156">
        <v>46127</v>
      </c>
      <c r="DJ33" s="156">
        <v>46128</v>
      </c>
      <c r="DK33" s="156">
        <v>46129</v>
      </c>
      <c r="DL33" s="156">
        <v>46130</v>
      </c>
      <c r="DM33" s="156">
        <v>46131</v>
      </c>
      <c r="DN33" s="156">
        <v>46132</v>
      </c>
      <c r="DO33" s="156">
        <v>46133</v>
      </c>
      <c r="DP33" s="156">
        <v>46134</v>
      </c>
      <c r="DQ33" s="156">
        <v>46135</v>
      </c>
      <c r="DR33" s="156">
        <v>46136</v>
      </c>
      <c r="DS33" s="156">
        <v>46137</v>
      </c>
      <c r="DT33" s="156">
        <v>46138</v>
      </c>
      <c r="DU33" s="156">
        <v>46139</v>
      </c>
      <c r="DV33" s="156">
        <v>46140</v>
      </c>
      <c r="DW33" s="156">
        <v>46141</v>
      </c>
      <c r="DX33" s="156">
        <v>46142</v>
      </c>
      <c r="DY33" s="156">
        <v>46143</v>
      </c>
      <c r="DZ33" s="156">
        <v>46144</v>
      </c>
      <c r="EA33" s="156">
        <v>46145</v>
      </c>
      <c r="EB33" s="156">
        <v>46146</v>
      </c>
      <c r="EC33" s="156">
        <v>46147</v>
      </c>
      <c r="ED33" s="156">
        <v>46148</v>
      </c>
      <c r="EE33" s="156">
        <v>46149</v>
      </c>
      <c r="EF33" s="156">
        <v>46150</v>
      </c>
      <c r="EG33" s="156">
        <v>46151</v>
      </c>
      <c r="EH33" s="156">
        <v>46152</v>
      </c>
      <c r="EI33" s="156">
        <v>46153</v>
      </c>
      <c r="EJ33" s="156">
        <v>46154</v>
      </c>
      <c r="EK33" s="156">
        <v>46155</v>
      </c>
      <c r="EL33" s="156">
        <v>46156</v>
      </c>
      <c r="EM33" s="156">
        <v>46157</v>
      </c>
      <c r="EN33" s="156">
        <v>46158</v>
      </c>
      <c r="EO33" s="156">
        <v>46159</v>
      </c>
      <c r="EP33" s="156">
        <v>46160</v>
      </c>
      <c r="EQ33" s="156">
        <v>46161</v>
      </c>
      <c r="ER33" s="156">
        <v>46162</v>
      </c>
      <c r="ES33" s="156">
        <v>46163</v>
      </c>
      <c r="ET33" s="156">
        <v>46164</v>
      </c>
      <c r="EU33" s="156">
        <v>46165</v>
      </c>
      <c r="EV33" s="156">
        <v>46166</v>
      </c>
      <c r="EW33" s="156">
        <v>46167</v>
      </c>
      <c r="EX33" s="156">
        <v>46168</v>
      </c>
      <c r="EY33" s="156">
        <v>46169</v>
      </c>
      <c r="EZ33" s="156">
        <v>46170</v>
      </c>
      <c r="FA33" s="156">
        <v>46171</v>
      </c>
      <c r="FB33" s="156">
        <v>46172</v>
      </c>
      <c r="FC33" s="156">
        <v>46173</v>
      </c>
      <c r="FD33" s="156">
        <v>46174</v>
      </c>
      <c r="FE33" s="156">
        <v>46175</v>
      </c>
      <c r="FF33" s="156">
        <v>46176</v>
      </c>
      <c r="FG33" s="156">
        <v>46177</v>
      </c>
      <c r="FH33" s="156">
        <v>46178</v>
      </c>
      <c r="FI33" s="156">
        <v>46179</v>
      </c>
      <c r="FJ33" s="156">
        <v>46180</v>
      </c>
      <c r="FK33" s="156">
        <v>46181</v>
      </c>
      <c r="FL33" s="156">
        <v>46182</v>
      </c>
      <c r="FM33" s="156">
        <v>46183</v>
      </c>
      <c r="FN33" s="156">
        <v>46184</v>
      </c>
      <c r="FO33" s="156">
        <v>46185</v>
      </c>
      <c r="FP33" s="156">
        <v>46186</v>
      </c>
      <c r="FQ33" s="156">
        <v>46187</v>
      </c>
      <c r="FR33" s="156">
        <v>46188</v>
      </c>
      <c r="FS33" s="156">
        <v>46189</v>
      </c>
      <c r="FT33" s="156">
        <v>46190</v>
      </c>
      <c r="FU33" s="156">
        <v>46191</v>
      </c>
      <c r="FV33" s="156">
        <v>46192</v>
      </c>
      <c r="FW33" s="156">
        <v>46193</v>
      </c>
      <c r="FX33" s="156">
        <v>46194</v>
      </c>
      <c r="FY33" s="156">
        <v>46195</v>
      </c>
      <c r="FZ33" s="156">
        <v>46196</v>
      </c>
      <c r="GA33" s="156">
        <v>46197</v>
      </c>
      <c r="GB33" s="156">
        <v>46198</v>
      </c>
      <c r="GC33" s="156">
        <v>46199</v>
      </c>
      <c r="GD33" s="156">
        <v>46200</v>
      </c>
      <c r="GE33" s="156">
        <v>46201</v>
      </c>
      <c r="GF33" s="156">
        <v>46202</v>
      </c>
      <c r="GG33" s="156">
        <v>46203</v>
      </c>
      <c r="GH33" s="156">
        <v>46204</v>
      </c>
      <c r="GI33" s="156">
        <v>46205</v>
      </c>
      <c r="GJ33" s="156">
        <v>46206</v>
      </c>
      <c r="GK33" s="156">
        <v>46207</v>
      </c>
      <c r="GL33" s="156">
        <v>46208</v>
      </c>
      <c r="GM33" s="156">
        <v>46209</v>
      </c>
      <c r="GN33" s="156">
        <v>46210</v>
      </c>
      <c r="GO33" s="156">
        <v>46211</v>
      </c>
      <c r="GP33" s="156">
        <v>46212</v>
      </c>
      <c r="GQ33" s="156">
        <v>46213</v>
      </c>
      <c r="GR33" s="156">
        <v>46214</v>
      </c>
      <c r="GS33" s="156">
        <v>46215</v>
      </c>
      <c r="GT33" s="156">
        <v>46216</v>
      </c>
      <c r="GU33" s="156">
        <v>46217</v>
      </c>
      <c r="GV33" s="156">
        <v>46218</v>
      </c>
      <c r="GW33" s="156">
        <v>46219</v>
      </c>
      <c r="GX33" s="156">
        <v>46220</v>
      </c>
      <c r="GY33" s="156">
        <v>46221</v>
      </c>
      <c r="GZ33" s="156">
        <v>46222</v>
      </c>
      <c r="HA33" s="156">
        <v>46223</v>
      </c>
      <c r="HB33" s="156">
        <v>46224</v>
      </c>
      <c r="HC33" s="156">
        <v>46225</v>
      </c>
      <c r="HD33" s="156">
        <v>46226</v>
      </c>
      <c r="HE33" s="156">
        <v>46227</v>
      </c>
      <c r="HF33" s="156">
        <v>46228</v>
      </c>
      <c r="HG33" s="156">
        <v>46229</v>
      </c>
      <c r="HH33" s="156">
        <v>46230</v>
      </c>
      <c r="HI33" s="156">
        <v>46231</v>
      </c>
      <c r="HJ33" s="156">
        <v>46232</v>
      </c>
      <c r="HK33" s="156">
        <v>46233</v>
      </c>
      <c r="HL33" s="156">
        <v>46234</v>
      </c>
      <c r="HM33" s="156">
        <v>46235</v>
      </c>
      <c r="HN33" s="156">
        <v>46236</v>
      </c>
      <c r="HO33" s="156">
        <v>46237</v>
      </c>
      <c r="HP33" s="156">
        <v>46238</v>
      </c>
      <c r="HQ33" s="156">
        <v>46239</v>
      </c>
      <c r="HR33" s="156">
        <v>46240</v>
      </c>
      <c r="HS33" s="156">
        <v>46241</v>
      </c>
      <c r="HT33" s="156">
        <v>46242</v>
      </c>
      <c r="HU33" s="156">
        <v>46243</v>
      </c>
      <c r="HV33" s="156">
        <v>46244</v>
      </c>
      <c r="HW33" s="156">
        <v>46245</v>
      </c>
      <c r="HX33" s="156">
        <v>46246</v>
      </c>
      <c r="HY33" s="156">
        <v>46247</v>
      </c>
      <c r="HZ33" s="156">
        <v>46248</v>
      </c>
      <c r="IA33" s="156">
        <v>46249</v>
      </c>
      <c r="IB33" s="156">
        <v>46250</v>
      </c>
      <c r="IC33" s="156">
        <v>46251</v>
      </c>
      <c r="ID33" s="156">
        <v>46252</v>
      </c>
      <c r="IE33" s="156">
        <v>46253</v>
      </c>
      <c r="IF33" s="156">
        <v>46254</v>
      </c>
      <c r="IG33" s="156">
        <v>46255</v>
      </c>
      <c r="IH33" s="156">
        <v>46256</v>
      </c>
      <c r="II33" s="156">
        <v>46257</v>
      </c>
      <c r="IJ33" s="156">
        <v>46258</v>
      </c>
      <c r="IK33" s="156">
        <v>46259</v>
      </c>
      <c r="IL33" s="156">
        <v>46260</v>
      </c>
      <c r="IM33" s="156">
        <v>46261</v>
      </c>
      <c r="IN33" s="156">
        <v>46262</v>
      </c>
      <c r="IO33" s="156">
        <v>46263</v>
      </c>
      <c r="IP33" s="156">
        <v>46264</v>
      </c>
      <c r="IQ33" s="156">
        <v>46265</v>
      </c>
      <c r="IR33" s="156">
        <v>46266</v>
      </c>
      <c r="IS33" s="156">
        <v>46267</v>
      </c>
      <c r="IT33" s="156">
        <v>46268</v>
      </c>
      <c r="IU33" s="156">
        <v>46269</v>
      </c>
      <c r="IV33" s="156">
        <v>46270</v>
      </c>
      <c r="IW33" s="156">
        <v>46271</v>
      </c>
      <c r="IX33" s="156">
        <v>46272</v>
      </c>
      <c r="IY33" s="156">
        <v>46273</v>
      </c>
      <c r="IZ33" s="156">
        <v>46274</v>
      </c>
      <c r="JA33" s="156">
        <v>46275</v>
      </c>
      <c r="JB33" s="156">
        <v>46276</v>
      </c>
      <c r="JC33" s="156">
        <v>46277</v>
      </c>
      <c r="JD33" s="156">
        <v>46278</v>
      </c>
      <c r="JE33" s="156">
        <v>46279</v>
      </c>
      <c r="JF33" s="156">
        <v>46280</v>
      </c>
      <c r="JG33" s="156">
        <v>46281</v>
      </c>
      <c r="JH33" s="156">
        <v>46282</v>
      </c>
      <c r="JI33" s="156">
        <v>46283</v>
      </c>
      <c r="JJ33" s="156">
        <v>46284</v>
      </c>
      <c r="JK33" s="156">
        <v>46285</v>
      </c>
      <c r="JL33" s="156">
        <v>46286</v>
      </c>
      <c r="JM33" s="156">
        <v>46287</v>
      </c>
      <c r="JN33" s="156">
        <v>46288</v>
      </c>
      <c r="JO33" s="156">
        <v>46289</v>
      </c>
      <c r="JP33" s="156">
        <v>46290</v>
      </c>
      <c r="JQ33" s="156">
        <v>46291</v>
      </c>
      <c r="JR33" s="156">
        <v>46292</v>
      </c>
      <c r="JS33" s="156">
        <v>46293</v>
      </c>
      <c r="JT33" s="156">
        <v>46294</v>
      </c>
      <c r="JU33" s="156">
        <v>46295</v>
      </c>
      <c r="JV33" s="156">
        <v>46296</v>
      </c>
      <c r="JW33" s="156">
        <v>46297</v>
      </c>
      <c r="JX33" s="156">
        <v>46298</v>
      </c>
      <c r="JY33" s="156">
        <v>46299</v>
      </c>
      <c r="JZ33" s="156">
        <v>46300</v>
      </c>
      <c r="KA33" s="156">
        <v>46301</v>
      </c>
      <c r="KB33" s="156">
        <v>46302</v>
      </c>
      <c r="KC33" s="156">
        <v>46303</v>
      </c>
      <c r="KD33" s="156">
        <v>46304</v>
      </c>
      <c r="KE33" s="156">
        <v>46305</v>
      </c>
      <c r="KF33" s="156">
        <v>46306</v>
      </c>
      <c r="KG33" s="156">
        <v>46307</v>
      </c>
      <c r="KH33" s="156">
        <v>46308</v>
      </c>
      <c r="KI33" s="156">
        <v>46309</v>
      </c>
      <c r="KJ33" s="156">
        <v>46310</v>
      </c>
      <c r="KK33" s="156">
        <v>46311</v>
      </c>
      <c r="KL33" s="156">
        <v>46312</v>
      </c>
      <c r="KM33" s="156">
        <v>46313</v>
      </c>
      <c r="KN33" s="156">
        <v>46314</v>
      </c>
      <c r="KO33" s="156">
        <v>46315</v>
      </c>
      <c r="KP33" s="156">
        <v>46316</v>
      </c>
      <c r="KQ33" s="156">
        <v>46317</v>
      </c>
      <c r="KR33" s="156">
        <v>46318</v>
      </c>
      <c r="KS33" s="156">
        <v>46319</v>
      </c>
      <c r="KT33" s="156">
        <v>46320</v>
      </c>
      <c r="KU33" s="156">
        <v>46321</v>
      </c>
      <c r="KV33" s="156">
        <v>46322</v>
      </c>
      <c r="KW33" s="156">
        <v>46323</v>
      </c>
      <c r="KX33" s="156">
        <v>46324</v>
      </c>
      <c r="KY33" s="156">
        <v>46325</v>
      </c>
      <c r="KZ33" s="156">
        <v>46326</v>
      </c>
      <c r="LA33" s="156">
        <v>46327</v>
      </c>
      <c r="LB33" s="156">
        <v>46328</v>
      </c>
      <c r="LC33" s="156">
        <v>46329</v>
      </c>
      <c r="LD33" s="156">
        <v>46330</v>
      </c>
      <c r="LE33" s="156">
        <v>46331</v>
      </c>
      <c r="LF33" s="156">
        <v>46332</v>
      </c>
      <c r="LG33" s="156">
        <v>46333</v>
      </c>
      <c r="LH33" s="156">
        <v>46334</v>
      </c>
      <c r="LI33" s="156">
        <v>46335</v>
      </c>
      <c r="LJ33" s="156">
        <v>46336</v>
      </c>
      <c r="LK33" s="156">
        <v>46337</v>
      </c>
      <c r="LL33" s="156">
        <v>46338</v>
      </c>
      <c r="LM33" s="156">
        <v>46339</v>
      </c>
      <c r="LN33" s="156">
        <v>46340</v>
      </c>
      <c r="LO33" s="156">
        <v>46341</v>
      </c>
      <c r="LP33" s="156">
        <v>46342</v>
      </c>
      <c r="LQ33" s="156">
        <v>46343</v>
      </c>
      <c r="LR33" s="156">
        <v>46344</v>
      </c>
      <c r="LS33" s="156">
        <v>46345</v>
      </c>
      <c r="LT33" s="156">
        <v>46346</v>
      </c>
      <c r="LU33" s="156">
        <v>46347</v>
      </c>
      <c r="LV33" s="156">
        <v>46348</v>
      </c>
      <c r="LW33" s="156">
        <v>46349</v>
      </c>
      <c r="LX33" s="156">
        <v>46350</v>
      </c>
      <c r="LY33" s="156">
        <v>46351</v>
      </c>
      <c r="LZ33" s="156">
        <v>46352</v>
      </c>
      <c r="MA33" s="156">
        <v>46353</v>
      </c>
      <c r="MB33" s="156">
        <v>46354</v>
      </c>
      <c r="MC33" s="156">
        <v>46355</v>
      </c>
      <c r="MD33" s="156">
        <v>46356</v>
      </c>
      <c r="ME33" s="156">
        <v>46357</v>
      </c>
      <c r="MF33" s="156">
        <v>46358</v>
      </c>
      <c r="MG33" s="156">
        <v>46359</v>
      </c>
      <c r="MH33" s="156">
        <v>46360</v>
      </c>
      <c r="MI33" s="156">
        <v>46361</v>
      </c>
      <c r="MJ33" s="156">
        <v>46362</v>
      </c>
      <c r="MK33" s="156">
        <v>46363</v>
      </c>
      <c r="ML33" s="156">
        <v>46364</v>
      </c>
      <c r="MM33" s="156">
        <v>46365</v>
      </c>
      <c r="MN33" s="156">
        <v>46366</v>
      </c>
      <c r="MO33" s="156">
        <v>46367</v>
      </c>
      <c r="MP33" s="156">
        <v>46368</v>
      </c>
      <c r="MQ33" s="156">
        <v>46369</v>
      </c>
      <c r="MR33" s="156">
        <v>46370</v>
      </c>
      <c r="MS33" s="156">
        <v>46371</v>
      </c>
      <c r="MT33" s="156">
        <v>46372</v>
      </c>
      <c r="MU33" s="156">
        <v>46373</v>
      </c>
      <c r="MV33" s="156">
        <v>46374</v>
      </c>
      <c r="MW33" s="156">
        <v>46375</v>
      </c>
      <c r="MX33" s="156">
        <v>46376</v>
      </c>
      <c r="MY33" s="156">
        <v>46377</v>
      </c>
      <c r="MZ33" s="156">
        <v>46378</v>
      </c>
      <c r="NA33" s="156">
        <v>46379</v>
      </c>
      <c r="NB33" s="156">
        <v>46380</v>
      </c>
      <c r="NC33" s="156">
        <v>46381</v>
      </c>
      <c r="ND33" s="156">
        <v>46382</v>
      </c>
      <c r="NE33" s="156">
        <v>46383</v>
      </c>
      <c r="NF33" s="156">
        <v>46384</v>
      </c>
      <c r="NG33" s="156">
        <v>46385</v>
      </c>
      <c r="NH33" s="156">
        <v>46386</v>
      </c>
    </row>
    <row r="34" spans="1:372" x14ac:dyDescent="0.25">
      <c r="A34" s="138" t="s">
        <v>227</v>
      </c>
      <c r="B34" s="137">
        <v>6000</v>
      </c>
      <c r="C34" s="139" t="s">
        <v>225</v>
      </c>
      <c r="D34" s="140">
        <v>46023</v>
      </c>
      <c r="E34" s="140"/>
      <c r="G34" cm="1">
        <f t="array" ref="G34:G39">nabla.e.SumRowsλ(_xlfn.ANCHORARRAY(H34))</f>
        <v>162000</v>
      </c>
      <c r="H34" s="142" cm="1">
        <f t="array" ref="H34:NH39">nabla.d.IsOccurrenceDateλ(_xlfn.ANCHORARRAY(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37261</v>
      </c>
      <c r="E35" s="140">
        <v>48579</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-4500</v>
      </c>
      <c r="BU35">
        <v>0</v>
      </c>
      <c r="BV35">
        <v>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-4500</v>
      </c>
      <c r="CZ35">
        <v>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-4500</v>
      </c>
      <c r="ED35">
        <v>0</v>
      </c>
      <c r="EE35">
        <v>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-4500</v>
      </c>
      <c r="FI35">
        <v>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-4500</v>
      </c>
      <c r="GM35">
        <v>0</v>
      </c>
      <c r="GN35">
        <v>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-4500</v>
      </c>
      <c r="HR35">
        <v>0</v>
      </c>
      <c r="HS35">
        <v>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0</v>
      </c>
      <c r="IV35">
        <v>-4500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0</v>
      </c>
      <c r="LE35">
        <v>-4500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37257</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-2000</v>
      </c>
      <c r="GI36">
        <v>0</v>
      </c>
      <c r="GJ36">
        <v>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46032</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-500</v>
      </c>
      <c r="DE37">
        <v>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-500</v>
      </c>
      <c r="GR37">
        <v>0</v>
      </c>
      <c r="GS37">
        <v>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46025</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46023</v>
      </c>
      <c r="E39" s="144"/>
      <c r="G39">
        <v>-4959</v>
      </c>
      <c r="H39">
        <v>-19</v>
      </c>
      <c r="I39">
        <v>-19</v>
      </c>
      <c r="J39">
        <v>-19</v>
      </c>
      <c r="K39">
        <v>-19</v>
      </c>
      <c r="L39">
        <v>-19</v>
      </c>
      <c r="M39">
        <v>0</v>
      </c>
      <c r="N39">
        <v>0</v>
      </c>
      <c r="O39">
        <v>-19</v>
      </c>
      <c r="P39">
        <v>-19</v>
      </c>
      <c r="Q39">
        <v>-19</v>
      </c>
      <c r="R39">
        <v>-19</v>
      </c>
      <c r="S39">
        <v>-19</v>
      </c>
      <c r="T39">
        <v>0</v>
      </c>
      <c r="U39">
        <v>0</v>
      </c>
      <c r="V39">
        <v>-19</v>
      </c>
      <c r="W39">
        <v>-19</v>
      </c>
      <c r="X39">
        <v>-19</v>
      </c>
      <c r="Y39">
        <v>-19</v>
      </c>
      <c r="Z39">
        <v>-19</v>
      </c>
      <c r="AA39">
        <v>0</v>
      </c>
      <c r="AB39">
        <v>0</v>
      </c>
      <c r="AC39">
        <v>-19</v>
      </c>
      <c r="AD39">
        <v>-19</v>
      </c>
      <c r="AE39">
        <v>-19</v>
      </c>
      <c r="AF39">
        <v>-19</v>
      </c>
      <c r="AG39">
        <v>-19</v>
      </c>
      <c r="AH39">
        <v>0</v>
      </c>
      <c r="AI39">
        <v>0</v>
      </c>
      <c r="AJ39">
        <v>-19</v>
      </c>
      <c r="AK39">
        <v>-19</v>
      </c>
      <c r="AL39">
        <v>-19</v>
      </c>
      <c r="AM39">
        <v>-19</v>
      </c>
      <c r="AN39">
        <v>-19</v>
      </c>
      <c r="AO39">
        <v>0</v>
      </c>
      <c r="AP39">
        <v>0</v>
      </c>
      <c r="AQ39">
        <v>-19</v>
      </c>
      <c r="AR39">
        <v>-19</v>
      </c>
      <c r="AS39">
        <v>-19</v>
      </c>
      <c r="AT39">
        <v>-19</v>
      </c>
      <c r="AU39">
        <v>-19</v>
      </c>
      <c r="AV39">
        <v>0</v>
      </c>
      <c r="AW39">
        <v>0</v>
      </c>
      <c r="AX39">
        <v>-19</v>
      </c>
      <c r="AY39">
        <v>-19</v>
      </c>
      <c r="AZ39">
        <v>-19</v>
      </c>
      <c r="BA39">
        <v>-19</v>
      </c>
      <c r="BB39">
        <v>-19</v>
      </c>
      <c r="BC39">
        <v>0</v>
      </c>
      <c r="BD39">
        <v>0</v>
      </c>
      <c r="BE39">
        <v>-19</v>
      </c>
      <c r="BF39">
        <v>-19</v>
      </c>
      <c r="BG39">
        <v>-19</v>
      </c>
      <c r="BH39">
        <v>-19</v>
      </c>
      <c r="BI39">
        <v>-19</v>
      </c>
      <c r="BJ39">
        <v>0</v>
      </c>
      <c r="BK39">
        <v>0</v>
      </c>
      <c r="BL39">
        <v>-19</v>
      </c>
      <c r="BM39">
        <v>-19</v>
      </c>
      <c r="BN39">
        <v>-19</v>
      </c>
      <c r="BO39">
        <v>-19</v>
      </c>
      <c r="BP39">
        <v>-19</v>
      </c>
      <c r="BQ39">
        <v>0</v>
      </c>
      <c r="BR39">
        <v>0</v>
      </c>
      <c r="BS39">
        <v>-19</v>
      </c>
      <c r="BT39">
        <v>-19</v>
      </c>
      <c r="BU39">
        <v>-19</v>
      </c>
      <c r="BV39">
        <v>-19</v>
      </c>
      <c r="BW39">
        <v>-19</v>
      </c>
      <c r="BX39">
        <v>0</v>
      </c>
      <c r="BY39">
        <v>0</v>
      </c>
      <c r="BZ39">
        <v>-19</v>
      </c>
      <c r="CA39">
        <v>-19</v>
      </c>
      <c r="CB39">
        <v>-19</v>
      </c>
      <c r="CC39">
        <v>-19</v>
      </c>
      <c r="CD39">
        <v>-19</v>
      </c>
      <c r="CE39">
        <v>0</v>
      </c>
      <c r="CF39">
        <v>0</v>
      </c>
      <c r="CG39">
        <v>-19</v>
      </c>
      <c r="CH39">
        <v>-19</v>
      </c>
      <c r="CI39">
        <v>-19</v>
      </c>
      <c r="CJ39">
        <v>-19</v>
      </c>
      <c r="CK39">
        <v>-19</v>
      </c>
      <c r="CL39">
        <v>0</v>
      </c>
      <c r="CM39">
        <v>0</v>
      </c>
      <c r="CN39">
        <v>-19</v>
      </c>
      <c r="CO39">
        <v>-19</v>
      </c>
      <c r="CP39">
        <v>-19</v>
      </c>
      <c r="CQ39">
        <v>-19</v>
      </c>
      <c r="CR39">
        <v>-19</v>
      </c>
      <c r="CS39">
        <v>0</v>
      </c>
      <c r="CT39">
        <v>0</v>
      </c>
      <c r="CU39">
        <v>-19</v>
      </c>
      <c r="CV39">
        <v>-19</v>
      </c>
      <c r="CW39">
        <v>-19</v>
      </c>
      <c r="CX39">
        <v>-19</v>
      </c>
      <c r="CY39">
        <v>-19</v>
      </c>
      <c r="CZ39">
        <v>0</v>
      </c>
      <c r="DA39">
        <v>0</v>
      </c>
      <c r="DB39">
        <v>-19</v>
      </c>
      <c r="DC39">
        <v>-19</v>
      </c>
      <c r="DD39">
        <v>-19</v>
      </c>
      <c r="DE39">
        <v>-19</v>
      </c>
      <c r="DF39">
        <v>-19</v>
      </c>
      <c r="DG39">
        <v>0</v>
      </c>
      <c r="DH39">
        <v>0</v>
      </c>
      <c r="DI39">
        <v>-19</v>
      </c>
      <c r="DJ39">
        <v>-19</v>
      </c>
      <c r="DK39">
        <v>-19</v>
      </c>
      <c r="DL39">
        <v>-19</v>
      </c>
      <c r="DM39">
        <v>-19</v>
      </c>
      <c r="DN39">
        <v>0</v>
      </c>
      <c r="DO39">
        <v>0</v>
      </c>
      <c r="DP39">
        <v>-19</v>
      </c>
      <c r="DQ39">
        <v>-19</v>
      </c>
      <c r="DR39">
        <v>-19</v>
      </c>
      <c r="DS39">
        <v>-19</v>
      </c>
      <c r="DT39">
        <v>-19</v>
      </c>
      <c r="DU39">
        <v>0</v>
      </c>
      <c r="DV39">
        <v>0</v>
      </c>
      <c r="DW39">
        <v>-19</v>
      </c>
      <c r="DX39">
        <v>-19</v>
      </c>
      <c r="DY39">
        <v>-19</v>
      </c>
      <c r="DZ39">
        <v>-19</v>
      </c>
      <c r="EA39">
        <v>-19</v>
      </c>
      <c r="EB39">
        <v>0</v>
      </c>
      <c r="EC39">
        <v>0</v>
      </c>
      <c r="ED39">
        <v>-19</v>
      </c>
      <c r="EE39">
        <v>-19</v>
      </c>
      <c r="EF39">
        <v>-19</v>
      </c>
      <c r="EG39">
        <v>-19</v>
      </c>
      <c r="EH39">
        <v>-19</v>
      </c>
      <c r="EI39">
        <v>0</v>
      </c>
      <c r="EJ39">
        <v>0</v>
      </c>
      <c r="EK39">
        <v>-19</v>
      </c>
      <c r="EL39">
        <v>-19</v>
      </c>
      <c r="EM39">
        <v>-19</v>
      </c>
      <c r="EN39">
        <v>-19</v>
      </c>
      <c r="EO39">
        <v>-19</v>
      </c>
      <c r="EP39">
        <v>0</v>
      </c>
      <c r="EQ39">
        <v>0</v>
      </c>
      <c r="ER39">
        <v>-19</v>
      </c>
      <c r="ES39">
        <v>-19</v>
      </c>
      <c r="ET39">
        <v>-19</v>
      </c>
      <c r="EU39">
        <v>-19</v>
      </c>
      <c r="EV39">
        <v>-19</v>
      </c>
      <c r="EW39">
        <v>0</v>
      </c>
      <c r="EX39">
        <v>0</v>
      </c>
      <c r="EY39">
        <v>-19</v>
      </c>
      <c r="EZ39">
        <v>-19</v>
      </c>
      <c r="FA39">
        <v>-19</v>
      </c>
      <c r="FB39">
        <v>-19</v>
      </c>
      <c r="FC39">
        <v>-19</v>
      </c>
      <c r="FD39">
        <v>0</v>
      </c>
      <c r="FE39">
        <v>0</v>
      </c>
      <c r="FF39">
        <v>-19</v>
      </c>
      <c r="FG39">
        <v>-19</v>
      </c>
      <c r="FH39">
        <v>-19</v>
      </c>
      <c r="FI39">
        <v>-19</v>
      </c>
      <c r="FJ39">
        <v>-19</v>
      </c>
      <c r="FK39">
        <v>0</v>
      </c>
      <c r="FL39">
        <v>0</v>
      </c>
      <c r="FM39">
        <v>-19</v>
      </c>
      <c r="FN39">
        <v>-19</v>
      </c>
      <c r="FO39">
        <v>-19</v>
      </c>
      <c r="FP39">
        <v>-19</v>
      </c>
      <c r="FQ39">
        <v>-19</v>
      </c>
      <c r="FR39">
        <v>0</v>
      </c>
      <c r="FS39">
        <v>0</v>
      </c>
      <c r="FT39">
        <v>-19</v>
      </c>
      <c r="FU39">
        <v>-19</v>
      </c>
      <c r="FV39">
        <v>-19</v>
      </c>
      <c r="FW39">
        <v>-19</v>
      </c>
      <c r="FX39">
        <v>-19</v>
      </c>
      <c r="FY39">
        <v>0</v>
      </c>
      <c r="FZ39">
        <v>0</v>
      </c>
      <c r="GA39">
        <v>-19</v>
      </c>
      <c r="GB39">
        <v>-19</v>
      </c>
      <c r="GC39">
        <v>-19</v>
      </c>
      <c r="GD39">
        <v>-19</v>
      </c>
      <c r="GE39">
        <v>-19</v>
      </c>
      <c r="GF39">
        <v>0</v>
      </c>
      <c r="GG39">
        <v>0</v>
      </c>
      <c r="GH39">
        <v>-19</v>
      </c>
      <c r="GI39">
        <v>-19</v>
      </c>
      <c r="GJ39">
        <v>-19</v>
      </c>
      <c r="GK39">
        <v>-19</v>
      </c>
      <c r="GL39">
        <v>-19</v>
      </c>
      <c r="GM39">
        <v>0</v>
      </c>
      <c r="GN39">
        <v>0</v>
      </c>
      <c r="GO39">
        <v>-19</v>
      </c>
      <c r="GP39">
        <v>-19</v>
      </c>
      <c r="GQ39">
        <v>-19</v>
      </c>
      <c r="GR39">
        <v>-19</v>
      </c>
      <c r="GS39">
        <v>-19</v>
      </c>
      <c r="GT39">
        <v>0</v>
      </c>
      <c r="GU39">
        <v>0</v>
      </c>
      <c r="GV39">
        <v>-19</v>
      </c>
      <c r="GW39">
        <v>-19</v>
      </c>
      <c r="GX39">
        <v>-19</v>
      </c>
      <c r="GY39">
        <v>-19</v>
      </c>
      <c r="GZ39">
        <v>-19</v>
      </c>
      <c r="HA39">
        <v>0</v>
      </c>
      <c r="HB39">
        <v>0</v>
      </c>
      <c r="HC39">
        <v>-19</v>
      </c>
      <c r="HD39">
        <v>-19</v>
      </c>
      <c r="HE39">
        <v>-19</v>
      </c>
      <c r="HF39">
        <v>-19</v>
      </c>
      <c r="HG39">
        <v>-19</v>
      </c>
      <c r="HH39">
        <v>0</v>
      </c>
      <c r="HI39">
        <v>0</v>
      </c>
      <c r="HJ39">
        <v>-19</v>
      </c>
      <c r="HK39">
        <v>-19</v>
      </c>
      <c r="HL39">
        <v>-19</v>
      </c>
      <c r="HM39">
        <v>-19</v>
      </c>
      <c r="HN39">
        <v>-19</v>
      </c>
      <c r="HO39">
        <v>0</v>
      </c>
      <c r="HP39">
        <v>0</v>
      </c>
      <c r="HQ39">
        <v>-19</v>
      </c>
      <c r="HR39">
        <v>-19</v>
      </c>
      <c r="HS39">
        <v>-19</v>
      </c>
      <c r="HT39">
        <v>-19</v>
      </c>
      <c r="HU39">
        <v>-19</v>
      </c>
      <c r="HV39">
        <v>0</v>
      </c>
      <c r="HW39">
        <v>0</v>
      </c>
      <c r="HX39">
        <v>-19</v>
      </c>
      <c r="HY39">
        <v>-19</v>
      </c>
      <c r="HZ39">
        <v>-19</v>
      </c>
      <c r="IA39">
        <v>-19</v>
      </c>
      <c r="IB39">
        <v>-19</v>
      </c>
      <c r="IC39">
        <v>0</v>
      </c>
      <c r="ID39">
        <v>0</v>
      </c>
      <c r="IE39">
        <v>-19</v>
      </c>
      <c r="IF39">
        <v>-19</v>
      </c>
      <c r="IG39">
        <v>-19</v>
      </c>
      <c r="IH39">
        <v>-19</v>
      </c>
      <c r="II39">
        <v>-19</v>
      </c>
      <c r="IJ39">
        <v>0</v>
      </c>
      <c r="IK39">
        <v>0</v>
      </c>
      <c r="IL39">
        <v>-19</v>
      </c>
      <c r="IM39">
        <v>-19</v>
      </c>
      <c r="IN39">
        <v>-19</v>
      </c>
      <c r="IO39">
        <v>-19</v>
      </c>
      <c r="IP39">
        <v>-19</v>
      </c>
      <c r="IQ39">
        <v>0</v>
      </c>
      <c r="IR39">
        <v>0</v>
      </c>
      <c r="IS39">
        <v>-19</v>
      </c>
      <c r="IT39">
        <v>-19</v>
      </c>
      <c r="IU39">
        <v>-19</v>
      </c>
      <c r="IV39">
        <v>-19</v>
      </c>
      <c r="IW39">
        <v>-19</v>
      </c>
      <c r="IX39">
        <v>0</v>
      </c>
      <c r="IY39">
        <v>0</v>
      </c>
      <c r="IZ39">
        <v>-19</v>
      </c>
      <c r="JA39">
        <v>-19</v>
      </c>
      <c r="JB39">
        <v>-19</v>
      </c>
      <c r="JC39">
        <v>-19</v>
      </c>
      <c r="JD39">
        <v>-19</v>
      </c>
      <c r="JE39">
        <v>0</v>
      </c>
      <c r="JF39">
        <v>0</v>
      </c>
      <c r="JG39">
        <v>-19</v>
      </c>
      <c r="JH39">
        <v>-19</v>
      </c>
      <c r="JI39">
        <v>-19</v>
      </c>
      <c r="JJ39">
        <v>-19</v>
      </c>
      <c r="JK39">
        <v>-19</v>
      </c>
      <c r="JL39">
        <v>0</v>
      </c>
      <c r="JM39">
        <v>0</v>
      </c>
      <c r="JN39">
        <v>-19</v>
      </c>
      <c r="JO39">
        <v>-19</v>
      </c>
      <c r="JP39">
        <v>-19</v>
      </c>
      <c r="JQ39">
        <v>-19</v>
      </c>
      <c r="JR39">
        <v>-19</v>
      </c>
      <c r="JS39">
        <v>0</v>
      </c>
      <c r="JT39">
        <v>0</v>
      </c>
      <c r="JU39">
        <v>-19</v>
      </c>
      <c r="JV39">
        <v>-19</v>
      </c>
      <c r="JW39">
        <v>-19</v>
      </c>
      <c r="JX39">
        <v>-19</v>
      </c>
      <c r="JY39">
        <v>-19</v>
      </c>
      <c r="JZ39">
        <v>0</v>
      </c>
      <c r="KA39">
        <v>0</v>
      </c>
      <c r="KB39">
        <v>-19</v>
      </c>
      <c r="KC39">
        <v>-19</v>
      </c>
      <c r="KD39">
        <v>-19</v>
      </c>
      <c r="KE39">
        <v>-19</v>
      </c>
      <c r="KF39">
        <v>-19</v>
      </c>
      <c r="KG39">
        <v>0</v>
      </c>
      <c r="KH39">
        <v>0</v>
      </c>
      <c r="KI39">
        <v>-19</v>
      </c>
      <c r="KJ39">
        <v>-19</v>
      </c>
      <c r="KK39">
        <v>-19</v>
      </c>
      <c r="KL39">
        <v>-19</v>
      </c>
      <c r="KM39">
        <v>-19</v>
      </c>
      <c r="KN39">
        <v>0</v>
      </c>
      <c r="KO39">
        <v>0</v>
      </c>
      <c r="KP39">
        <v>-19</v>
      </c>
      <c r="KQ39">
        <v>-19</v>
      </c>
      <c r="KR39">
        <v>-19</v>
      </c>
      <c r="KS39">
        <v>-19</v>
      </c>
      <c r="KT39">
        <v>-19</v>
      </c>
      <c r="KU39">
        <v>0</v>
      </c>
      <c r="KV39">
        <v>0</v>
      </c>
      <c r="KW39">
        <v>-19</v>
      </c>
      <c r="KX39">
        <v>-19</v>
      </c>
      <c r="KY39">
        <v>-19</v>
      </c>
      <c r="KZ39">
        <v>-19</v>
      </c>
      <c r="LA39">
        <v>-19</v>
      </c>
      <c r="LB39">
        <v>0</v>
      </c>
      <c r="LC39">
        <v>0</v>
      </c>
      <c r="LD39">
        <v>-19</v>
      </c>
      <c r="LE39">
        <v>-19</v>
      </c>
      <c r="LF39">
        <v>-19</v>
      </c>
      <c r="LG39">
        <v>-19</v>
      </c>
      <c r="LH39">
        <v>-19</v>
      </c>
      <c r="LI39">
        <v>0</v>
      </c>
      <c r="LJ39">
        <v>0</v>
      </c>
      <c r="LK39">
        <v>-19</v>
      </c>
      <c r="LL39">
        <v>-19</v>
      </c>
      <c r="LM39">
        <v>-19</v>
      </c>
      <c r="LN39">
        <v>-19</v>
      </c>
      <c r="LO39">
        <v>-19</v>
      </c>
      <c r="LP39">
        <v>0</v>
      </c>
      <c r="LQ39">
        <v>0</v>
      </c>
      <c r="LR39">
        <v>-19</v>
      </c>
      <c r="LS39">
        <v>-19</v>
      </c>
      <c r="LT39">
        <v>-19</v>
      </c>
      <c r="LU39">
        <v>-19</v>
      </c>
      <c r="LV39">
        <v>-19</v>
      </c>
      <c r="LW39">
        <v>0</v>
      </c>
      <c r="LX39">
        <v>0</v>
      </c>
      <c r="LY39">
        <v>-19</v>
      </c>
      <c r="LZ39">
        <v>-19</v>
      </c>
      <c r="MA39">
        <v>-19</v>
      </c>
      <c r="MB39">
        <v>-19</v>
      </c>
      <c r="MC39">
        <v>-19</v>
      </c>
      <c r="MD39">
        <v>0</v>
      </c>
      <c r="ME39">
        <v>0</v>
      </c>
      <c r="MF39">
        <v>-19</v>
      </c>
      <c r="MG39">
        <v>-19</v>
      </c>
      <c r="MH39">
        <v>-19</v>
      </c>
      <c r="MI39">
        <v>-19</v>
      </c>
      <c r="MJ39">
        <v>-19</v>
      </c>
      <c r="MK39">
        <v>0</v>
      </c>
      <c r="ML39">
        <v>0</v>
      </c>
      <c r="MM39">
        <v>-19</v>
      </c>
      <c r="MN39">
        <v>-19</v>
      </c>
      <c r="MO39">
        <v>-19</v>
      </c>
      <c r="MP39">
        <v>-19</v>
      </c>
      <c r="MQ39">
        <v>-19</v>
      </c>
      <c r="MR39">
        <v>0</v>
      </c>
      <c r="MS39">
        <v>0</v>
      </c>
      <c r="MT39">
        <v>-19</v>
      </c>
      <c r="MU39">
        <v>-19</v>
      </c>
      <c r="MV39">
        <v>-19</v>
      </c>
      <c r="MW39">
        <v>-19</v>
      </c>
      <c r="MX39">
        <v>-19</v>
      </c>
      <c r="MY39">
        <v>0</v>
      </c>
      <c r="MZ39">
        <v>0</v>
      </c>
      <c r="NA39">
        <v>-19</v>
      </c>
      <c r="NB39">
        <v>-19</v>
      </c>
      <c r="NC39">
        <v>-19</v>
      </c>
      <c r="ND39">
        <v>-19</v>
      </c>
      <c r="NE39">
        <v>-19</v>
      </c>
      <c r="NF39">
        <v>0</v>
      </c>
      <c r="NG39">
        <v>0</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customProperties>
    <customPr name="Description" r:id="rId1"/>
  </customProperties>
  <ignoredErrors>
    <ignoredError sqref="B34" calculatedColumn="1"/>
  </ignoredErrors>
  <drawing r:id="rId2"/>
  <tableParts count="1">
    <tablePart r:id="rId3"/>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1F4E79"/>
  </sheetPr>
  <dimension ref="A1:S25"/>
  <sheetViews>
    <sheetView showGridLines="0" workbookViewId="0">
      <selection activeCell="A1" sqref="A1"/>
    </sheetView>
  </sheetViews>
  <sheetFormatPr defaultRowHeight="15" x14ac:dyDescent="0.25"/>
  <cols>
    <col min="1" max="1" width="12.7109375" bestFit="1" customWidth="1"/>
    <col min="2" max="2" width="24" customWidth="1"/>
    <col min="3" max="3" width="11.28515625" bestFit="1" customWidth="1"/>
    <col min="4" max="4" width="11.7109375" bestFit="1" customWidth="1"/>
    <col min="7" max="7" width="15.5703125" bestFit="1" customWidth="1"/>
    <col min="8" max="19" width="12.28515625" customWidth="1"/>
  </cols>
  <sheetData>
    <row r="1" spans="1:15" ht="45.75" x14ac:dyDescent="0.65">
      <c r="A1" s="270" t="str">
        <f>_xlfn.TEXTAFTER(CELL("filename",A1),"]")</f>
        <v>nabla.d.OverLapDaysλ</v>
      </c>
      <c r="B1" s="270"/>
      <c r="C1" s="270"/>
      <c r="D1" s="270"/>
      <c r="E1" s="270"/>
      <c r="F1" s="270"/>
      <c r="G1" s="270"/>
      <c r="H1" s="270"/>
      <c r="I1" s="270"/>
      <c r="J1" s="270"/>
      <c r="K1" s="270"/>
      <c r="L1" s="270"/>
      <c r="M1" s="270"/>
      <c r="N1" s="270"/>
      <c r="O1" s="270"/>
    </row>
    <row r="2" spans="1:15" x14ac:dyDescent="0.25">
      <c r="A2" s="273" t="s">
        <v>198</v>
      </c>
      <c r="B2" s="287"/>
      <c r="C2" s="287"/>
      <c r="D2" s="287"/>
      <c r="E2" s="287"/>
      <c r="F2" s="287"/>
      <c r="G2" s="287"/>
      <c r="H2" s="287"/>
      <c r="I2" s="287"/>
      <c r="J2" s="287"/>
      <c r="K2" s="287"/>
      <c r="L2" s="287"/>
      <c r="M2" s="287"/>
      <c r="N2" s="288"/>
      <c r="O2" s="104"/>
    </row>
    <row r="4" spans="1:15" x14ac:dyDescent="0.25">
      <c r="A4" s="142" t="str" cm="1">
        <f t="array" ref="A4:B16">nabla.d.OverLapDaysλ()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https://github.com/ryanduguid/Nabla</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(nabla.d is assumed to be the module's name)</v>
      </c>
    </row>
    <row r="14" spans="1:15" x14ac:dyDescent="0.25">
      <c r="A14" t="str">
        <v>5</v>
      </c>
      <c r="B14" t="str">
        <v>=nabla.d.OverLapDaysλ(08, 14, 10, 17)</v>
      </c>
    </row>
    <row r="15" spans="1:15" x14ac:dyDescent="0.25">
      <c r="A15" t="str">
        <v>8</v>
      </c>
      <c r="B15" t="str">
        <v>=nabla.d.OverLapDaysλ(10, 20, 11, 18)</v>
      </c>
    </row>
    <row r="16" spans="1:15" x14ac:dyDescent="0.25">
      <c r="A16" t="str">
        <v>12</v>
      </c>
      <c r="B16" t="str">
        <v>=nabla.d.OverLapDaysλ("17/1/2025", "25/1/2025", "7/1/2025", "18/1/2025")</v>
      </c>
    </row>
    <row r="20" spans="1:19" ht="20.25" x14ac:dyDescent="0.3">
      <c r="A20" s="295" t="s">
        <v>243</v>
      </c>
      <c r="B20" s="296"/>
      <c r="C20" s="296"/>
      <c r="D20" s="296"/>
      <c r="E20" s="296"/>
    </row>
    <row r="21" spans="1:19" x14ac:dyDescent="0.25">
      <c r="A21" s="280"/>
      <c r="B21" s="281"/>
      <c r="C21" s="281"/>
      <c r="D21" s="281"/>
      <c r="E21" s="281"/>
      <c r="G21" s="150" t="s">
        <v>151</v>
      </c>
      <c r="H21" s="151" cm="1">
        <f t="array" ref="H21:S21">nabla.d.Timelineλ("1/1/2026", ,,FALSE)</f>
        <v>45322</v>
      </c>
      <c r="I21" s="151">
        <v>46081</v>
      </c>
      <c r="J21" s="151">
        <v>46112</v>
      </c>
      <c r="K21" s="151">
        <v>46142</v>
      </c>
      <c r="L21" s="151">
        <v>46173</v>
      </c>
      <c r="M21" s="151">
        <v>46203</v>
      </c>
      <c r="N21" s="151">
        <v>46234</v>
      </c>
      <c r="O21" s="151">
        <v>46265</v>
      </c>
      <c r="P21" s="151">
        <v>46295</v>
      </c>
      <c r="Q21" s="151">
        <v>46326</v>
      </c>
      <c r="R21" s="151">
        <v>46356</v>
      </c>
      <c r="S21" s="151">
        <v>46387</v>
      </c>
    </row>
    <row r="22" spans="1:19" x14ac:dyDescent="0.25">
      <c r="A22" s="114" t="s">
        <v>244</v>
      </c>
      <c r="B22" t="s">
        <v>241</v>
      </c>
      <c r="C22" s="114" t="s">
        <v>236</v>
      </c>
      <c r="D22" s="114" t="s">
        <v>237</v>
      </c>
      <c r="E22" s="114" t="s">
        <v>238</v>
      </c>
      <c r="G22" s="149" t="s">
        <v>276</v>
      </c>
      <c r="H22" s="1" cm="1">
        <f t="array" ref="H22:S22">nabla.d.Timelineλ("1/1/2026")</f>
        <v>45292</v>
      </c>
      <c r="I22" s="1">
        <v>46054</v>
      </c>
      <c r="J22" s="1">
        <v>46082</v>
      </c>
      <c r="K22" s="1">
        <v>46113</v>
      </c>
      <c r="L22" s="1">
        <v>46143</v>
      </c>
      <c r="M22" s="1">
        <v>46174</v>
      </c>
      <c r="N22" s="1">
        <v>46204</v>
      </c>
      <c r="O22" s="1">
        <v>46235</v>
      </c>
      <c r="P22" s="1">
        <v>46266</v>
      </c>
      <c r="Q22" s="1">
        <v>46296</v>
      </c>
      <c r="R22" s="1">
        <v>46327</v>
      </c>
      <c r="S22" s="1">
        <v>46357</v>
      </c>
    </row>
    <row r="23" spans="1:19" x14ac:dyDescent="0.25">
      <c r="A23" cm="1">
        <f t="array" ref="A23">ROW()-ROW(tblRent[#Headers])</f>
        <v>1</v>
      </c>
      <c r="B23" t="s">
        <v>240</v>
      </c>
      <c r="C23" s="141">
        <v>46068</v>
      </c>
      <c r="D23" s="141">
        <v>46272</v>
      </c>
      <c r="E23" s="148">
        <v>12</v>
      </c>
      <c r="G23" cm="1">
        <f t="array" ref="G23:G25">nabla.e.SumRowsλ(_xlfn.ANCHORARRAY(H23))</f>
        <v>2472</v>
      </c>
      <c r="H23" s="142" cm="1">
        <f t="array" ref="H23:S25">nabla.d.OverLapDaysλ(_xlfn.ANCHORARRAY(H22),_xlfn.ANCHORARRAY(H21),tblRent[Start],tblRent[End]) * tblRent[Daily Rate]</f>
        <v>0</v>
      </c>
      <c r="I23">
        <v>180</v>
      </c>
      <c r="J23">
        <v>372</v>
      </c>
      <c r="K23">
        <v>360</v>
      </c>
      <c r="L23">
        <v>372</v>
      </c>
      <c r="M23">
        <v>360</v>
      </c>
      <c r="N23">
        <v>372</v>
      </c>
      <c r="O23">
        <v>372</v>
      </c>
      <c r="P23">
        <v>84</v>
      </c>
      <c r="Q23">
        <v>0</v>
      </c>
      <c r="R23">
        <v>0</v>
      </c>
      <c r="S23">
        <v>0</v>
      </c>
    </row>
    <row r="24" spans="1:19" x14ac:dyDescent="0.25">
      <c r="A24" cm="1">
        <f t="array" ref="A24">ROW()-ROW(tblRent[#Headers])</f>
        <v>2</v>
      </c>
      <c r="B24" t="s">
        <v>239</v>
      </c>
      <c r="C24" s="141">
        <v>46037</v>
      </c>
      <c r="D24" s="141">
        <v>46102</v>
      </c>
      <c r="E24" s="148">
        <v>10</v>
      </c>
      <c r="G24">
        <v>670</v>
      </c>
      <c r="H24">
        <v>170</v>
      </c>
      <c r="I24">
        <v>290</v>
      </c>
      <c r="J24">
        <v>210</v>
      </c>
      <c r="K24">
        <v>0</v>
      </c>
      <c r="L24">
        <v>0</v>
      </c>
      <c r="M24">
        <v>0</v>
      </c>
      <c r="N24">
        <v>0</v>
      </c>
      <c r="O24">
        <v>0</v>
      </c>
      <c r="P24">
        <v>0</v>
      </c>
      <c r="Q24">
        <v>0</v>
      </c>
      <c r="R24">
        <v>0</v>
      </c>
      <c r="S24">
        <v>0</v>
      </c>
    </row>
    <row r="25" spans="1:19" x14ac:dyDescent="0.25">
      <c r="A25" cm="1">
        <f t="array" ref="A25">ROW()-ROW(tblRent[#Headers])</f>
        <v>3</v>
      </c>
      <c r="B25" t="s">
        <v>242</v>
      </c>
      <c r="C25" s="141">
        <v>46023</v>
      </c>
      <c r="D25" s="141">
        <v>46053</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customProperties>
    <customPr name="Description" r:id="rId1"/>
  </customProperties>
  <drawing r:id="rId2"/>
  <tableParts count="1">
    <tablePart r:id="rId3"/>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1F4E79"/>
  </sheetPr>
  <dimension ref="A1:T29"/>
  <sheetViews>
    <sheetView showGridLines="0" workbookViewId="0">
      <selection activeCell="A1" sqref="A1"/>
    </sheetView>
  </sheetViews>
  <sheetFormatPr defaultRowHeight="15" x14ac:dyDescent="0.25"/>
  <cols>
    <col min="1" max="1" width="12.7109375" bestFit="1" customWidth="1"/>
    <col min="2" max="2" width="13.28515625" customWidth="1"/>
    <col min="3" max="3" width="7.28515625" bestFit="1" customWidth="1"/>
    <col min="4" max="4" width="7" bestFit="1" customWidth="1"/>
  </cols>
  <sheetData>
    <row r="1" spans="1:20" ht="45.75" x14ac:dyDescent="0.65">
      <c r="A1" s="270" t="str">
        <f>_xlfn.TEXTAFTER(CELL("filename",A1),"]")</f>
        <v>nabla.d.Periodsλ</v>
      </c>
      <c r="B1" s="270"/>
      <c r="C1" s="270"/>
      <c r="D1" s="270"/>
      <c r="E1" s="270"/>
      <c r="F1" s="270"/>
      <c r="G1" s="270"/>
      <c r="H1" s="270"/>
      <c r="I1" s="270"/>
      <c r="J1" s="270"/>
      <c r="K1" s="270"/>
      <c r="L1" s="270"/>
      <c r="M1" s="270"/>
      <c r="N1" s="270"/>
      <c r="O1" s="270"/>
      <c r="P1" s="270"/>
    </row>
    <row r="2" spans="1:20" x14ac:dyDescent="0.25">
      <c r="A2" s="273" t="s">
        <v>199</v>
      </c>
      <c r="B2" s="274"/>
      <c r="C2" s="274"/>
      <c r="D2" s="274"/>
      <c r="E2" s="274"/>
      <c r="F2" s="274"/>
      <c r="G2" s="274"/>
      <c r="H2" s="274"/>
      <c r="I2" s="274"/>
      <c r="J2" s="274"/>
      <c r="K2" s="274"/>
      <c r="L2" s="274"/>
      <c r="M2" s="274"/>
      <c r="N2" s="274"/>
      <c r="O2" s="274"/>
      <c r="P2" s="274"/>
      <c r="Q2" s="274"/>
      <c r="R2" s="274"/>
      <c r="S2" s="274"/>
      <c r="T2" s="274"/>
    </row>
    <row r="4" spans="1:20" x14ac:dyDescent="0.25">
      <c r="A4" s="162" t="str" cm="1">
        <f t="array" ref="A4:B20">nabla.d.Periodsλ()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End Date is inclusive</v>
      </c>
    </row>
    <row r="9" spans="1:20" x14ac:dyDescent="0.25">
      <c r="A9" t="str">
        <v/>
      </c>
      <c r="B9" t="str">
        <v>* Returns negative values if Date1 is after Date2</v>
      </c>
    </row>
    <row r="10" spans="1:20" x14ac:dyDescent="0.25">
      <c r="A10" t="str">
        <v>WEBPAGE:</v>
      </c>
      <c r="B10" t="str">
        <v>https://github.com/ryanduguid/Nabla</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(nabla.d is assumed to be the module's name)</v>
      </c>
    </row>
    <row r="17" spans="1:4" x14ac:dyDescent="0.25">
      <c r="A17" t="str">
        <v>2</v>
      </c>
      <c r="B17" t="str">
        <v>=nabla.d.Periodsλ("31/3/2025", "15/5/2025")</v>
      </c>
    </row>
    <row r="18" spans="1:4" x14ac:dyDescent="0.25">
      <c r="A18" t="str">
        <v>-2</v>
      </c>
      <c r="B18" t="str">
        <v>=nabla.d.Periodsλ("15/5/2025", "31/3/2025")</v>
      </c>
    </row>
    <row r="19" spans="1:4" x14ac:dyDescent="0.25">
      <c r="A19" t="str">
        <v>-12</v>
      </c>
      <c r="B19" t="str">
        <v>=nabla.d.Periodsλ("15/1/2026", "16/1/2025", , FALSE)</v>
      </c>
    </row>
    <row r="20" spans="1:4" x14ac:dyDescent="0.25">
      <c r="A20" t="str">
        <v>-53</v>
      </c>
      <c r="B20" t="str">
        <v>=nabla.d.Periodsλ("15/1/2026", "16/1/2025", "W")</v>
      </c>
    </row>
    <row r="24" spans="1:4" x14ac:dyDescent="0.25">
      <c r="A24" s="160" t="s">
        <v>250</v>
      </c>
      <c r="B24" s="160" t="s">
        <v>251</v>
      </c>
      <c r="C24" s="161" t="s">
        <v>142</v>
      </c>
      <c r="D24" s="161" t="s">
        <v>141</v>
      </c>
    </row>
    <row r="25" spans="1:4" x14ac:dyDescent="0.25">
      <c r="A25" s="141">
        <v>46081</v>
      </c>
      <c r="B25" s="141">
        <v>46356</v>
      </c>
      <c r="C25" t="inlineStr">
        <is>
          <t>M</t>
        </is>
      </c>
      <c r="D25" s="162" t="e" cm="1">
        <f t="array" ref="D25:D29">nabla.d.Periodsλ(A25:A29,B25:B29,C25:C29)</f>
        <v>#VALUE!</v>
      </c>
    </row>
    <row r="26" spans="1:4" x14ac:dyDescent="0.25">
      <c r="A26" s="141">
        <v>46203</v>
      </c>
      <c r="B26" s="141">
        <v>46600</v>
      </c>
      <c r="C26" t="inlineStr">
        <is>
          <t>Q</t>
        </is>
      </c>
      <c r="D26" t="e">
        <f/>
        <v>#VALUE!</v>
      </c>
    </row>
    <row r="27" spans="1:4" x14ac:dyDescent="0.25">
      <c r="A27" s="141">
        <v>46023</v>
      </c>
      <c r="B27" s="141">
        <v>47119</v>
      </c>
      <c r="C27" t="inlineStr">
        <is>
          <t>Y</t>
        </is>
      </c>
      <c r="D27" t="e">
        <f/>
        <v>#VALUE!</v>
      </c>
    </row>
    <row r="28" spans="1:4" x14ac:dyDescent="0.25">
      <c r="A28" s="141">
        <v>46142</v>
      </c>
      <c r="B28" s="141">
        <v>46508</v>
      </c>
      <c r="C28" t="inlineStr">
        <is>
          <t>W</t>
        </is>
      </c>
      <c r="D28" t="e">
        <f/>
        <v>#VALUE!</v>
      </c>
    </row>
    <row r="29" spans="1:4" x14ac:dyDescent="0.25">
      <c r="A29" s="141">
        <v>46265</v>
      </c>
      <c r="B29" s="141">
        <v>46630</v>
      </c>
      <c r="C29" t="inlineStr">
        <is>
          <t>D</t>
        </is>
      </c>
      <c r="D29" t="e">
        <f/>
        <v>#VALUE!</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customProperties>
    <customPr name="Description" r:id="rId1"/>
  </customPropertie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1F4E79"/>
  </sheetPr>
  <dimension ref="A1:P26"/>
  <sheetViews>
    <sheetView showGridLines="0" workbookViewId="0">
      <selection activeCell="A1" sqref="A1"/>
    </sheetView>
  </sheetViews>
  <sheetFormatPr defaultRowHeight="15" x14ac:dyDescent="0.25"/>
  <cols>
    <col min="1" max="1" width="12.7109375" bestFit="1" customWidth="1"/>
    <col min="3" max="4" width="11" bestFit="1" customWidth="1"/>
    <col min="5" max="7" width="11.140625" bestFit="1" customWidth="1"/>
    <col min="8" max="8" width="11" bestFit="1" customWidth="1"/>
    <col min="9" max="11" width="11.28515625" bestFit="1" customWidth="1"/>
    <col min="12" max="12" width="11.140625" bestFit="1" customWidth="1"/>
    <col min="13" max="14" width="11.7109375" bestFit="1" customWidth="1"/>
    <col min="15" max="19" width="12.28515625" customWidth="1"/>
  </cols>
  <sheetData>
    <row r="1" spans="1:16" ht="45.75" x14ac:dyDescent="0.65">
      <c r="A1" s="270" t="str">
        <f>_xlfn.TEXTAFTER(CELL("filename",A1),"]")</f>
        <v>nabla.d.PeriodLabelλ</v>
      </c>
      <c r="B1" s="270"/>
      <c r="C1" s="270"/>
      <c r="D1" s="270"/>
      <c r="E1" s="270"/>
      <c r="F1" s="270"/>
      <c r="G1" s="270"/>
      <c r="H1" s="270"/>
      <c r="I1" s="270"/>
      <c r="J1" s="270"/>
      <c r="K1" s="270"/>
      <c r="L1" s="270"/>
      <c r="M1" s="270"/>
      <c r="N1" s="270"/>
      <c r="O1" s="270"/>
      <c r="P1" s="270"/>
    </row>
    <row r="2" spans="1:16" x14ac:dyDescent="0.25">
      <c r="A2" s="273" t="s">
        <v>200</v>
      </c>
      <c r="B2" s="287"/>
      <c r="C2" s="287"/>
      <c r="D2" s="287"/>
      <c r="E2" s="287"/>
      <c r="F2" s="287"/>
      <c r="G2" s="287"/>
      <c r="H2" s="287"/>
      <c r="I2" s="287"/>
      <c r="J2" s="287"/>
      <c r="K2" s="287"/>
      <c r="L2" s="287"/>
      <c r="M2" s="287"/>
      <c r="N2" s="287"/>
      <c r="O2" s="287"/>
      <c r="P2" s="288"/>
    </row>
    <row r="4" spans="1:16" x14ac:dyDescent="0.25">
      <c r="A4" s="162" t="str" cm="1">
        <f t="array" ref="A4:B22">nabla.d.PeriodLabelλ()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https://github.com/ryanduguid/Nabla</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(nabla.d is assumed to be the module's name)</v>
      </c>
    </row>
    <row r="19" spans="1:14" x14ac:dyDescent="0.25">
      <c r="A19" t="str">
        <v>2025-Feb-26</v>
      </c>
      <c r="B19" t="str">
        <v>=nabla.d.PeriodLabelλ(DATEVALUE("26/2/2025"), "D")</v>
      </c>
    </row>
    <row r="20" spans="1:14" x14ac:dyDescent="0.25">
      <c r="A20" t="str">
        <v>2023-Feb</v>
      </c>
      <c r="B20" t="str">
        <v>=nabla.d.PeriodLabelλ(DATEVALUE("26/2/2025"), "M")</v>
      </c>
    </row>
    <row r="21" spans="1:14" x14ac:dyDescent="0.25">
      <c r="A21" t="str">
        <v>2025:Q1</v>
      </c>
      <c r="B21" t="str">
        <v>=nabla.d.PeriodLabelλ(DATEVALUE("26/2/2025"), "Q")</v>
      </c>
    </row>
    <row r="22" spans="1:14" x14ac:dyDescent="0.25">
      <c r="A22" t="str">
        <v>2023</v>
      </c>
      <c r="B22" t="str">
        <v>=nabla.d.PeriodLabelλ(DATEVALUE("26/2/2025"), "Y")</v>
      </c>
    </row>
    <row r="25" spans="1:14" x14ac:dyDescent="0.25">
      <c r="A25" t="s">
        <v>149</v>
      </c>
      <c r="B25" t="s">
        <v>253</v>
      </c>
      <c r="C25" s="1" cm="1">
        <f t="array" ref="C25:N25">nabla.d.Timelineλ("1/1/2026", 12, _xlfn.SWITCH(B26, "I", "W", "S", "Q", B26))</f>
        <v>45292</v>
      </c>
      <c r="D25" s="1">
        <v>46388</v>
      </c>
      <c r="E25" s="1">
        <v>46753</v>
      </c>
      <c r="F25" s="1">
        <v>47119</v>
      </c>
      <c r="G25" s="1">
        <v>47484</v>
      </c>
      <c r="H25" s="1">
        <v>47849</v>
      </c>
      <c r="I25" s="1">
        <v>48214</v>
      </c>
      <c r="J25" s="1">
        <v>48580</v>
      </c>
      <c r="K25" s="1">
        <v>48945</v>
      </c>
      <c r="L25" s="1">
        <v>49310</v>
      </c>
      <c r="M25" s="1">
        <v>49675</v>
      </c>
      <c r="N25" s="1">
        <v>50041</v>
      </c>
    </row>
    <row r="26" spans="1:14" x14ac:dyDescent="0.25">
      <c r="A26" t="s">
        <v>252</v>
      </c>
      <c r="B26" s="232" t="s">
        <v>24</v>
      </c>
      <c r="C26" s="162" t="str" cm="1">
        <f t="array" ref="C26:N26">nabla.d.PeriodLabelλ(_xlfn.ANCHORARRAY(C25),B26)</f>
        <v>2024</v>
      </c>
      <c r="D26" t="str">
        <v>2025</v>
      </c>
      <c r="E26" t="str">
        <v>2026</v>
      </c>
      <c r="F26" t="str">
        <v>2027</v>
      </c>
      <c r="G26" t="str">
        <v>2028</v>
      </c>
      <c r="H26" t="str">
        <v>2029</v>
      </c>
      <c r="I26" t="str">
        <v>2030</v>
      </c>
      <c r="J26" t="str">
        <v>2031</v>
      </c>
      <c r="K26" t="str">
        <v>2032</v>
      </c>
      <c r="L26" t="str">
        <v>2033</v>
      </c>
      <c r="M26" t="str">
        <v>2034</v>
      </c>
      <c r="N26" t="str">
        <v>2035</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customProperties>
    <customPr name="Description" r:id="rId1"/>
  </customProperties>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1F4E79"/>
  </sheetPr>
  <dimension ref="A1:Q48"/>
  <sheetViews>
    <sheetView showGridLines="0" workbookViewId="0">
      <selection activeCell="A1" sqref="A1"/>
    </sheetView>
  </sheetViews>
  <sheetFormatPr defaultRowHeight="15" x14ac:dyDescent="0.25"/>
  <cols>
    <col min="1" max="1" width="15" bestFit="1" customWidth="1"/>
    <col min="2" max="2" width="14" customWidth="1"/>
    <col min="3" max="3" width="10" bestFit="1" customWidth="1"/>
    <col min="6" max="17" width="12.28515625" customWidth="1"/>
  </cols>
  <sheetData>
    <row r="1" spans="1:15" ht="45.75" x14ac:dyDescent="0.65">
      <c r="A1" s="270" t="str">
        <f>_xlfn.TEXTAFTER(CELL("filename",A1),"]")</f>
        <v>nabla.d.ScheduleRatesλ</v>
      </c>
      <c r="B1" s="270"/>
      <c r="C1" s="270"/>
      <c r="D1" s="270"/>
      <c r="E1" s="270"/>
      <c r="F1" s="270"/>
      <c r="G1" s="270"/>
      <c r="H1" s="270"/>
      <c r="I1" s="270"/>
      <c r="J1" s="270"/>
      <c r="K1" s="270"/>
      <c r="L1" s="270"/>
      <c r="M1" s="270"/>
      <c r="N1" s="112"/>
    </row>
    <row r="2" spans="1:15" x14ac:dyDescent="0.25">
      <c r="A2" s="273" t="s">
        <v>201</v>
      </c>
      <c r="B2" s="274"/>
      <c r="C2" s="274"/>
      <c r="D2" s="274"/>
      <c r="E2" s="274"/>
      <c r="F2" s="274"/>
      <c r="G2" s="274"/>
      <c r="H2" s="274"/>
      <c r="I2" s="274"/>
      <c r="J2" s="274"/>
      <c r="K2" s="274"/>
      <c r="L2" s="274"/>
      <c r="M2" s="274"/>
      <c r="N2" s="274"/>
      <c r="O2" s="274"/>
    </row>
    <row r="4" spans="1:15" x14ac:dyDescent="0.25">
      <c r="A4" s="131" t="str" cm="1">
        <f t="array" ref="A4:B14">nabla.d.ScheduleRatesλ()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https://github.com/ryanduguid/Nabla</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(nabla.d is assumed to be the module's name)</v>
      </c>
    </row>
    <row r="14" spans="1:15" x14ac:dyDescent="0.25">
      <c r="A14" t="str">
        <v>_,10,20,30,30</v>
      </c>
      <c r="B14" t="str">
        <v>=nabla.d.ScheduleRatesλ(Timelineλ("1/1/2025",5,"W"),{45662; 45670; 45676}, {10; 20; 30})</v>
      </c>
    </row>
    <row r="18" spans="1:17" x14ac:dyDescent="0.25">
      <c r="E18" s="127" t="s">
        <v>150</v>
      </c>
      <c r="F18" s="132" cm="1">
        <f t="array" ref="F18:Q18">nabla.d.Timelineλ($B$21,$B$22,$B$23)</f>
        <v>45292</v>
      </c>
      <c r="G18" s="132">
        <v>46054</v>
      </c>
      <c r="H18" s="132">
        <v>46082</v>
      </c>
      <c r="I18" s="132">
        <v>46113</v>
      </c>
      <c r="J18" s="132">
        <v>46143</v>
      </c>
      <c r="K18" s="132">
        <v>46174</v>
      </c>
      <c r="L18" s="132">
        <v>46204</v>
      </c>
      <c r="M18" s="132">
        <v>46235</v>
      </c>
      <c r="N18" s="132">
        <v>46266</v>
      </c>
      <c r="O18" s="132">
        <v>46296</v>
      </c>
      <c r="P18" s="132">
        <v>46327</v>
      </c>
      <c r="Q18" s="132">
        <v>46357</v>
      </c>
    </row>
    <row r="19" spans="1:17" x14ac:dyDescent="0.25">
      <c r="A19" s="115" t="s">
        <v>137</v>
      </c>
      <c r="B19" s="116" t="s">
        <v>138</v>
      </c>
      <c r="C19" s="115" t="s">
        <v>139</v>
      </c>
      <c r="E19" s="126" t="s">
        <v>151</v>
      </c>
      <c r="F19" s="1" cm="1">
        <f t="array" ref="F19:Q19">nabla.d.Timelineλ($B$21,$B$22,$B$23, FALSE)</f>
        <v>45322</v>
      </c>
      <c r="G19" s="1">
        <v>46081</v>
      </c>
      <c r="H19" s="1">
        <v>46112</v>
      </c>
      <c r="I19" s="1">
        <v>46142</v>
      </c>
      <c r="J19" s="1">
        <v>46173</v>
      </c>
      <c r="K19" s="1">
        <v>46203</v>
      </c>
      <c r="L19" s="1">
        <v>46234</v>
      </c>
      <c r="M19" s="1">
        <v>46265</v>
      </c>
      <c r="N19" s="1">
        <v>46295</v>
      </c>
      <c r="O19" s="1">
        <v>46326</v>
      </c>
      <c r="P19" s="1">
        <v>46356</v>
      </c>
      <c r="Q19" s="1">
        <v>46387</v>
      </c>
    </row>
    <row r="20" spans="1:17" ht="20.25" x14ac:dyDescent="0.3">
      <c r="A20" s="283" t="s">
        <v>181</v>
      </c>
      <c r="B20" s="283"/>
      <c r="C20" s="283"/>
    </row>
    <row r="21" spans="1:17" x14ac:dyDescent="0.25">
      <c r="A21" s="121" t="s">
        <v>150</v>
      </c>
      <c r="B21" s="119">
        <v>46023</v>
      </c>
      <c r="C21" t="s">
        <v>145</v>
      </c>
    </row>
    <row r="22" spans="1:17" x14ac:dyDescent="0.25">
      <c r="A22" s="121" t="s">
        <v>141</v>
      </c>
      <c r="B22" s="122">
        <v>12</v>
      </c>
      <c r="C22" t="s">
        <v>145</v>
      </c>
    </row>
    <row r="23" spans="1:17" x14ac:dyDescent="0.25">
      <c r="A23" s="121" t="s">
        <v>142</v>
      </c>
      <c r="B23" s="118" t="s">
        <v>144</v>
      </c>
      <c r="C23" t="s">
        <v>153</v>
      </c>
    </row>
    <row r="25" spans="1:17" ht="20.25" x14ac:dyDescent="0.3">
      <c r="A25" s="283" t="s">
        <v>156</v>
      </c>
      <c r="B25" s="283"/>
      <c r="C25" s="283"/>
    </row>
    <row r="26" spans="1:17" x14ac:dyDescent="0.25">
      <c r="A26" s="133" t="s">
        <v>157</v>
      </c>
      <c r="B26" s="119">
        <v>46023</v>
      </c>
      <c r="C26" t="s">
        <v>145</v>
      </c>
    </row>
    <row r="27" spans="1:17" x14ac:dyDescent="0.25">
      <c r="A27" s="133" t="s">
        <v>158</v>
      </c>
      <c r="B27" s="119">
        <v>46174</v>
      </c>
      <c r="C27" t="s">
        <v>145</v>
      </c>
    </row>
    <row r="28" spans="1:17" x14ac:dyDescent="0.25">
      <c r="A28" s="133" t="s">
        <v>159</v>
      </c>
      <c r="B28" s="124">
        <v>5</v>
      </c>
      <c r="C28" t="s">
        <v>161</v>
      </c>
    </row>
    <row r="29" spans="1:17" x14ac:dyDescent="0.25">
      <c r="A29" s="133" t="s">
        <v>160</v>
      </c>
      <c r="B29" s="124">
        <v>10</v>
      </c>
      <c r="C29" t="s">
        <v>161</v>
      </c>
      <c r="F29" s="131" cm="1">
        <f t="array" ref="F29:Q29">nabla.d.ScheduleRatesλ(_xlfn.ANCHORARRAY($F$19),$B$26:$B$27,$B$28:$B$29)</f>
        <v>5</v>
      </c>
      <c r="G29">
        <v>5</v>
      </c>
      <c r="H29">
        <v>5</v>
      </c>
      <c r="I29">
        <v>5</v>
      </c>
      <c r="J29">
        <v>5</v>
      </c>
      <c r="K29">
        <v>10</v>
      </c>
      <c r="L29">
        <v>10</v>
      </c>
      <c r="M29">
        <v>10</v>
      </c>
      <c r="N29">
        <v>10</v>
      </c>
      <c r="O29">
        <v>10</v>
      </c>
      <c r="P29">
        <v>10</v>
      </c>
      <c r="Q29">
        <v>10</v>
      </c>
    </row>
    <row r="33" spans="1:17" ht="20.25" x14ac:dyDescent="0.3">
      <c r="A33" s="283" t="s">
        <v>180</v>
      </c>
      <c r="B33" s="298"/>
      <c r="C33" s="117"/>
    </row>
    <row r="34" spans="1:17" x14ac:dyDescent="0.25">
      <c r="A34" s="280"/>
      <c r="B34" s="282"/>
    </row>
    <row r="35" spans="1:17" x14ac:dyDescent="0.25">
      <c r="A35" s="135" t="s">
        <v>162</v>
      </c>
      <c r="B35" s="125" t="s">
        <v>163</v>
      </c>
      <c r="F35" s="131" cm="1">
        <f t="array" ref="F35:Q35">nabla.d.ScheduleRatesλ(_xlfn.ANCHORARRAY(F19),tblRents[Rate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46023</v>
      </c>
      <c r="B36">
        <v>100</v>
      </c>
    </row>
    <row r="37" spans="1:17" x14ac:dyDescent="0.25">
      <c r="A37" s="120">
        <v>46096</v>
      </c>
      <c r="B37">
        <v>125</v>
      </c>
    </row>
    <row r="38" spans="1:17" x14ac:dyDescent="0.25">
      <c r="A38" s="120">
        <v>46188</v>
      </c>
      <c r="B38">
        <v>150</v>
      </c>
    </row>
    <row r="40" spans="1:17" ht="20.25" x14ac:dyDescent="0.3">
      <c r="A40" s="283" t="s">
        <v>179</v>
      </c>
      <c r="B40" s="297"/>
      <c r="C40" s="298"/>
    </row>
    <row r="41" spans="1:17" x14ac:dyDescent="0.25">
      <c r="A41" s="280"/>
      <c r="B41" s="281"/>
      <c r="C41" s="282"/>
    </row>
    <row r="42" spans="1:17" x14ac:dyDescent="0.25">
      <c r="A42" s="114" t="s">
        <v>164</v>
      </c>
      <c r="B42" s="114" t="s">
        <v>165</v>
      </c>
      <c r="C42" s="114" t="s">
        <v>166</v>
      </c>
      <c r="F42" s="131" cm="1">
        <f t="array" ref="F42:Q42">nabla.d.ScheduleRatesλ(_xlfn.ANCHORARRAY(F19),tblUnits[Ready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46023</v>
      </c>
      <c r="B43">
        <v>10</v>
      </c>
      <c r="C43">
        <f>SUMIFS(tblUnits[Units Built],tblUnits[Ready Dates],"&lt;=" &amp; tblUnits[[#This Row],[Ready Dates]])</f>
        <v>10</v>
      </c>
    </row>
    <row r="44" spans="1:17" x14ac:dyDescent="0.25">
      <c r="A44" s="120">
        <v>46054</v>
      </c>
      <c r="B44">
        <v>10</v>
      </c>
      <c r="C44">
        <f>SUMIFS(tblUnits[Units Built],tblUnits[Ready Dates],"&lt;=" &amp; tblUnits[[#This Row],[Ready Dates]])</f>
        <v>20</v>
      </c>
    </row>
    <row r="45" spans="1:17" x14ac:dyDescent="0.25">
      <c r="A45" s="120">
        <v>46113</v>
      </c>
      <c r="B45">
        <v>5</v>
      </c>
      <c r="C45">
        <f>SUMIFS(tblUnits[Units Built],tblUnits[Ready Dates],"&lt;=" &amp; tblUnits[[#This Row],[Ready Dates]])</f>
        <v>25</v>
      </c>
    </row>
    <row r="46" spans="1:17" x14ac:dyDescent="0.25">
      <c r="A46" s="120">
        <v>46143</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customProperties>
    <customPr name="Description" r:id="rId1"/>
  </customProperties>
  <drawing r:id="rId2"/>
  <tableParts count="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1F4E79"/>
  </sheetPr>
  <dimension ref="A1:T38"/>
  <sheetViews>
    <sheetView showGridLines="0" workbookViewId="0">
      <selection activeCell="A1" sqref="A1"/>
    </sheetView>
  </sheetViews>
  <sheetFormatPr defaultRowHeight="15" x14ac:dyDescent="0.25"/>
  <cols>
    <col min="1" max="1" width="12.7109375" bestFit="1" customWidth="1"/>
    <col min="2" max="2" width="10.5703125" bestFit="1" customWidth="1"/>
    <col min="5" max="5" width="11.28515625" bestFit="1" customWidth="1"/>
    <col min="9" max="20" width="12.28515625" customWidth="1"/>
  </cols>
  <sheetData>
    <row r="1" spans="1:16" ht="45.75" x14ac:dyDescent="0.65">
      <c r="A1" s="270" t="str">
        <f>_xlfn.TEXTAFTER(CELL("filename",A1),"]")</f>
        <v>nabla.d.ScheduleRatesByItemsλ</v>
      </c>
      <c r="B1" s="270"/>
      <c r="C1" s="270"/>
      <c r="D1" s="270"/>
      <c r="E1" s="270"/>
      <c r="F1" s="270"/>
      <c r="G1" s="270"/>
      <c r="H1" s="270"/>
      <c r="I1" s="270"/>
      <c r="J1" s="270"/>
      <c r="K1" s="270"/>
      <c r="L1" s="270"/>
      <c r="M1" s="270"/>
      <c r="N1" s="270"/>
      <c r="O1" s="270"/>
      <c r="P1" s="270"/>
    </row>
    <row r="2" spans="1:16" x14ac:dyDescent="0.25">
      <c r="A2" s="273" t="s">
        <v>202</v>
      </c>
      <c r="B2" s="287"/>
      <c r="C2" s="287"/>
      <c r="D2" s="287"/>
      <c r="E2" s="287"/>
      <c r="F2" s="287"/>
      <c r="G2" s="287"/>
      <c r="H2" s="287"/>
      <c r="I2" s="287"/>
      <c r="J2" s="287"/>
      <c r="K2" s="287"/>
      <c r="L2" s="287"/>
      <c r="M2" s="287"/>
      <c r="N2" s="287"/>
      <c r="O2" s="287"/>
      <c r="P2" s="288"/>
    </row>
    <row r="4" spans="1:16" x14ac:dyDescent="0.25">
      <c r="A4" s="162" t="str" cm="1">
        <f t="array" ref="A4:B20">nabla.d.ScheduleRatesByItemsλ()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https://github.com/ryanduguid/Nabla</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(nabla.d is assumed to be the module's name)</v>
      </c>
    </row>
    <row r="19" spans="1:20" x14ac:dyDescent="0.25">
      <c r="A19" t="str">
        <v/>
      </c>
      <c r="B19" t="str">
        <v>nabla.d.ScheduleRatesByItemsλ( Timelineλ( "1/1/2025"), UNIQUE( tblRates(Unit)),</v>
      </c>
    </row>
    <row r="20" spans="1:20" x14ac:dyDescent="0.25">
      <c r="A20" t="str">
        <v/>
      </c>
      <c r="B20" t="str">
        <v>tblRates[Unit], tblRates[Rent], tblRates[Effective])</v>
      </c>
    </row>
    <row r="22" spans="1:20" ht="20.25" x14ac:dyDescent="0.3">
      <c r="D22" s="299" t="s">
        <v>356</v>
      </c>
      <c r="E22" s="300"/>
      <c r="F22" s="300"/>
    </row>
    <row r="23" spans="1:20" x14ac:dyDescent="0.25">
      <c r="D23" s="301"/>
      <c r="E23" s="300"/>
      <c r="F23" s="300"/>
      <c r="I23" s="125" t="s">
        <v>254</v>
      </c>
    </row>
    <row r="24" spans="1:20" x14ac:dyDescent="0.25">
      <c r="A24" s="115" t="s">
        <v>6</v>
      </c>
      <c r="B24" s="115" t="s">
        <v>138</v>
      </c>
      <c r="D24" t="s">
        <v>255</v>
      </c>
      <c r="E24" s="114" t="s">
        <v>256</v>
      </c>
      <c r="F24" s="114" t="s">
        <v>257</v>
      </c>
      <c r="H24" s="115" t="s">
        <v>258</v>
      </c>
      <c r="I24" s="1" cm="1">
        <f t="array" ref="I24:T24">nabla.d.Timelineλ(B25, B27, B26, FALSE)</f>
        <v>44957</v>
      </c>
      <c r="J24" s="1">
        <v>45716</v>
      </c>
      <c r="K24" s="1">
        <v>45747</v>
      </c>
      <c r="L24" s="1">
        <v>45777</v>
      </c>
      <c r="M24" s="1">
        <v>45808</v>
      </c>
      <c r="N24" s="1">
        <v>45838</v>
      </c>
      <c r="O24" s="1">
        <v>45869</v>
      </c>
      <c r="P24" s="1">
        <v>45900</v>
      </c>
      <c r="Q24" s="1">
        <v>45930</v>
      </c>
      <c r="R24" s="1">
        <v>45961</v>
      </c>
      <c r="S24" s="1">
        <v>45991</v>
      </c>
      <c r="T24" s="1">
        <v>46022</v>
      </c>
    </row>
    <row r="25" spans="1:20" x14ac:dyDescent="0.25">
      <c r="A25" t="s">
        <v>236</v>
      </c>
      <c r="B25" s="163">
        <v>45658</v>
      </c>
      <c r="D25" t="s">
        <v>259</v>
      </c>
      <c r="E25" s="141">
        <v>45681</v>
      </c>
      <c r="F25">
        <v>291</v>
      </c>
      <c r="H25" t="str" cm="1">
        <f t="array" ref="H25:H29">_xlfn._xlws.SORT(_xlfn.UNIQUE(tblItems[Item]))</f>
        <v>Unit 100</v>
      </c>
      <c r="I25" s="162" cm="1">
        <f t="array" ref="I25:T29">nabla.d.ScheduleRatesByItemsλ(_xlfn.ANCHORARRAY(I24),_xlfn.ANCHORARRAY(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45685</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45689</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45750</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45809</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45809</v>
      </c>
      <c r="F30">
        <v>125</v>
      </c>
    </row>
    <row r="31" spans="1:20" x14ac:dyDescent="0.25">
      <c r="D31" t="s">
        <v>259</v>
      </c>
      <c r="E31" s="141">
        <v>45875</v>
      </c>
      <c r="F31">
        <v>295</v>
      </c>
    </row>
    <row r="32" spans="1:20" x14ac:dyDescent="0.25">
      <c r="D32" t="s">
        <v>262</v>
      </c>
      <c r="E32" s="141">
        <v>45880</v>
      </c>
      <c r="F32">
        <v>250</v>
      </c>
      <c r="J32">
        <f>SIGN(0)</f>
        <v>0</v>
      </c>
    </row>
    <row r="33" spans="4:6" x14ac:dyDescent="0.25">
      <c r="D33" t="s">
        <v>262</v>
      </c>
      <c r="E33" s="141">
        <v>45911</v>
      </c>
      <c r="F33">
        <v>275</v>
      </c>
    </row>
    <row r="34" spans="4:6" x14ac:dyDescent="0.25">
      <c r="D34" t="s">
        <v>260</v>
      </c>
      <c r="E34" s="141">
        <v>45935</v>
      </c>
      <c r="F34">
        <v>325</v>
      </c>
    </row>
    <row r="35" spans="4:6" x14ac:dyDescent="0.25">
      <c r="D35" t="s">
        <v>261</v>
      </c>
      <c r="E35" s="141">
        <v>45953</v>
      </c>
      <c r="F35">
        <v>535</v>
      </c>
    </row>
    <row r="36" spans="4:6" x14ac:dyDescent="0.25">
      <c r="D36" t="s">
        <v>262</v>
      </c>
      <c r="E36" s="141">
        <v>45955</v>
      </c>
      <c r="F36">
        <v>300</v>
      </c>
    </row>
    <row r="37" spans="4:6" x14ac:dyDescent="0.25">
      <c r="D37" t="s">
        <v>263</v>
      </c>
      <c r="E37" s="141">
        <v>45966</v>
      </c>
      <c r="F37">
        <v>150</v>
      </c>
    </row>
    <row r="38" spans="4:6" x14ac:dyDescent="0.25">
      <c r="D38" t="s">
        <v>259</v>
      </c>
      <c r="E38" s="141">
        <v>46115</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customProperties>
    <customPr name="Description" r:id="rId1"/>
  </customProperties>
  <drawing r:id="rId2"/>
  <tableParts count="1">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1F4E79"/>
  </sheetPr>
  <dimension ref="A1:X41"/>
  <sheetViews>
    <sheetView showGridLines="0" workbookViewId="0">
      <selection activeCell="A1" sqref="A1"/>
    </sheetView>
  </sheetViews>
  <sheetFormatPr defaultRowHeight="15" x14ac:dyDescent="0.25"/>
  <cols>
    <col min="1" max="1" width="12.85546875" bestFit="1" customWidth="1"/>
    <col min="2" max="2" width="10" bestFit="1" customWidth="1"/>
    <col min="5" max="5" width="5.28515625" bestFit="1" customWidth="1"/>
    <col min="6" max="6" width="6.28515625" bestFit="1" customWidth="1"/>
    <col min="7" max="8" width="11.85546875" bestFit="1" customWidth="1"/>
    <col min="9" max="9" width="7.85546875" bestFit="1" customWidth="1"/>
    <col min="10" max="10" width="7.28515625" customWidth="1"/>
    <col min="11" max="11" width="21.85546875" bestFit="1" customWidth="1"/>
    <col min="12" max="12" width="15.5703125" bestFit="1" customWidth="1"/>
    <col min="13" max="24" width="12.42578125" customWidth="1"/>
    <col min="25" max="26" width="12.28515625" customWidth="1"/>
  </cols>
  <sheetData>
    <row r="1" spans="1:20" ht="45.75" x14ac:dyDescent="0.65">
      <c r="A1" s="270" t="str">
        <f>_xlfn.TEXTAFTER(CELL("filename",A1),"]")</f>
        <v>nabla.d.ScheduleValuesλ</v>
      </c>
      <c r="B1" s="270"/>
      <c r="C1" s="270"/>
      <c r="D1" s="270"/>
      <c r="E1" s="270"/>
      <c r="F1" s="270"/>
      <c r="G1" s="270"/>
      <c r="H1" s="270"/>
      <c r="I1" s="270"/>
      <c r="J1" s="270"/>
      <c r="K1" s="270"/>
      <c r="L1" s="270"/>
      <c r="M1" s="270"/>
      <c r="N1" s="270"/>
      <c r="O1" s="270"/>
      <c r="P1" s="270"/>
      <c r="Q1" s="270"/>
      <c r="R1" s="270"/>
      <c r="S1" s="270"/>
      <c r="T1" s="270"/>
    </row>
    <row r="2" spans="1:20" x14ac:dyDescent="0.25">
      <c r="A2" s="273" t="s">
        <v>203</v>
      </c>
      <c r="B2" s="287"/>
      <c r="C2" s="287"/>
      <c r="D2" s="287"/>
      <c r="E2" s="287"/>
      <c r="F2" s="287"/>
      <c r="G2" s="287"/>
      <c r="H2" s="287"/>
      <c r="I2" s="287"/>
      <c r="J2" s="287"/>
      <c r="K2" s="287"/>
      <c r="L2" s="287"/>
      <c r="M2" s="287"/>
      <c r="N2" s="287"/>
      <c r="O2" s="287"/>
      <c r="P2" s="288"/>
      <c r="Q2" s="104"/>
      <c r="R2" s="104"/>
      <c r="S2" s="104"/>
      <c r="T2" s="104"/>
    </row>
    <row r="4" spans="1:20" x14ac:dyDescent="0.25">
      <c r="A4" s="162" t="str" cm="1">
        <f t="array" ref="A4:B14">nabla.d.ScheduleValuesλ()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https://github.com/ryanduguid/Nabla</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(nabla.d is assumed to be the module's name)</v>
      </c>
    </row>
    <row r="14" spans="1:20" x14ac:dyDescent="0.25">
      <c r="A14" t="str">
        <v/>
      </c>
      <c r="B14" t="str">
        <v>=nabla.d.ScheduleValuesλ(Timelineλ("1/1/2025"), Timelineλ("1/1/2025",,,FALSE), {1;3}, {"1/1/2025"; "15/2/2025"})</v>
      </c>
    </row>
    <row r="17" spans="1:24" ht="20.25" x14ac:dyDescent="0.3">
      <c r="A17" s="302" t="s">
        <v>272</v>
      </c>
      <c r="B17" s="302"/>
      <c r="C17" s="302"/>
      <c r="E17" s="299" t="s">
        <v>278</v>
      </c>
      <c r="F17" s="304"/>
      <c r="G17" s="304"/>
      <c r="H17" s="304"/>
      <c r="I17" s="305"/>
    </row>
    <row r="18" spans="1:24" x14ac:dyDescent="0.25">
      <c r="E18" s="301"/>
      <c r="F18" s="306"/>
      <c r="G18" s="306"/>
      <c r="H18" s="306"/>
      <c r="I18" s="306"/>
      <c r="L18" s="166" t="s">
        <v>279</v>
      </c>
      <c r="M18" s="165" cm="1">
        <f t="array" ref="M18:X18">nabla.d.Timelineλ(B20,B21,B22, FALSE)</f>
        <v>45322</v>
      </c>
      <c r="N18" s="165">
        <v>46081</v>
      </c>
      <c r="O18" s="165">
        <v>46112</v>
      </c>
      <c r="P18" s="165">
        <v>46142</v>
      </c>
      <c r="Q18" s="165">
        <v>46173</v>
      </c>
      <c r="R18" s="165">
        <v>46203</v>
      </c>
      <c r="S18" s="165">
        <v>46234</v>
      </c>
      <c r="T18" s="165">
        <v>46265</v>
      </c>
      <c r="U18" s="165">
        <v>46295</v>
      </c>
      <c r="V18" s="165">
        <v>46326</v>
      </c>
      <c r="W18" s="165">
        <v>46356</v>
      </c>
      <c r="X18" s="165">
        <v>46387</v>
      </c>
    </row>
    <row r="19" spans="1:24" x14ac:dyDescent="0.25">
      <c r="A19" s="161" t="s">
        <v>273</v>
      </c>
      <c r="B19" s="161" t="s">
        <v>138</v>
      </c>
      <c r="C19" s="161" t="s">
        <v>139</v>
      </c>
      <c r="E19" s="114" t="s">
        <v>280</v>
      </c>
      <c r="F19" t="s">
        <v>264</v>
      </c>
      <c r="G19" t="s">
        <v>269</v>
      </c>
      <c r="H19" t="s">
        <v>274</v>
      </c>
      <c r="I19" t="s">
        <v>249</v>
      </c>
      <c r="L19" s="149" t="s">
        <v>276</v>
      </c>
      <c r="M19" s="156" cm="1">
        <f t="array" ref="M19:X19">nabla.d.Timelineλ(B20,B21,B22)</f>
        <v>45292</v>
      </c>
      <c r="N19" s="1">
        <v>46054</v>
      </c>
      <c r="O19" s="1">
        <v>46082</v>
      </c>
      <c r="P19" s="1">
        <v>46113</v>
      </c>
      <c r="Q19" s="1">
        <v>46143</v>
      </c>
      <c r="R19" s="1">
        <v>46174</v>
      </c>
      <c r="S19" s="1">
        <v>46204</v>
      </c>
      <c r="T19" s="1">
        <v>46235</v>
      </c>
      <c r="U19" s="1">
        <v>46266</v>
      </c>
      <c r="V19" s="1">
        <v>46296</v>
      </c>
      <c r="W19" s="1">
        <v>46327</v>
      </c>
      <c r="X19" s="1">
        <v>46357</v>
      </c>
    </row>
    <row r="20" spans="1:24" x14ac:dyDescent="0.25">
      <c r="A20" t="s">
        <v>236</v>
      </c>
      <c r="B20" s="141">
        <v>46023</v>
      </c>
      <c r="C20" t="s">
        <v>145</v>
      </c>
      <c r="E20" cm="1">
        <f t="array" ref="E20">100 + ROW() - ROW(tblCO[#Headers])</f>
        <v>101</v>
      </c>
      <c r="F20" t="inlineStr">
        <is>
          <t>ACME</t>
        </is>
      </c>
      <c r="G20" s="141">
        <v>46026</v>
      </c>
      <c r="H20" s="141">
        <f>tblCO[[#This Row],[Issued]]+_xlfn.XLOOKUP(tblCO[[#This Row],[Customer]],tblCT[Customer], tblCT[Terms])</f>
        <v>45339</v>
      </c>
      <c r="I20">
        <v>1000</v>
      </c>
      <c r="K20" s="2" t="s">
        <v>275</v>
      </c>
      <c r="L20">
        <f>SUM(_xlfn.ANCHORARRAY(M20))</f>
        <v>53360</v>
      </c>
      <c r="M20" s="162" cm="1">
        <f t="array" ref="M20:X20">nabla.d.ScheduleValuesλ(_xlfn.ANCHORARRAY( $M$19),_xlfn.ANCHORARRAY( $M$18), tblCO[Amount], tblCO[Issued])</f>
        <v>53360</v>
      </c>
      <c r="N20">
        <f/>
        <v>0</v>
      </c>
      <c r="O20">
        <f/>
        <v>0</v>
      </c>
      <c r="P20">
        <f/>
        <v>0</v>
      </c>
      <c r="Q20">
        <f/>
        <v>0</v>
      </c>
      <c r="R20">
        <f/>
        <v>0</v>
      </c>
      <c r="S20">
        <f/>
        <v>0</v>
      </c>
      <c r="T20">
        <f/>
        <v>0</v>
      </c>
      <c r="U20">
        <f/>
        <v>0</v>
      </c>
      <c r="V20">
        <f/>
        <v>0</v>
      </c>
      <c r="W20">
        <f/>
        <v>0</v>
      </c>
      <c r="X20">
        <f/>
        <v>0</v>
      </c>
    </row>
    <row r="21" spans="1:24" x14ac:dyDescent="0.25">
      <c r="A21" t="s">
        <v>141</v>
      </c>
      <c r="B21">
        <v>12</v>
      </c>
      <c r="C21" t="s">
        <v>146</v>
      </c>
      <c r="E21" cm="1">
        <f t="array" ref="E21">100 + ROW() - ROW(tblCO[#Headers])</f>
        <v>102</v>
      </c>
      <c r="F21" t="inlineStr">
        <is>
          <t>Wool*Art</t>
        </is>
      </c>
      <c r="G21" s="141">
        <v>46033</v>
      </c>
      <c r="H21" s="141">
        <f>tblCO[[#This Row],[Issued]]+_xlfn.XLOOKUP(tblCO[[#This Row],[Customer]],tblCT[Customer], tblCT[Terms])</f>
        <v>45355</v>
      </c>
      <c r="I21">
        <v>1197</v>
      </c>
      <c r="K21" s="2" t="s">
        <v>277</v>
      </c>
      <c r="L21">
        <f>SUM(_xlfn.ANCHORARRAY(M21))</f>
        <v>53360</v>
      </c>
      <c r="M21" s="162" cm="1">
        <f t="array" ref="M21:X21">nabla.d.ScheduleValuesλ(_xlfn.ANCHORARRAY( $M$19),_xlfn.ANCHORARRAY( $M$18), tblCO[Amount], tblCO[Exp. Receipt])</f>
        <v>4354</v>
      </c>
      <c r="N21">
        <f/>
        <v>29624</v>
      </c>
      <c r="O21">
        <f/>
        <v>9256</v>
      </c>
      <c r="P21">
        <f/>
        <v>0</v>
      </c>
      <c r="Q21">
        <f/>
        <v>10126</v>
      </c>
      <c r="R21">
        <f/>
        <v>0</v>
      </c>
      <c r="S21">
        <f/>
        <v>0</v>
      </c>
      <c r="T21">
        <f/>
        <v>0</v>
      </c>
      <c r="U21">
        <f/>
        <v>0</v>
      </c>
      <c r="V21">
        <f/>
        <v>0</v>
      </c>
      <c r="W21">
        <f/>
        <v>0</v>
      </c>
      <c r="X21">
        <f/>
        <v>0</v>
      </c>
    </row>
    <row r="22" spans="1:24" x14ac:dyDescent="0.25">
      <c r="A22" t="s">
        <v>142</v>
      </c>
      <c r="B22" t="s">
        <v>144</v>
      </c>
      <c r="E22" cm="1">
        <f t="array" ref="E22">100 + ROW() - ROW(tblCO[#Headers])</f>
        <v>103</v>
      </c>
      <c r="F22" t="inlineStr">
        <is>
          <t>Town Hall</t>
        </is>
      </c>
      <c r="G22" s="141">
        <v>46040</v>
      </c>
      <c r="H22" s="141">
        <f>tblCO[[#This Row],[Issued]]+_xlfn.XLOOKUP(tblCO[[#This Row],[Customer]],tblCT[Customer], tblCT[Terms])</f>
        <v>45342</v>
      </c>
      <c r="I22">
        <v>1394</v>
      </c>
      <c r="K22" s="2" t="s">
        <v>282</v>
      </c>
      <c r="L22">
        <f>SUM(_xlfn.ANCHORARRAY(M22))</f>
        <v>0</v>
      </c>
      <c r="M22" s="167" cm="1">
        <f t="array" ref="M22:X22">_xlfn.ANCHORARRAY(M20)-_xlfn.ANCHORARRAY(M21)</f>
        <v>49006</v>
      </c>
      <c r="N22" s="167">
        <f/>
        <v>-29624</v>
      </c>
      <c r="O22" s="167">
        <f/>
        <v>-9256</v>
      </c>
      <c r="P22" s="167">
        <f/>
        <v>0</v>
      </c>
      <c r="Q22" s="167">
        <f/>
        <v>-10126</v>
      </c>
      <c r="R22" s="167">
        <f/>
        <v>0</v>
      </c>
      <c r="S22" s="167">
        <f/>
        <v>0</v>
      </c>
      <c r="T22" s="167">
        <f/>
        <v>0</v>
      </c>
      <c r="U22" s="167">
        <f/>
        <v>0</v>
      </c>
      <c r="V22" s="167">
        <f/>
        <v>0</v>
      </c>
      <c r="W22" s="167">
        <f/>
        <v>0</v>
      </c>
      <c r="X22" s="167">
        <f/>
        <v>0</v>
      </c>
    </row>
    <row r="23" spans="1:24" x14ac:dyDescent="0.25">
      <c r="E23" cm="1">
        <f t="array" ref="E23">100 + ROW() - ROW(tblCO[#Headers])</f>
        <v>104</v>
      </c>
      <c r="F23" t="inlineStr">
        <is>
          <t>Jacqie Penee</t>
        </is>
      </c>
      <c r="G23" s="141">
        <v>46047</v>
      </c>
      <c r="H23" s="141">
        <f>tblCO[[#This Row],[Issued]]+_xlfn.XLOOKUP(tblCO[[#This Row],[Customer]],tblCT[Customer], tblCT[Terms])</f>
        <v>45323</v>
      </c>
      <c r="I23">
        <v>1591</v>
      </c>
      <c r="K23" s="2"/>
    </row>
    <row r="24" spans="1:24" x14ac:dyDescent="0.25">
      <c r="E24" cm="1">
        <f t="array" ref="E24">100 + ROW() - ROW(tblCO[#Headers])</f>
        <v>105</v>
      </c>
      <c r="F24" t="inlineStr">
        <is>
          <t>Amazonia</t>
        </is>
      </c>
      <c r="G24" s="141">
        <v>46054</v>
      </c>
      <c r="H24" s="141">
        <f>tblCO[[#This Row],[Issued]]+_xlfn.XLOOKUP(tblCO[[#This Row],[Customer]],tblCT[Customer], tblCT[Terms])</f>
        <v>45341</v>
      </c>
      <c r="I24">
        <v>1788</v>
      </c>
      <c r="K24" s="2" t="s">
        <v>281</v>
      </c>
      <c r="M24" cm="1">
        <f t="array" ref="M24:X24">nabla.f.Cumulativeλ(_xlfn.ANCHORARRAY(M22))</f>
        <v>49006</v>
      </c>
      <c r="N24">
        <f/>
        <v>19382</v>
      </c>
      <c r="O24">
        <f/>
        <v>10126</v>
      </c>
      <c r="P24">
        <f/>
        <v>10126</v>
      </c>
      <c r="Q24">
        <f/>
        <v>0</v>
      </c>
      <c r="R24">
        <f/>
        <v>0</v>
      </c>
      <c r="S24">
        <f/>
        <v>0</v>
      </c>
      <c r="T24">
        <f/>
        <v>0</v>
      </c>
      <c r="U24">
        <f/>
        <v>0</v>
      </c>
      <c r="V24">
        <f/>
        <v>0</v>
      </c>
      <c r="W24">
        <f/>
        <v>0</v>
      </c>
      <c r="X24">
        <f/>
        <v>0</v>
      </c>
    </row>
    <row r="25" spans="1:24" ht="20.25" x14ac:dyDescent="0.3">
      <c r="A25" s="299" t="s">
        <v>270</v>
      </c>
      <c r="B25" s="303"/>
      <c r="C25" s="303"/>
      <c r="E25" cm="1">
        <f t="array" ref="E25">100 + ROW() - ROW(tblCO[#Headers])</f>
        <v>106</v>
      </c>
      <c r="F25" t="inlineStr">
        <is>
          <t>ACME</t>
        </is>
      </c>
      <c r="G25" s="141">
        <v>46061</v>
      </c>
      <c r="H25" s="141">
        <f>tblCO[[#This Row],[Issued]]+_xlfn.XLOOKUP(tblCO[[#This Row],[Customer]],tblCT[Customer], tblCT[Terms])</f>
        <v>45337</v>
      </c>
      <c r="I25">
        <v>1985</v>
      </c>
    </row>
    <row r="26" spans="1:24" x14ac:dyDescent="0.25">
      <c r="A26" s="301"/>
      <c r="B26" s="300"/>
      <c r="C26" s="300"/>
      <c r="E26" cm="1">
        <f t="array" ref="E26">100 + ROW() - ROW(tblCO[#Headers])</f>
        <v>107</v>
      </c>
      <c r="F26" t="inlineStr">
        <is>
          <t>Wool*Art</t>
        </is>
      </c>
      <c r="G26" s="141">
        <v>46068</v>
      </c>
      <c r="H26" s="141">
        <f>tblCO[[#This Row],[Issued]]+_xlfn.XLOOKUP(tblCO[[#This Row],[Customer]],tblCT[Customer], tblCT[Terms])</f>
        <v>45415</v>
      </c>
      <c r="I26">
        <v>2182</v>
      </c>
    </row>
    <row r="27" spans="1:24" x14ac:dyDescent="0.25">
      <c r="A27" s="114" t="s">
        <v>271</v>
      </c>
      <c r="B27" t="s">
        <v>264</v>
      </c>
      <c r="C27" s="114" t="s">
        <v>265</v>
      </c>
      <c r="E27" cm="1">
        <f t="array" ref="E27">100 + ROW() - ROW(tblCO[#Headers])</f>
        <v>108</v>
      </c>
      <c r="F27" t="inlineStr">
        <is>
          <t>Town Hall</t>
        </is>
      </c>
      <c r="G27" s="141">
        <v>46075</v>
      </c>
      <c r="H27" s="141">
        <f>tblCO[[#This Row],[Issued]]+_xlfn.XLOOKUP(tblCO[[#This Row],[Customer]],tblCT[Customer], tblCT[Terms])</f>
        <v>45311</v>
      </c>
      <c r="I27">
        <v>2379</v>
      </c>
      <c r="M27" cm="1">
        <f t="array" ref="M27:X30">nabla.f.Corkscrewλ(0,-_xlfn.ANCHORARRAY(M20),_xlfn.ANCHORARRAY(M21))</f>
        <v>0</v>
      </c>
      <c r="N27">
        <f/>
        <v>-49006</v>
      </c>
      <c r="O27">
        <f/>
        <v>-19382</v>
      </c>
      <c r="P27">
        <f/>
        <v>-10126</v>
      </c>
      <c r="Q27">
        <f/>
        <v>-10126</v>
      </c>
      <c r="R27">
        <f/>
        <v>0</v>
      </c>
      <c r="S27">
        <f/>
        <v>0</v>
      </c>
      <c r="T27">
        <f/>
        <v>0</v>
      </c>
      <c r="U27">
        <f/>
        <v>0</v>
      </c>
      <c r="V27">
        <f/>
        <v>0</v>
      </c>
      <c r="W27">
        <f/>
        <v>0</v>
      </c>
      <c r="X27">
        <f/>
        <v>0</v>
      </c>
    </row>
    <row r="28" spans="1:24" x14ac:dyDescent="0.25">
      <c r="A28" cm="1">
        <f t="array" ref="A28">ROW()-ROW(tblCT[#Headers])</f>
        <v>1</v>
      </c>
      <c r="B28" t="s">
        <v>266</v>
      </c>
      <c r="C28">
        <v>30</v>
      </c>
      <c r="E28" cm="1">
        <f t="array" ref="E28">100 + ROW() - ROW(tblCO[#Headers])</f>
        <v>109</v>
      </c>
      <c r="F28" t="inlineStr">
        <is>
          <t>Jacqie Penee</t>
        </is>
      </c>
      <c r="G28" s="141">
        <v>46082</v>
      </c>
      <c r="H28" s="141">
        <f>tblCO[[#This Row],[Issued]]+_xlfn.XLOOKUP(tblCO[[#This Row],[Customer]],tblCT[Customer], tblCT[Terms])</f>
        <v>45342</v>
      </c>
      <c r="I28">
        <v>2576</v>
      </c>
      <c r="M28">
        <f/>
        <v>-53360</v>
      </c>
      <c r="N28">
        <f/>
        <v>0</v>
      </c>
      <c r="O28">
        <f/>
        <v>0</v>
      </c>
      <c r="P28">
        <f/>
        <v>0</v>
      </c>
      <c r="Q28">
        <f/>
        <v>0</v>
      </c>
      <c r="R28">
        <f/>
        <v>0</v>
      </c>
      <c r="S28">
        <f/>
        <v>0</v>
      </c>
      <c r="T28">
        <f/>
        <v>0</v>
      </c>
      <c r="U28">
        <f/>
        <v>0</v>
      </c>
      <c r="V28">
        <f/>
        <v>0</v>
      </c>
      <c r="W28">
        <f/>
        <v>0</v>
      </c>
      <c r="X28">
        <f/>
        <v>0</v>
      </c>
    </row>
    <row r="29" spans="1:24" x14ac:dyDescent="0.25">
      <c r="A29" cm="1">
        <f t="array" ref="A29">ROW()-ROW(tblCT[#Headers])</f>
        <v>2</v>
      </c>
      <c r="B29" t="s">
        <v>267</v>
      </c>
      <c r="C29">
        <v>120</v>
      </c>
      <c r="E29" cm="1">
        <f t="array" ref="E29">100 + ROW() - ROW(tblCO[#Headers])</f>
        <v>110</v>
      </c>
      <c r="F29" t="inlineStr">
        <is>
          <t>Amazonia</t>
        </is>
      </c>
      <c r="G29" s="141">
        <v>46089</v>
      </c>
      <c r="H29" s="141">
        <f>tblCO[[#This Row],[Issued]]+_xlfn.XLOOKUP(tblCO[[#This Row],[Customer]],tblCT[Customer], tblCT[Terms])</f>
        <v>45341</v>
      </c>
      <c r="I29">
        <v>2773</v>
      </c>
      <c r="M29">
        <f/>
        <v>4354</v>
      </c>
      <c r="N29">
        <f/>
        <v>29624</v>
      </c>
      <c r="O29">
        <f/>
        <v>9256</v>
      </c>
      <c r="P29">
        <f/>
        <v>0</v>
      </c>
      <c r="Q29">
        <f/>
        <v>10126</v>
      </c>
      <c r="R29">
        <f/>
        <v>0</v>
      </c>
      <c r="S29">
        <f/>
        <v>0</v>
      </c>
      <c r="T29">
        <f/>
        <v>0</v>
      </c>
      <c r="U29">
        <f/>
        <v>0</v>
      </c>
      <c r="V29">
        <f/>
        <v>0</v>
      </c>
      <c r="W29">
        <f/>
        <v>0</v>
      </c>
      <c r="X29">
        <f/>
        <v>0</v>
      </c>
    </row>
    <row r="30" spans="1:24" x14ac:dyDescent="0.25">
      <c r="A30" cm="1">
        <f t="array" ref="A30">ROW()-ROW(tblCT[#Headers])</f>
        <v>3</v>
      </c>
      <c r="B30" t="s">
        <v>268</v>
      </c>
      <c r="C30">
        <v>45</v>
      </c>
      <c r="E30" cm="1">
        <f t="array" ref="E30">100 + ROW() - ROW(tblCO[#Headers])</f>
        <v>111</v>
      </c>
      <c r="F30" t="inlineStr">
        <is>
          <t>ACME</t>
        </is>
      </c>
      <c r="G30" s="141">
        <v>46096</v>
      </c>
      <c r="H30" s="141">
        <f>tblCO[[#This Row],[Issued]]+_xlfn.XLOOKUP(tblCO[[#This Row],[Customer]],tblCT[Customer], tblCT[Terms])</f>
        <v>45414</v>
      </c>
      <c r="I30">
        <v>2970</v>
      </c>
      <c r="M30">
        <f/>
        <v>-49006</v>
      </c>
      <c r="N30">
        <f/>
        <v>-19382</v>
      </c>
      <c r="O30">
        <f/>
        <v>-10126</v>
      </c>
      <c r="P30">
        <f/>
        <v>-10126</v>
      </c>
      <c r="Q30">
        <f/>
        <v>0</v>
      </c>
      <c r="R30">
        <f/>
        <v>0</v>
      </c>
      <c r="S30">
        <f/>
        <v>0</v>
      </c>
      <c r="T30">
        <f/>
        <v>0</v>
      </c>
      <c r="U30">
        <f/>
        <v>0</v>
      </c>
      <c r="V30">
        <f/>
        <v>0</v>
      </c>
      <c r="W30">
        <f/>
        <v>0</v>
      </c>
      <c r="X30">
        <f/>
        <v>0</v>
      </c>
    </row>
    <row r="31" spans="1:24" x14ac:dyDescent="0.25">
      <c r="A31" cm="1">
        <f t="array" ref="A31">ROW()-ROW(tblCT[#Headers])</f>
        <v>4</v>
      </c>
      <c r="B31" t="s">
        <v>318</v>
      </c>
      <c r="C31">
        <v>60</v>
      </c>
      <c r="E31" cm="1">
        <f t="array" ref="E31">100 + ROW() - ROW(tblCO[#Headers])</f>
        <v>112</v>
      </c>
      <c r="F31" t="inlineStr">
        <is>
          <t>Wool*Art</t>
        </is>
      </c>
      <c r="G31" s="141">
        <v>46103</v>
      </c>
      <c r="H31" s="141">
        <f>tblCO[[#This Row],[Issued]]+_xlfn.XLOOKUP(tblCO[[#This Row],[Customer]],tblCT[Customer], tblCT[Terms])</f>
        <v>45340</v>
      </c>
      <c r="I31">
        <v>3167</v>
      </c>
    </row>
    <row r="32" spans="1:24" x14ac:dyDescent="0.25">
      <c r="A32" cm="1">
        <f t="array" ref="A32">ROW()-ROW(tblCT[#Headers])</f>
        <v>5</v>
      </c>
      <c r="B32" t="s">
        <v>319</v>
      </c>
      <c r="C32">
        <v>15</v>
      </c>
      <c r="E32" cm="1">
        <f t="array" ref="E32">100 + ROW() - ROW(tblCO[#Headers])</f>
        <v>113</v>
      </c>
      <c r="F32" t="inlineStr">
        <is>
          <t>Town Hall</t>
        </is>
      </c>
      <c r="G32" s="141">
        <v>46110</v>
      </c>
      <c r="H32" s="141">
        <f>tblCO[[#This Row],[Issued]]+_xlfn.XLOOKUP(tblCO[[#This Row],[Customer]],tblCT[Customer], tblCT[Terms])</f>
        <v>45324</v>
      </c>
      <c r="I32">
        <v>3364</v>
      </c>
    </row>
    <row r="33" spans="5:9" x14ac:dyDescent="0.25">
      <c r="E33" cm="1">
        <f t="array" ref="E33">100 + ROW() - ROW(tblCO[#Headers])</f>
        <v>114</v>
      </c>
      <c r="F33" t="inlineStr">
        <is>
          <t>Jacqie Penee</t>
        </is>
      </c>
      <c r="G33" s="141">
        <v>46117</v>
      </c>
      <c r="H33" s="141">
        <f>tblCO[[#This Row],[Issued]]+_xlfn.XLOOKUP(tblCO[[#This Row],[Customer]],tblCT[Customer], tblCT[Terms])</f>
        <v>45352</v>
      </c>
      <c r="I33">
        <v>3561</v>
      </c>
    </row>
    <row r="34" spans="5:9" x14ac:dyDescent="0.25">
      <c r="E34" cm="1">
        <f t="array" ref="E34">100 + ROW() - ROW(tblCO[#Headers])</f>
        <v>115</v>
      </c>
      <c r="F34" t="inlineStr">
        <is>
          <t>Amazonia</t>
        </is>
      </c>
      <c r="G34" s="141">
        <v>46124</v>
      </c>
      <c r="H34" s="141">
        <f>tblCO[[#This Row],[Issued]]+_xlfn.XLOOKUP(tblCO[[#This Row],[Customer]],tblCT[Customer], tblCT[Terms])</f>
        <v>45309</v>
      </c>
      <c r="I34">
        <v>3758</v>
      </c>
    </row>
    <row r="35" spans="5:9" x14ac:dyDescent="0.25">
      <c r="E35" cm="1">
        <f t="array" ref="E35">100 + ROW() - ROW(tblCO[#Headers])</f>
        <v>116</v>
      </c>
      <c r="F35" t="inlineStr">
        <is>
          <t>ACME</t>
        </is>
      </c>
      <c r="G35" s="141">
        <v>46131</v>
      </c>
      <c r="H35" s="141">
        <f>tblCO[[#This Row],[Issued]]+_xlfn.XLOOKUP(tblCO[[#This Row],[Customer]],tblCT[Customer], tblCT[Terms])</f>
        <v>45353</v>
      </c>
      <c r="I35">
        <v>3955</v>
      </c>
    </row>
    <row r="36" spans="5:9" x14ac:dyDescent="0.25">
      <c r="E36" cm="1">
        <f t="array" ref="E36">100 + ROW() - ROW(tblCO[#Headers])</f>
        <v>117</v>
      </c>
      <c r="F36" t="inlineStr">
        <is>
          <t>Wool*Art</t>
        </is>
      </c>
      <c r="G36" s="141">
        <v>46138</v>
      </c>
      <c r="H36" s="141">
        <f>tblCO[[#This Row],[Issued]]+_xlfn.XLOOKUP(tblCO[[#This Row],[Customer]],tblCT[Customer], tblCT[Terms])</f>
        <v>45342</v>
      </c>
      <c r="I36">
        <v>4152</v>
      </c>
    </row>
    <row r="37" spans="5:9" x14ac:dyDescent="0.25">
      <c r="E37" cm="1">
        <f t="array" ref="E37">100 + ROW() - ROW(tblCO[#Headers])</f>
        <v>118</v>
      </c>
      <c r="F37" t="inlineStr">
        <is>
          <t>Town Hall</t>
        </is>
      </c>
      <c r="G37" s="141">
        <v>46145</v>
      </c>
      <c r="H37" s="141">
        <f>tblCO[[#This Row],[Issued]]+_xlfn.XLOOKUP(tblCO[[#This Row],[Customer]],tblCT[Customer], tblCT[Terms])</f>
        <v>45327</v>
      </c>
      <c r="I37">
        <v>4349</v>
      </c>
    </row>
    <row r="38" spans="5:9" x14ac:dyDescent="0.25">
      <c r="E38" cm="1">
        <f t="array" ref="E38">100 + ROW() - ROW(tblCO[#Headers])</f>
        <v>119</v>
      </c>
      <c r="F38" t="inlineStr">
        <is>
          <t>Jacqie Penee</t>
        </is>
      </c>
      <c r="G38" s="141">
        <v>46152</v>
      </c>
      <c r="H38" s="141">
        <f>tblCO[[#This Row],[Issued]]+_xlfn.XLOOKUP(tblCO[[#This Row],[Customer]],tblCT[Customer], tblCT[Terms])</f>
        <v>45356</v>
      </c>
      <c r="I38">
        <v>4546</v>
      </c>
    </row>
    <row r="39" spans="5:9" x14ac:dyDescent="0.25">
      <c r="E39" cm="1">
        <f t="array" ref="E39">100 + ROW() - ROW(tblCO[#Headers])</f>
        <v>120</v>
      </c>
      <c r="F39" t="inlineStr">
        <is>
          <t>Amazonia</t>
        </is>
      </c>
      <c r="G39" s="141">
        <v>46159</v>
      </c>
      <c r="H39" s="141">
        <f>tblCO[[#This Row],[Issued]]+_xlfn.XLOOKUP(tblCO[[#This Row],[Customer]],tblCT[Customer], tblCT[Terms])</f>
        <v>45341</v>
      </c>
      <c r="I39">
        <v>4743</v>
      </c>
    </row>
    <row r="40" spans="5:9" x14ac:dyDescent="0.25">
      <c r="E40" cm="1">
        <f t="array" ref="E40">100 + ROW() - ROW(tblCO[#Headers])</f>
        <v>121</v>
      </c>
      <c r="F40" t="inlineStr">
        <is>
          <t>ACME</t>
        </is>
      </c>
      <c r="G40" s="141">
        <v>46166</v>
      </c>
      <c r="H40" s="141">
        <f>tblCO[[#This Row],[Issued]]+_xlfn.XLOOKUP(tblCO[[#This Row],[Customer]],tblCT[Customer], tblCT[Terms])</f>
        <v>45414</v>
      </c>
      <c r="I40">
        <v>4940</v>
      </c>
    </row>
    <row r="41" spans="5:9" x14ac:dyDescent="0.25">
      <c r="E41" s="168" t="s">
        <v>63</v>
      </c>
      <c r="F41" s="168"/>
      <c r="G41" s="169"/>
      <c r="H41" s="169"/>
      <c r="I41">
        <f>SUBTOTAL(109,tblCO[Amount])</f>
        <v>53360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customProperties>
    <customPr name="Description" r:id="rId1"/>
  </customProperties>
  <drawing r:id="rId2"/>
  <tableParts count="2">
    <tablePart r:id="rId3"/>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1F4E79"/>
  </sheetPr>
  <dimension ref="A1:X46"/>
  <sheetViews>
    <sheetView showGridLines="0" workbookViewId="0">
      <selection activeCell="A1" sqref="A1"/>
    </sheetView>
  </sheetViews>
  <sheetFormatPr defaultRowHeight="15" x14ac:dyDescent="0.25"/>
  <cols>
    <col min="1" max="1" width="12.7109375" bestFit="1" customWidth="1"/>
    <col min="2" max="2" width="12.140625" customWidth="1"/>
    <col min="5" max="5" width="6" bestFit="1" customWidth="1"/>
    <col min="6" max="6" width="11.42578125" bestFit="1" customWidth="1"/>
    <col min="7" max="8" width="11.85546875" bestFit="1" customWidth="1"/>
    <col min="9" max="9" width="7.85546875" bestFit="1" customWidth="1"/>
    <col min="12" max="12" width="15.5703125" bestFit="1" customWidth="1"/>
    <col min="13" max="13" width="11.140625" bestFit="1" customWidth="1"/>
    <col min="14" max="14" width="11.28515625" bestFit="1" customWidth="1"/>
    <col min="15" max="15" width="11.7109375" bestFit="1" customWidth="1"/>
    <col min="16" max="16" width="11.28515625" bestFit="1" customWidth="1"/>
    <col min="17" max="17" width="12.140625" bestFit="1" customWidth="1"/>
    <col min="18" max="18" width="11.285156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7" ht="45.75" x14ac:dyDescent="0.65">
      <c r="A1" s="270" t="str">
        <f>_xlfn.TEXTAFTER(CELL("filename",A1),"]")</f>
        <v>nabla.d.ScheduleValuesByItemsλ</v>
      </c>
      <c r="B1" s="270"/>
      <c r="C1" s="270"/>
      <c r="D1" s="270"/>
      <c r="E1" s="270"/>
      <c r="F1" s="270"/>
      <c r="G1" s="270"/>
      <c r="H1" s="270"/>
      <c r="I1" s="270"/>
      <c r="J1" s="270"/>
      <c r="K1" s="270"/>
      <c r="L1" s="270"/>
      <c r="M1" s="270"/>
      <c r="N1" s="270"/>
      <c r="O1" s="270"/>
      <c r="P1" s="270"/>
      <c r="Q1" s="270"/>
    </row>
    <row r="2" spans="1:17" x14ac:dyDescent="0.25">
      <c r="A2" s="273" t="s">
        <v>204</v>
      </c>
      <c r="B2" s="287"/>
      <c r="C2" s="287"/>
      <c r="D2" s="287"/>
      <c r="E2" s="287"/>
      <c r="F2" s="287"/>
      <c r="G2" s="287"/>
      <c r="H2" s="287"/>
      <c r="I2" s="287"/>
      <c r="J2" s="287"/>
      <c r="K2" s="287"/>
      <c r="L2" s="287"/>
      <c r="M2" s="287"/>
      <c r="N2" s="287"/>
      <c r="O2" s="287"/>
      <c r="P2" s="287"/>
      <c r="Q2" s="288"/>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nabla.d.ScheduleValuesByItemsλ()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https://github.com/ryanduguid/Nabla</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(nabla.d is assumed to be the module's name)</v>
      </c>
    </row>
    <row r="18" spans="1:24" x14ac:dyDescent="0.25">
      <c r="A18" t="str">
        <v/>
      </c>
      <c r="B18" t="str">
        <v>nabla.d.ScheduleRatesByItemsλ( Timelineλ( "1/1/2025"), Timelineλ( "1/1/2025",,,FALSE),</v>
      </c>
    </row>
    <row r="19" spans="1:24" x14ac:dyDescent="0.25">
      <c r="A19" t="str">
        <v/>
      </c>
      <c r="B19" t="str">
        <v>UNIQUE( tblExp(Items)), tblExp[Items], tblExp[Dates], tblExp[Amount])</v>
      </c>
    </row>
    <row r="22" spans="1:24" ht="20.25" x14ac:dyDescent="0.3">
      <c r="A22" s="302" t="s">
        <v>272</v>
      </c>
      <c r="B22" s="302"/>
      <c r="C22" s="302"/>
      <c r="E22" s="289" t="s">
        <v>278</v>
      </c>
      <c r="F22" s="307"/>
      <c r="G22" s="307"/>
      <c r="H22" s="307"/>
      <c r="I22" s="290"/>
      <c r="L22" s="166" t="s">
        <v>279</v>
      </c>
      <c r="M22" s="170" cm="1">
        <f t="array" ref="M22:X22">nabla.d.Timelineλ($B$25, $B$26, $B$27, FALSE)</f>
        <v>45322</v>
      </c>
      <c r="N22" s="170">
        <v>46081</v>
      </c>
      <c r="O22" s="170">
        <v>46112</v>
      </c>
      <c r="P22" s="170">
        <v>46142</v>
      </c>
      <c r="Q22" s="170">
        <v>46173</v>
      </c>
      <c r="R22" s="170">
        <v>46203</v>
      </c>
      <c r="S22" s="170">
        <v>46234</v>
      </c>
      <c r="T22" s="170">
        <v>46265</v>
      </c>
      <c r="U22" s="170">
        <v>46295</v>
      </c>
      <c r="V22" s="170">
        <v>46326</v>
      </c>
      <c r="W22" s="170">
        <v>46356</v>
      </c>
      <c r="X22" s="170">
        <v>46387</v>
      </c>
    </row>
    <row r="23" spans="1:24" x14ac:dyDescent="0.25">
      <c r="K23" s="161" t="s">
        <v>264</v>
      </c>
      <c r="L23" s="149" t="s">
        <v>276</v>
      </c>
      <c r="M23" s="156" cm="1">
        <f t="array" ref="M23:X23">nabla.d.Timelineλ($B$25, $B$26, $B$27)</f>
        <v>45292</v>
      </c>
      <c r="N23" s="1">
        <v>46054</v>
      </c>
      <c r="O23" s="1">
        <v>46082</v>
      </c>
      <c r="P23" s="1">
        <v>46113</v>
      </c>
      <c r="Q23" s="1">
        <v>46143</v>
      </c>
      <c r="R23" s="1">
        <v>46174</v>
      </c>
      <c r="S23" s="1">
        <v>46204</v>
      </c>
      <c r="T23" s="1">
        <v>46235</v>
      </c>
      <c r="U23" s="1">
        <v>46266</v>
      </c>
      <c r="V23" s="1">
        <v>46296</v>
      </c>
      <c r="W23" s="1">
        <v>46327</v>
      </c>
      <c r="X23" s="1">
        <v>46357</v>
      </c>
    </row>
    <row r="24" spans="1:24" x14ac:dyDescent="0.25">
      <c r="A24" s="161" t="s">
        <v>273</v>
      </c>
      <c r="B24" s="161" t="s">
        <v>138</v>
      </c>
      <c r="C24" s="161" t="s">
        <v>139</v>
      </c>
      <c r="E24" s="160" t="str" cm="1">
        <f t="array" ref="E24:I46">tblCO[#All]</f>
        <v>Inv.#</v>
      </c>
      <c r="F24" s="160" t="str">
        <f/>
        <v>Customer</v>
      </c>
      <c r="G24" s="160" t="str">
        <f/>
        <v>Issued</v>
      </c>
      <c r="H24" s="160" t="str">
        <f/>
        <v>Exp. Receipt</v>
      </c>
      <c r="I24" s="160" t="str">
        <f/>
        <v>Amount</v>
      </c>
      <c r="L24" s="125" t="s">
        <v>275</v>
      </c>
    </row>
    <row r="25" spans="1:24" x14ac:dyDescent="0.25">
      <c r="A25" t="s">
        <v>236</v>
      </c>
      <c r="B25" s="141">
        <v>46023</v>
      </c>
      <c r="C25" t="s">
        <v>145</v>
      </c>
      <c r="E25">
        <f/>
        <v>101</v>
      </c>
      <c r="F25" t="str">
        <f/>
        <v>Town Hall</v>
      </c>
      <c r="G25" s="141">
        <f/>
        <v>45294</v>
      </c>
      <c r="H25" s="141">
        <f/>
        <v>45339</v>
      </c>
      <c r="I25">
        <f/>
        <v>1831</v>
      </c>
      <c r="K25" t="str" cm="1">
        <f t="array" ref="K25:K29">tblCT[Customer]</f>
        <v>ACME</v>
      </c>
      <c r="L25" cm="1">
        <f t="array" ref="L25:L29">nabla.e.SumRowsλ(_xlfn.ANCHORARRAY(M25))</f>
        <v>7202</v>
      </c>
      <c r="M25" s="162" cm="1">
        <f t="array" ref="M25:X29">nabla.d.ScheduleValuesByItemsλ(_xlfn.ANCHORARRAY( $M$23),_xlfn.ANCHORARRAY( $M$22),_xlfn.ANCHORARRAY( K25), tblCO[Customer], tblCO[Issued],tblCO[Amount])</f>
        <v>7202</v>
      </c>
      <c r="N25">
        <f/>
        <v>0</v>
      </c>
      <c r="O25">
        <f/>
        <v>0</v>
      </c>
      <c r="P25">
        <f/>
        <v>0</v>
      </c>
      <c r="Q25">
        <f/>
        <v>0</v>
      </c>
      <c r="R25">
        <f/>
        <v>0</v>
      </c>
      <c r="S25">
        <f/>
        <v>0</v>
      </c>
      <c r="T25">
        <f/>
        <v>0</v>
      </c>
      <c r="U25">
        <f/>
        <v>0</v>
      </c>
      <c r="V25">
        <f/>
        <v>0</v>
      </c>
      <c r="W25">
        <f/>
        <v>0</v>
      </c>
      <c r="X25">
        <f/>
        <v>0</v>
      </c>
    </row>
    <row r="26" spans="1:24" x14ac:dyDescent="0.25">
      <c r="A26" t="s">
        <v>141</v>
      </c>
      <c r="B26">
        <v>12</v>
      </c>
      <c r="C26" t="s">
        <v>146</v>
      </c>
      <c r="E26">
        <f/>
        <v>102</v>
      </c>
      <c r="F26" t="str">
        <f/>
        <v>Jacqie Penee</v>
      </c>
      <c r="G26" s="141">
        <f/>
        <v>45295</v>
      </c>
      <c r="H26" s="141">
        <f/>
        <v>45355</v>
      </c>
      <c r="I26">
        <f/>
        <v>1670</v>
      </c>
      <c r="K26" t="str">
        <v>Wool*Art</v>
      </c>
      <c r="L26">
        <f/>
        <v>10126</v>
      </c>
      <c r="M26">
        <f/>
        <v>10126</v>
      </c>
      <c r="N26">
        <f/>
        <v>0</v>
      </c>
      <c r="O26">
        <f/>
        <v>0</v>
      </c>
      <c r="P26">
        <f/>
        <v>0</v>
      </c>
      <c r="Q26">
        <f/>
        <v>0</v>
      </c>
      <c r="R26">
        <f/>
        <v>0</v>
      </c>
      <c r="S26">
        <f/>
        <v>0</v>
      </c>
      <c r="T26">
        <f/>
        <v>0</v>
      </c>
      <c r="U26">
        <f/>
        <v>0</v>
      </c>
      <c r="V26">
        <f/>
        <v>0</v>
      </c>
      <c r="W26">
        <f/>
        <v>0</v>
      </c>
      <c r="X26">
        <f/>
        <v>0</v>
      </c>
    </row>
    <row r="27" spans="1:24" x14ac:dyDescent="0.25">
      <c r="A27" t="s">
        <v>142</v>
      </c>
      <c r="B27" t="s">
        <v>144</v>
      </c>
      <c r="E27">
        <f/>
        <v>103</v>
      </c>
      <c r="F27" t="str">
        <f/>
        <v>Town Hall</v>
      </c>
      <c r="G27" s="141">
        <f/>
        <v>45297</v>
      </c>
      <c r="H27" s="141">
        <f/>
        <v>45342</v>
      </c>
      <c r="I27">
        <f/>
        <v>3386</v>
      </c>
      <c r="K27" t="str">
        <v>Town Hall</v>
      </c>
      <c r="L27">
        <f/>
        <v>22422</v>
      </c>
      <c r="M27">
        <f/>
        <v>22422</v>
      </c>
      <c r="N27">
        <f/>
        <v>0</v>
      </c>
      <c r="O27">
        <f/>
        <v>0</v>
      </c>
      <c r="P27">
        <f/>
        <v>0</v>
      </c>
      <c r="Q27">
        <f/>
        <v>0</v>
      </c>
      <c r="R27">
        <f/>
        <v>0</v>
      </c>
      <c r="S27">
        <f/>
        <v>0</v>
      </c>
      <c r="T27">
        <f/>
        <v>0</v>
      </c>
      <c r="U27">
        <f/>
        <v>0</v>
      </c>
      <c r="V27">
        <f/>
        <v>0</v>
      </c>
      <c r="W27">
        <f/>
        <v>0</v>
      </c>
      <c r="X27">
        <f/>
        <v>0</v>
      </c>
    </row>
    <row r="28" spans="1:24" x14ac:dyDescent="0.25">
      <c r="E28">
        <f/>
        <v>104</v>
      </c>
      <c r="F28" t="str">
        <f/>
        <v>ACME</v>
      </c>
      <c r="G28" s="141">
        <f/>
        <v>45293</v>
      </c>
      <c r="H28" s="141">
        <f/>
        <v>45323</v>
      </c>
      <c r="I28">
        <f/>
        <v>2735</v>
      </c>
      <c r="K28" t="str">
        <v>Jacqie Penee</v>
      </c>
      <c r="L28">
        <f/>
        <v>9256</v>
      </c>
      <c r="M28">
        <f/>
        <v>9256</v>
      </c>
      <c r="N28">
        <f/>
        <v>0</v>
      </c>
      <c r="O28">
        <f/>
        <v>0</v>
      </c>
      <c r="P28">
        <f/>
        <v>0</v>
      </c>
      <c r="Q28">
        <f/>
        <v>0</v>
      </c>
      <c r="R28">
        <f/>
        <v>0</v>
      </c>
      <c r="S28">
        <f/>
        <v>0</v>
      </c>
      <c r="T28">
        <f/>
        <v>0</v>
      </c>
      <c r="U28">
        <f/>
        <v>0</v>
      </c>
      <c r="V28">
        <f/>
        <v>0</v>
      </c>
      <c r="W28">
        <f/>
        <v>0</v>
      </c>
      <c r="X28">
        <f/>
        <v>0</v>
      </c>
    </row>
    <row r="29" spans="1:24" x14ac:dyDescent="0.25">
      <c r="E29">
        <f/>
        <v>105</v>
      </c>
      <c r="F29" t="str">
        <f/>
        <v>Town Hall</v>
      </c>
      <c r="G29" s="141">
        <f/>
        <v>45296</v>
      </c>
      <c r="H29" s="141">
        <f/>
        <v>45341</v>
      </c>
      <c r="I29">
        <f/>
        <v>3727</v>
      </c>
      <c r="K29" t="str">
        <v>Amazonia</v>
      </c>
      <c r="L29">
        <f/>
        <v>4354</v>
      </c>
      <c r="M29">
        <f/>
        <v>4354</v>
      </c>
      <c r="N29">
        <f/>
        <v>0</v>
      </c>
      <c r="O29">
        <f/>
        <v>0</v>
      </c>
      <c r="P29">
        <f/>
        <v>0</v>
      </c>
      <c r="Q29">
        <f/>
        <v>0</v>
      </c>
      <c r="R29">
        <f/>
        <v>0</v>
      </c>
      <c r="S29">
        <f/>
        <v>0</v>
      </c>
      <c r="T29">
        <f/>
        <v>0</v>
      </c>
      <c r="U29">
        <f/>
        <v>0</v>
      </c>
      <c r="V29">
        <f/>
        <v>0</v>
      </c>
      <c r="W29">
        <f/>
        <v>0</v>
      </c>
      <c r="X29">
        <f/>
        <v>0</v>
      </c>
    </row>
    <row r="30" spans="1:24" ht="20.25" x14ac:dyDescent="0.3">
      <c r="A30" s="271" t="s">
        <v>270</v>
      </c>
      <c r="B30" s="272"/>
      <c r="C30" s="272"/>
      <c r="E30">
        <f/>
        <v>106</v>
      </c>
      <c r="F30" t="str">
        <f/>
        <v>Town Hall</v>
      </c>
      <c r="G30" s="141">
        <f/>
        <v>45292</v>
      </c>
      <c r="H30" s="141">
        <f/>
        <v>45337</v>
      </c>
      <c r="I30">
        <f/>
        <v>2561</v>
      </c>
      <c r="K30" s="167" t="s">
        <v>283</v>
      </c>
      <c r="L30" s="167">
        <f>SUM(_xlfn.ANCHORARRAY(M30))</f>
        <v>53360</v>
      </c>
      <c r="M30" s="167" cm="1">
        <f t="array" ref="M30:X30">nabla.e.SumColsλ(_xlfn.ANCHORARRAY(M25))</f>
        <v>53360</v>
      </c>
      <c r="N30" s="167">
        <f/>
        <v>0</v>
      </c>
      <c r="O30" s="167">
        <f/>
        <v>0</v>
      </c>
      <c r="P30" s="167">
        <f/>
        <v>0</v>
      </c>
      <c r="Q30" s="167">
        <f/>
        <v>0</v>
      </c>
      <c r="R30" s="167">
        <f/>
        <v>0</v>
      </c>
      <c r="S30" s="167">
        <f/>
        <v>0</v>
      </c>
      <c r="T30" s="167">
        <f/>
        <v>0</v>
      </c>
      <c r="U30" s="167">
        <f/>
        <v>0</v>
      </c>
      <c r="V30" s="167">
        <f/>
        <v>0</v>
      </c>
      <c r="W30" s="167">
        <f/>
        <v>0</v>
      </c>
      <c r="X30" s="167">
        <f/>
        <v>0</v>
      </c>
    </row>
    <row r="31" spans="1:24" x14ac:dyDescent="0.25">
      <c r="E31">
        <f/>
        <v>107</v>
      </c>
      <c r="F31" t="str">
        <f/>
        <v>Wool*Art</v>
      </c>
      <c r="G31" s="141">
        <f/>
        <v>45295</v>
      </c>
      <c r="H31" s="141">
        <f/>
        <v>45415</v>
      </c>
      <c r="I31">
        <f/>
        <v>4149</v>
      </c>
    </row>
    <row r="32" spans="1:24" x14ac:dyDescent="0.25">
      <c r="A32" s="160" t="str" cm="1">
        <f t="array" ref="A32:C37">tblCT[#All]</f>
        <v>ID#</v>
      </c>
      <c r="B32" s="161" t="str">
        <v>Customer</v>
      </c>
      <c r="C32" s="160" t="str">
        <v>Terms</v>
      </c>
      <c r="E32">
        <f/>
        <v>108</v>
      </c>
      <c r="F32" t="str">
        <f/>
        <v>Amazonia</v>
      </c>
      <c r="G32" s="141">
        <f/>
        <v>45296</v>
      </c>
      <c r="H32" s="141">
        <f/>
        <v>45311</v>
      </c>
      <c r="I32">
        <f/>
        <v>2444</v>
      </c>
      <c r="L32" s="125" t="s">
        <v>284</v>
      </c>
    </row>
    <row r="33" spans="1:24" x14ac:dyDescent="0.25">
      <c r="A33">
        <v>1</v>
      </c>
      <c r="B33" t="str">
        <v>ACME</v>
      </c>
      <c r="C33">
        <v>30</v>
      </c>
      <c r="E33">
        <f/>
        <v>109</v>
      </c>
      <c r="F33" t="str">
        <f/>
        <v>Town Hall</v>
      </c>
      <c r="G33" s="141">
        <f/>
        <v>45297</v>
      </c>
      <c r="H33" s="141">
        <f/>
        <v>45342</v>
      </c>
      <c r="I33">
        <f/>
        <v>1309</v>
      </c>
      <c r="K33" t="str" cm="1">
        <f t="array" ref="K33:K37">tblCT[Customer]</f>
        <v>ACME</v>
      </c>
      <c r="L33" cm="1">
        <f t="array" ref="L33:L37">nabla.e.SumRowsλ(_xlfn.ANCHORARRAY(M33))</f>
        <v>7202</v>
      </c>
      <c r="M33" s="162" cm="1">
        <f t="array" ref="M33:X37">nabla.d.ScheduleValuesByItemsλ(_xlfn.ANCHORARRAY( $M$23),_xlfn.ANCHORARRAY( $M$22),_xlfn.ANCHORARRAY( K33), tblCO[Customer], tblCO[Exp. Receipt],tblCO[Amount])</f>
        <v>0</v>
      </c>
      <c r="N33">
        <f/>
        <v>7202</v>
      </c>
      <c r="O33">
        <f/>
        <v>0</v>
      </c>
      <c r="P33">
        <f/>
        <v>0</v>
      </c>
      <c r="Q33">
        <f/>
        <v>0</v>
      </c>
      <c r="R33">
        <f/>
        <v>0</v>
      </c>
      <c r="S33">
        <f/>
        <v>0</v>
      </c>
      <c r="T33">
        <f/>
        <v>0</v>
      </c>
      <c r="U33">
        <f/>
        <v>0</v>
      </c>
      <c r="V33">
        <f/>
        <v>0</v>
      </c>
      <c r="W33">
        <f/>
        <v>0</v>
      </c>
      <c r="X33">
        <f/>
        <v>0</v>
      </c>
    </row>
    <row r="34" spans="1:24" x14ac:dyDescent="0.25">
      <c r="A34">
        <v>2</v>
      </c>
      <c r="B34" t="str">
        <v>Wool*Art</v>
      </c>
      <c r="C34">
        <v>120</v>
      </c>
      <c r="E34">
        <f/>
        <v>110</v>
      </c>
      <c r="F34" t="str">
        <f/>
        <v>Town Hall</v>
      </c>
      <c r="G34" s="141">
        <f/>
        <v>45296</v>
      </c>
      <c r="H34" s="141">
        <f/>
        <v>45341</v>
      </c>
      <c r="I34">
        <f/>
        <v>1728</v>
      </c>
      <c r="K34" t="str">
        <v>Wool*Art</v>
      </c>
      <c r="L34">
        <f/>
        <v>10126</v>
      </c>
      <c r="M34">
        <f/>
        <v>0</v>
      </c>
      <c r="N34">
        <f/>
        <v>0</v>
      </c>
      <c r="O34">
        <f/>
        <v>0</v>
      </c>
      <c r="P34">
        <f/>
        <v>0</v>
      </c>
      <c r="Q34">
        <f/>
        <v>10126</v>
      </c>
      <c r="R34">
        <f/>
        <v>0</v>
      </c>
      <c r="S34">
        <f/>
        <v>0</v>
      </c>
      <c r="T34">
        <f/>
        <v>0</v>
      </c>
      <c r="U34">
        <f/>
        <v>0</v>
      </c>
      <c r="V34">
        <f/>
        <v>0</v>
      </c>
      <c r="W34">
        <f/>
        <v>0</v>
      </c>
      <c r="X34">
        <f/>
        <v>0</v>
      </c>
    </row>
    <row r="35" spans="1:24" x14ac:dyDescent="0.25">
      <c r="A35">
        <v>3</v>
      </c>
      <c r="B35" t="str">
        <v>Town Hall</v>
      </c>
      <c r="C35">
        <v>45</v>
      </c>
      <c r="E35">
        <f/>
        <v>111</v>
      </c>
      <c r="F35" t="str">
        <f/>
        <v>Wool*Art</v>
      </c>
      <c r="G35" s="141">
        <f/>
        <v>45294</v>
      </c>
      <c r="H35" s="141">
        <f/>
        <v>45414</v>
      </c>
      <c r="I35">
        <f/>
        <v>3738</v>
      </c>
      <c r="K35" t="str">
        <v>Town Hall</v>
      </c>
      <c r="L35">
        <f/>
        <v>22422</v>
      </c>
      <c r="M35">
        <f/>
        <v>0</v>
      </c>
      <c r="N35">
        <f/>
        <v>22422</v>
      </c>
      <c r="O35">
        <f/>
        <v>0</v>
      </c>
      <c r="P35">
        <f/>
        <v>0</v>
      </c>
      <c r="Q35">
        <f/>
        <v>0</v>
      </c>
      <c r="R35">
        <f/>
        <v>0</v>
      </c>
      <c r="S35">
        <f/>
        <v>0</v>
      </c>
      <c r="T35">
        <f/>
        <v>0</v>
      </c>
      <c r="U35">
        <f/>
        <v>0</v>
      </c>
      <c r="V35">
        <f/>
        <v>0</v>
      </c>
      <c r="W35">
        <f/>
        <v>0</v>
      </c>
      <c r="X35">
        <f/>
        <v>0</v>
      </c>
    </row>
    <row r="36" spans="1:24" x14ac:dyDescent="0.25">
      <c r="A36">
        <v>4</v>
      </c>
      <c r="B36" t="str">
        <v>Jacqie Penee</v>
      </c>
      <c r="C36">
        <v>60</v>
      </c>
      <c r="E36">
        <f/>
        <v>112</v>
      </c>
      <c r="F36" t="str">
        <f/>
        <v>Town Hall</v>
      </c>
      <c r="G36" s="141">
        <f/>
        <v>45295</v>
      </c>
      <c r="H36" s="141">
        <f/>
        <v>45340</v>
      </c>
      <c r="I36">
        <f/>
        <v>3870</v>
      </c>
      <c r="K36" t="str">
        <v>Jacqie Penee</v>
      </c>
      <c r="L36">
        <f/>
        <v>9256</v>
      </c>
      <c r="M36">
        <f/>
        <v>0</v>
      </c>
      <c r="N36">
        <f/>
        <v>0</v>
      </c>
      <c r="O36">
        <f/>
        <v>9256</v>
      </c>
      <c r="P36">
        <f/>
        <v>0</v>
      </c>
      <c r="Q36">
        <f/>
        <v>0</v>
      </c>
      <c r="R36">
        <f/>
        <v>0</v>
      </c>
      <c r="S36">
        <f/>
        <v>0</v>
      </c>
      <c r="T36">
        <f/>
        <v>0</v>
      </c>
      <c r="U36">
        <f/>
        <v>0</v>
      </c>
      <c r="V36">
        <f/>
        <v>0</v>
      </c>
      <c r="W36">
        <f/>
        <v>0</v>
      </c>
      <c r="X36">
        <f/>
        <v>0</v>
      </c>
    </row>
    <row r="37" spans="1:24" x14ac:dyDescent="0.25">
      <c r="A37">
        <v>5</v>
      </c>
      <c r="B37" t="str">
        <v>Amazonia</v>
      </c>
      <c r="C37">
        <v>15</v>
      </c>
      <c r="E37">
        <f/>
        <v>113</v>
      </c>
      <c r="F37" t="str">
        <f/>
        <v>ACME</v>
      </c>
      <c r="G37" s="141">
        <f/>
        <v>45294</v>
      </c>
      <c r="H37" s="141">
        <f/>
        <v>45324</v>
      </c>
      <c r="I37">
        <f/>
        <v>2896</v>
      </c>
      <c r="K37" t="str">
        <v>Amazonia</v>
      </c>
      <c r="L37">
        <f/>
        <v>4354</v>
      </c>
      <c r="M37">
        <f/>
        <v>4354</v>
      </c>
      <c r="N37">
        <f/>
        <v>0</v>
      </c>
      <c r="O37">
        <f/>
        <v>0</v>
      </c>
      <c r="P37">
        <f/>
        <v>0</v>
      </c>
      <c r="Q37">
        <f/>
        <v>0</v>
      </c>
      <c r="R37">
        <f/>
        <v>0</v>
      </c>
      <c r="S37">
        <f/>
        <v>0</v>
      </c>
      <c r="T37">
        <f/>
        <v>0</v>
      </c>
      <c r="U37">
        <f/>
        <v>0</v>
      </c>
      <c r="V37">
        <f/>
        <v>0</v>
      </c>
      <c r="W37">
        <f/>
        <v>0</v>
      </c>
      <c r="X37">
        <f/>
        <v>0</v>
      </c>
    </row>
    <row r="38" spans="1:24" x14ac:dyDescent="0.25">
      <c r="E38">
        <f/>
        <v>114</v>
      </c>
      <c r="F38" t="str">
        <f/>
        <v>Jacqie Penee</v>
      </c>
      <c r="G38" s="141">
        <f/>
        <v>45292</v>
      </c>
      <c r="H38" s="141">
        <f/>
        <v>45352</v>
      </c>
      <c r="I38">
        <f/>
        <v>2929</v>
      </c>
      <c r="K38" s="167" t="s">
        <v>283</v>
      </c>
      <c r="L38" s="167">
        <f>SUM(_xlfn.ANCHORARRAY(M38))</f>
        <v>53360</v>
      </c>
      <c r="M38" s="167" cm="1">
        <f t="array" ref="M38:X38">nabla.e.SumColsλ(_xlfn.ANCHORARRAY(M33))</f>
        <v>4354</v>
      </c>
      <c r="N38" s="167">
        <f/>
        <v>29624</v>
      </c>
      <c r="O38" s="167">
        <f/>
        <v>9256</v>
      </c>
      <c r="P38" s="167">
        <f/>
        <v>0</v>
      </c>
      <c r="Q38" s="167">
        <f/>
        <v>10126</v>
      </c>
      <c r="R38" s="167">
        <f/>
        <v>0</v>
      </c>
      <c r="S38" s="167">
        <f/>
        <v>0</v>
      </c>
      <c r="T38" s="167">
        <f/>
        <v>0</v>
      </c>
      <c r="U38" s="167">
        <f/>
        <v>0</v>
      </c>
      <c r="V38" s="167">
        <f/>
        <v>0</v>
      </c>
      <c r="W38" s="167">
        <f/>
        <v>0</v>
      </c>
      <c r="X38" s="167">
        <f/>
        <v>0</v>
      </c>
    </row>
    <row r="39" spans="1:24" x14ac:dyDescent="0.25">
      <c r="E39">
        <f/>
        <v>115</v>
      </c>
      <c r="F39" t="str">
        <f/>
        <v>Amazonia</v>
      </c>
      <c r="G39" s="141">
        <f/>
        <v>45294</v>
      </c>
      <c r="H39" s="141">
        <f/>
        <v>45309</v>
      </c>
      <c r="I39">
        <f/>
        <v>1910</v>
      </c>
    </row>
    <row r="40" spans="1:24" ht="15.75" thickBot="1" x14ac:dyDescent="0.3">
      <c r="E40">
        <f/>
        <v>116</v>
      </c>
      <c r="F40" t="str">
        <f/>
        <v>Jacqie Penee</v>
      </c>
      <c r="G40" s="141">
        <f/>
        <v>45293</v>
      </c>
      <c r="H40" s="141">
        <f/>
        <v>45353</v>
      </c>
      <c r="I40">
        <f/>
        <v>3252</v>
      </c>
      <c r="L40" s="125" t="s">
        <v>282</v>
      </c>
      <c r="M40" s="171" cm="1">
        <f t="array" ref="M40:X40">_xlfn.ANCHORARRAY(M30)-_xlfn.ANCHORARRAY(M38)</f>
        <v>49006</v>
      </c>
      <c r="N40" s="171">
        <f/>
        <v>-29624</v>
      </c>
      <c r="O40" s="171">
        <f/>
        <v>-9256</v>
      </c>
      <c r="P40" s="171">
        <f/>
        <v>0</v>
      </c>
      <c r="Q40" s="171">
        <f/>
        <v>-10126</v>
      </c>
      <c r="R40" s="171">
        <f/>
        <v>0</v>
      </c>
      <c r="S40" s="171">
        <f/>
        <v>0</v>
      </c>
      <c r="T40" s="171">
        <f/>
        <v>0</v>
      </c>
      <c r="U40" s="171">
        <f/>
        <v>0</v>
      </c>
      <c r="V40" s="171">
        <f/>
        <v>0</v>
      </c>
      <c r="W40" s="171">
        <f/>
        <v>0</v>
      </c>
      <c r="X40" s="171">
        <f/>
        <v>0</v>
      </c>
    </row>
    <row r="41" spans="1:24" ht="15.75" thickTop="1" x14ac:dyDescent="0.25">
      <c r="E41">
        <f/>
        <v>117</v>
      </c>
      <c r="F41" t="str">
        <f/>
        <v>Town Hall</v>
      </c>
      <c r="G41" s="141">
        <f/>
        <v>45297</v>
      </c>
      <c r="H41" s="141">
        <f/>
        <v>45342</v>
      </c>
      <c r="I41">
        <f/>
        <v>2644</v>
      </c>
    </row>
    <row r="42" spans="1:24" x14ac:dyDescent="0.25">
      <c r="E42">
        <f/>
        <v>118</v>
      </c>
      <c r="F42" t="str">
        <f/>
        <v>ACME</v>
      </c>
      <c r="G42" s="141">
        <f/>
        <v>45297</v>
      </c>
      <c r="H42" s="141">
        <f/>
        <v>45327</v>
      </c>
      <c r="I42">
        <f/>
        <v>1571</v>
      </c>
      <c r="L42" s="125" t="s">
        <v>281</v>
      </c>
      <c r="M42" cm="1">
        <f t="array" ref="M42:X42">nabla.f.Cumulativeλ(_xlfn.ANCHORARRAY(M40))</f>
        <v>49006</v>
      </c>
      <c r="N42">
        <f/>
        <v>19382</v>
      </c>
      <c r="O42">
        <f/>
        <v>10126</v>
      </c>
      <c r="P42">
        <f/>
        <v>10126</v>
      </c>
      <c r="Q42">
        <f/>
        <v>0</v>
      </c>
      <c r="R42">
        <f/>
        <v>0</v>
      </c>
      <c r="S42">
        <f/>
        <v>0</v>
      </c>
      <c r="T42">
        <f/>
        <v>0</v>
      </c>
      <c r="U42">
        <f/>
        <v>0</v>
      </c>
      <c r="V42">
        <f/>
        <v>0</v>
      </c>
      <c r="W42">
        <f/>
        <v>0</v>
      </c>
      <c r="X42">
        <f/>
        <v>0</v>
      </c>
    </row>
    <row r="43" spans="1:24" x14ac:dyDescent="0.25">
      <c r="E43">
        <f/>
        <v>119</v>
      </c>
      <c r="F43" t="str">
        <f/>
        <v>Jacqie Penee</v>
      </c>
      <c r="G43" s="141">
        <f/>
        <v>45296</v>
      </c>
      <c r="H43" s="141">
        <f/>
        <v>45356</v>
      </c>
      <c r="I43">
        <f/>
        <v>1405</v>
      </c>
    </row>
    <row r="44" spans="1:24" x14ac:dyDescent="0.25">
      <c r="E44">
        <f/>
        <v>120</v>
      </c>
      <c r="F44" t="str">
        <f/>
        <v>Town Hall</v>
      </c>
      <c r="G44" s="141">
        <f/>
        <v>45296</v>
      </c>
      <c r="H44" s="141">
        <f/>
        <v>45341</v>
      </c>
      <c r="I44">
        <f/>
        <v>1366</v>
      </c>
    </row>
    <row r="45" spans="1:24" x14ac:dyDescent="0.25">
      <c r="E45">
        <f/>
        <v>121</v>
      </c>
      <c r="F45" t="str">
        <f/>
        <v>Wool*Art</v>
      </c>
      <c r="G45" s="141">
        <f/>
        <v>45294</v>
      </c>
      <c r="H45" s="141">
        <f/>
        <v>45414</v>
      </c>
      <c r="I45">
        <f/>
        <v>2239</v>
      </c>
    </row>
    <row r="46" spans="1:24" x14ac:dyDescent="0.25">
      <c r="E46" s="205" t="str">
        <f/>
        <v>Total</v>
      </c>
      <c r="F46" s="205">
        <f/>
        <v>0</v>
      </c>
      <c r="G46" s="206">
        <f/>
        <v>0</v>
      </c>
      <c r="H46" s="206">
        <f/>
        <v>0</v>
      </c>
      <c r="I46" s="167">
        <f/>
        <v>53360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customProperties>
    <customPr name="Description" r:id="rId1"/>
  </customPropertie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1F4E79"/>
  </sheetPr>
  <dimension ref="A1:Q23"/>
  <sheetViews>
    <sheetView showGridLines="0" workbookViewId="0">
      <selection activeCell="A1" sqref="A1"/>
    </sheetView>
  </sheetViews>
  <sheetFormatPr defaultRowHeight="15" x14ac:dyDescent="0.25"/>
  <cols>
    <col min="1" max="1" width="15.7109375" customWidth="1"/>
    <col min="2" max="2" width="11.42578125" customWidth="1"/>
    <col min="3" max="3" width="10" bestFit="1" customWidth="1"/>
    <col min="5" max="5" width="10.140625" bestFit="1" customWidth="1"/>
    <col min="6" max="6" width="10.42578125" bestFit="1" customWidth="1"/>
    <col min="7" max="7" width="10.85546875" bestFit="1" customWidth="1"/>
    <col min="8" max="8" width="10.42578125" bestFit="1" customWidth="1"/>
    <col min="9" max="9" width="11.140625" bestFit="1" customWidth="1"/>
    <col min="10" max="10" width="10.28515625" bestFit="1" customWidth="1"/>
    <col min="11" max="11" width="9.5703125" bestFit="1" customWidth="1"/>
    <col min="12" max="12" width="10.7109375" bestFit="1" customWidth="1"/>
    <col min="13" max="13" width="10.42578125" bestFit="1" customWidth="1"/>
    <col min="14" max="14" width="10.28515625" bestFit="1" customWidth="1"/>
    <col min="15" max="15" width="10.7109375" bestFit="1" customWidth="1"/>
    <col min="16" max="16" width="10.5703125" bestFit="1" customWidth="1"/>
  </cols>
  <sheetData>
    <row r="1" spans="1:17" ht="45.75" x14ac:dyDescent="0.65">
      <c r="A1" s="270" t="str">
        <f>_xlfn.TEXTAFTER(CELL("filename",A1),"]")</f>
        <v>nabla.d.Timelineλ</v>
      </c>
      <c r="B1" s="270"/>
      <c r="C1" s="270"/>
      <c r="D1" s="270"/>
      <c r="E1" s="270"/>
      <c r="F1" s="270"/>
      <c r="G1" s="270"/>
      <c r="H1" s="270"/>
      <c r="I1" s="270"/>
      <c r="J1" s="270"/>
      <c r="K1" s="270"/>
      <c r="L1" s="270"/>
      <c r="M1" s="270"/>
      <c r="N1" s="270"/>
    </row>
    <row r="2" spans="1:17" x14ac:dyDescent="0.25">
      <c r="A2" s="273" t="s">
        <v>205</v>
      </c>
      <c r="B2" s="274"/>
      <c r="C2" s="274"/>
      <c r="D2" s="274"/>
      <c r="E2" s="274"/>
      <c r="F2" s="274"/>
      <c r="G2" s="274"/>
      <c r="H2" s="274"/>
      <c r="I2" s="274"/>
      <c r="J2" s="274"/>
      <c r="K2" s="274"/>
      <c r="L2" s="274"/>
      <c r="M2" s="274"/>
      <c r="N2" s="274"/>
      <c r="O2" s="274"/>
      <c r="P2" s="274"/>
      <c r="Q2" s="274"/>
    </row>
    <row r="3" spans="1:17" x14ac:dyDescent="0.25">
      <c r="A3" s="294"/>
      <c r="B3" s="294"/>
      <c r="C3" s="294"/>
      <c r="D3" s="294"/>
      <c r="E3" s="294"/>
      <c r="F3" s="294"/>
      <c r="G3" s="294"/>
      <c r="H3" s="294"/>
      <c r="I3" s="294"/>
      <c r="J3" s="294"/>
      <c r="K3" s="294"/>
      <c r="L3" s="294"/>
      <c r="M3" s="294"/>
      <c r="N3" s="294"/>
    </row>
    <row r="4" spans="1:17" x14ac:dyDescent="0.25">
      <c r="A4" s="131" t="str" cm="1">
        <f t="array" ref="A4:B15">nabla.d.Timelineλ()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https://github.com/ryanduguid/Nabla</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(nabla.d is assumed to be the module's name)</v>
      </c>
    </row>
    <row r="14" spans="1:17" x14ac:dyDescent="0.25">
      <c r="A14" t="str">
        <v>12 mo, starts</v>
      </c>
      <c r="B14" t="str">
        <v>=nabla.d.Timelineλ(TODAY())</v>
      </c>
    </row>
    <row r="15" spans="1:17" x14ac:dyDescent="0.25">
      <c r="A15" t="str">
        <v>12 qtr, ends</v>
      </c>
      <c r="B15" t="str">
        <v>=nabla.d.Timelineλ(TODAY(), , "Q", FALSE)</v>
      </c>
    </row>
    <row r="18" spans="1:16" x14ac:dyDescent="0.25">
      <c r="E18" s="2" t="s">
        <v>149</v>
      </c>
    </row>
    <row r="19" spans="1:16" x14ac:dyDescent="0.25">
      <c r="A19" s="115" t="s">
        <v>137</v>
      </c>
      <c r="B19" s="116" t="s">
        <v>138</v>
      </c>
      <c r="C19" s="115" t="s">
        <v>139</v>
      </c>
      <c r="E19" s="136" cm="1">
        <f t="array" ref="E19:P19">nabla.d.Timelineλ(B20,B21,B22,B23)</f>
        <v>44927</v>
      </c>
      <c r="F19" s="1">
        <v>45689</v>
      </c>
      <c r="G19" s="1">
        <v>45717</v>
      </c>
      <c r="H19" s="1">
        <v>45748</v>
      </c>
      <c r="I19" s="1">
        <v>45778</v>
      </c>
      <c r="J19" s="1">
        <v>45809</v>
      </c>
      <c r="K19" s="1">
        <v>45839</v>
      </c>
      <c r="L19" s="1">
        <v>45870</v>
      </c>
      <c r="M19" s="1">
        <v>45901</v>
      </c>
      <c r="N19" s="1">
        <v>45931</v>
      </c>
      <c r="O19" s="1">
        <v>45962</v>
      </c>
      <c r="P19" s="1">
        <v>45992</v>
      </c>
    </row>
    <row r="20" spans="1:16" x14ac:dyDescent="0.25">
      <c r="A20" t="s">
        <v>140</v>
      </c>
      <c r="B20" s="119">
        <v>45658</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customProperties>
    <customPr name="Description" r:id="rId1"/>
  </customProperties>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157A5F"/>
  </sheetPr>
  <dimension ref="A1:D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9" width="10.140625" bestFit="1" customWidth="1"/>
    <col min="10" max="22" width="11.42578125" bestFit="1" customWidth="1"/>
  </cols>
  <sheetData>
    <row r="1" spans="1:17" ht="45.75" x14ac:dyDescent="0.65">
      <c r="A1" s="270" t="str">
        <f>_xlfn.TEXTAFTER(CELL("filename",A1),"]")</f>
        <v>nabla.f.Amortiseλ</v>
      </c>
      <c r="B1" s="270"/>
      <c r="C1" s="270"/>
      <c r="D1" s="270"/>
      <c r="E1" s="270"/>
      <c r="F1" s="270"/>
      <c r="G1" s="270"/>
      <c r="H1" s="270"/>
      <c r="I1" s="270"/>
      <c r="J1" s="270"/>
      <c r="K1" s="270"/>
      <c r="L1" s="270"/>
      <c r="M1" s="270"/>
      <c r="N1" s="270"/>
      <c r="O1" s="270"/>
      <c r="P1" s="270"/>
    </row>
    <row r="2" spans="1:17" x14ac:dyDescent="0.25">
      <c r="A2" s="273" t="s">
        <v>206</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308"/>
      <c r="L3" s="308"/>
      <c r="M3" s="308"/>
      <c r="N3" s="308"/>
      <c r="O3" s="308"/>
      <c r="P3" s="308"/>
    </row>
    <row r="4" spans="1:17" x14ac:dyDescent="0.25">
      <c r="A4" s="131" t="str" cm="1">
        <f t="array" ref="A4:B19">nabla.f.Amortiseλ()</f>
        <v>FUNCTION:</v>
      </c>
      <c r="B4" t="str">
        <v>Amortiseλ( Principals, APRs, Terms, StartDates, [Timeline])</v>
      </c>
      <c r="K4" s="308"/>
      <c r="L4" s="308"/>
      <c r="M4" s="308"/>
      <c r="N4" s="308"/>
      <c r="O4" s="308"/>
      <c r="P4" s="308"/>
    </row>
    <row r="5" spans="1:17" x14ac:dyDescent="0.25">
      <c r="A5" t="str">
        <v>DESCRIPTION:</v>
      </c>
      <c r="B5" t="str">
        <v>Creates an amortisation schedule array for one or more loans.</v>
      </c>
      <c r="K5" s="308"/>
      <c r="L5" s="308"/>
      <c r="M5" s="308"/>
      <c r="N5" s="308"/>
      <c r="O5" s="308"/>
      <c r="P5" s="308"/>
    </row>
    <row r="6" spans="1:17" x14ac:dyDescent="0.25">
      <c r="A6" t="str">
        <v/>
      </c>
      <c r="B6" t="str">
        <v>It assumes all payments are made monthly.</v>
      </c>
      <c r="K6" s="308"/>
      <c r="L6" s="308"/>
      <c r="M6" s="308"/>
      <c r="N6" s="308"/>
      <c r="O6" s="308"/>
      <c r="P6" s="308"/>
    </row>
    <row r="7" spans="1:17" x14ac:dyDescent="0.25">
      <c r="A7" t="str">
        <v/>
      </c>
      <c r="B7" t="str">
        <v>Use LableAmortiseλ() to apply labels to this function's results:</v>
      </c>
      <c r="K7" s="308"/>
      <c r="L7" s="308"/>
      <c r="M7" s="308"/>
      <c r="N7" s="308"/>
      <c r="O7" s="308"/>
      <c r="P7" s="308"/>
    </row>
    <row r="8" spans="1:17" x14ac:dyDescent="0.25">
      <c r="A8" t="str">
        <v/>
      </c>
      <c r="B8" t="str">
        <v>Use SumAmortiseλ() to apply totals to this function's results:</v>
      </c>
      <c r="K8" s="308"/>
      <c r="L8" s="308"/>
      <c r="M8" s="308"/>
      <c r="N8" s="308"/>
      <c r="O8" s="308"/>
      <c r="P8" s="308"/>
    </row>
    <row r="9" spans="1:17" x14ac:dyDescent="0.25">
      <c r="A9" t="str">
        <v>WEBPAGE:</v>
      </c>
      <c r="B9" t="str">
        <v>https://github.com/ryanduguid/Nabla</v>
      </c>
      <c r="K9" s="308"/>
      <c r="L9" s="308"/>
      <c r="M9" s="308"/>
      <c r="N9" s="308"/>
      <c r="O9" s="308"/>
      <c r="P9" s="308"/>
    </row>
    <row r="10" spans="1:17" x14ac:dyDescent="0.25">
      <c r="A10" t="str">
        <v>VERSION:</v>
      </c>
      <c r="B10" t="str">
        <v>18 Aug 2026</v>
      </c>
      <c r="K10" s="308"/>
      <c r="L10" s="308"/>
      <c r="M10" s="308"/>
      <c r="N10" s="308"/>
      <c r="O10" s="308"/>
      <c r="P10" s="308"/>
    </row>
    <row r="11" spans="1:17" x14ac:dyDescent="0.25">
      <c r="A11" t="str">
        <v>PARAMETERS:</v>
      </c>
      <c r="B11" t="str">
        <v/>
      </c>
      <c r="K11" s="308"/>
      <c r="L11" s="308"/>
      <c r="M11" s="308"/>
      <c r="N11" s="308"/>
      <c r="O11" s="308"/>
      <c r="P11" s="308"/>
    </row>
    <row r="12" spans="1:17" x14ac:dyDescent="0.25">
      <c r="A12" t="str">
        <v>Principals</v>
      </c>
      <c r="B12" t="str">
        <v>(Required) Loan/debt amounts.</v>
      </c>
      <c r="K12" s="308"/>
      <c r="L12" s="308"/>
      <c r="M12" s="308"/>
      <c r="N12" s="308"/>
      <c r="O12" s="308"/>
      <c r="P12" s="308"/>
    </row>
    <row r="13" spans="1:17" x14ac:dyDescent="0.25">
      <c r="A13" t="str">
        <v>APRs</v>
      </c>
      <c r="B13" t="str">
        <v>(Required) Annual Percentage Rates for interest.</v>
      </c>
      <c r="K13" s="308"/>
      <c r="L13" s="308"/>
      <c r="M13" s="308"/>
      <c r="N13" s="308"/>
      <c r="O13" s="308"/>
      <c r="P13" s="308"/>
    </row>
    <row r="14" spans="1:17" x14ac:dyDescent="0.25">
      <c r="A14" t="str">
        <v>Terms</v>
      </c>
      <c r="B14" t="str">
        <v>(Required) Number of months for loans/debts.</v>
      </c>
      <c r="K14" s="308"/>
      <c r="L14" s="308"/>
      <c r="M14" s="308"/>
      <c r="N14" s="308"/>
      <c r="O14" s="308"/>
      <c r="P14" s="308"/>
    </row>
    <row r="15" spans="1:17" x14ac:dyDescent="0.25">
      <c r="A15" t="str">
        <v>StartDates</v>
      </c>
      <c r="B15" t="str">
        <v>(Required) Dates debts are issued.</v>
      </c>
      <c r="K15" s="308"/>
      <c r="L15" s="308"/>
      <c r="M15" s="308"/>
      <c r="N15" s="308"/>
      <c r="O15" s="308"/>
      <c r="P15" s="308"/>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(nabla.f is assumed to be the module's name)</v>
      </c>
    </row>
    <row r="19" spans="1:127" x14ac:dyDescent="0.25">
      <c r="A19" t="str">
        <v/>
      </c>
      <c r="B19" t="str">
        <v>=nabla.f.Amortiseλ(10000, 5%, 4 * 12, "2025-01-01")</v>
      </c>
    </row>
    <row r="21" spans="1:127" ht="20.25" x14ac:dyDescent="0.3">
      <c r="A21" s="299" t="s">
        <v>317</v>
      </c>
      <c r="B21" s="303"/>
      <c r="C21" s="303"/>
      <c r="D21" s="303"/>
      <c r="E21" s="303"/>
    </row>
    <row r="22" spans="1:127" x14ac:dyDescent="0.25">
      <c r="A22" s="301"/>
      <c r="B22" s="300"/>
      <c r="C22" s="300"/>
      <c r="D22" s="300"/>
      <c r="E22" s="300"/>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50000</v>
      </c>
      <c r="C24" s="179">
        <v>7.0000000000000007E-2</v>
      </c>
      <c r="D24" s="180">
        <v>10</v>
      </c>
      <c r="E24" s="181">
        <v>46082</v>
      </c>
      <c r="G24" s="182" t="str" cm="1">
        <f t="array" ref="G24:G43">nabla.f.LabelAmortiseλ(tblLoans[Description])</f>
        <v>Renovation Debt Issuance</v>
      </c>
      <c r="H24" s="186" cm="1">
        <f t="array" ref="H24:H43">nabla.f.SumAmortiseλ(_xlfn.ANCHORARRAY(I24))</f>
        <v>0</v>
      </c>
      <c r="I24" s="187"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customProperties>
    <customPr name="Description" r:id="rId2"/>
  </customProperties>
  <drawing r:id="rId3"/>
  <tableParts count="1">
    <tablePart r:id="rId4"/>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157A5F"/>
  </sheetPr>
  <dimension ref="A1:W43"/>
  <sheetViews>
    <sheetView showGridLines="0" workbookViewId="0">
      <selection activeCell="A1" sqref="A1"/>
    </sheetView>
  </sheetViews>
  <sheetFormatPr defaultRowHeight="15" x14ac:dyDescent="0.25"/>
  <cols>
    <col min="1" max="1" width="12.710937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 min="24" max="25" width="8.5703125" customWidth="1"/>
  </cols>
  <sheetData>
    <row r="1" spans="1:18" ht="45.75" x14ac:dyDescent="0.65">
      <c r="A1" s="270" t="str">
        <f>_xlfn.TEXTAFTER(CELL("filename",A1),"]")</f>
        <v>nabla.f.LabelAmortiseλ</v>
      </c>
      <c r="B1" s="270"/>
      <c r="C1" s="270"/>
      <c r="D1" s="270"/>
      <c r="E1" s="270"/>
      <c r="F1" s="270"/>
      <c r="G1" s="270"/>
      <c r="H1" s="270"/>
      <c r="I1" s="270"/>
      <c r="J1" s="270"/>
      <c r="K1" s="270"/>
      <c r="L1" s="270"/>
      <c r="M1" s="270"/>
      <c r="N1" s="270"/>
      <c r="O1" s="270"/>
      <c r="P1" s="270"/>
    </row>
    <row r="2" spans="1:18" x14ac:dyDescent="0.25">
      <c r="A2" s="273" t="s">
        <v>215</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nabla.f.LabelAmortiseλ()</f>
        <v>FUNCTION:</v>
      </c>
      <c r="B4" t="str">
        <v>LabelAmortiseλ([LoanNames])</v>
      </c>
    </row>
    <row r="5" spans="1:18" x14ac:dyDescent="0.25">
      <c r="A5" t="str">
        <v>DESCRIPTION:</v>
      </c>
      <c r="B5" t="str">
        <v>Create row labels for the amortisation schedule array produced by Amortiseλ</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v>
      </c>
      <c r="B11" t="str">
        <v>(Optional) Annual Percentage Interest Rate</v>
      </c>
    </row>
    <row r="12" spans="1:18" x14ac:dyDescent="0.25">
      <c r="A12" t="str">
        <v>LoanTerm</v>
      </c>
      <c r="B12" t="str">
        <v>(Optional) Number of months to repay</v>
      </c>
    </row>
    <row r="13" spans="1:18" x14ac:dyDescent="0.25">
      <c r="A13" t="str">
        <v>EXAMPLES:</v>
      </c>
      <c r="B13" t="str">
        <v/>
      </c>
    </row>
    <row r="14" spans="1:18" x14ac:dyDescent="0.25">
      <c r="A14" t="str">
        <v>Result</v>
      </c>
      <c r="B14" t="str">
        <v>Formula (nabla.f is assumed to be the module's name)</v>
      </c>
    </row>
    <row r="15" spans="1:18" x14ac:dyDescent="0.25">
      <c r="A15" t="str">
        <v/>
      </c>
      <c r="B15" t="str">
        <v>=nabla.f.LabelAmortiseλ(tblLoans[Loan Name])</v>
      </c>
    </row>
    <row r="21" spans="1:23" ht="20.25" x14ac:dyDescent="0.3">
      <c r="A21" s="271" t="s">
        <v>317</v>
      </c>
      <c r="B21" s="272"/>
      <c r="C21" s="272"/>
      <c r="D21" s="272"/>
      <c r="E21" s="27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row>
    <row r="24" spans="1:23" x14ac:dyDescent="0.25">
      <c r="A24" s="213" t="str">
        <v>Renovation</v>
      </c>
      <c r="B24" s="214">
        <v>50000</v>
      </c>
      <c r="C24" s="215">
        <v>7.0000000000000007E-2</v>
      </c>
      <c r="D24" s="216">
        <v>10</v>
      </c>
      <c r="E24" s="217">
        <v>46082</v>
      </c>
      <c r="G24" s="229" t="str" cm="1">
        <f t="array" ref="G24:G43">nabla.f.LabelAmortiseλ(tblLoans[Description])</f>
        <v>Renovation Debt Issuance</v>
      </c>
      <c r="H24" s="202"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45000</v>
      </c>
      <c r="C25" s="220">
        <v>6.5000000000000002E-2</v>
      </c>
      <c r="D25" s="221">
        <v>10</v>
      </c>
      <c r="E25" s="222">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customProperties>
    <customPr name="Description" r:id="rId1"/>
  </customProperties>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157A5F"/>
  </sheetPr>
  <dimension ref="A1:DX43"/>
  <sheetViews>
    <sheetView showGridLines="0" workbookViewId="0">
      <selection activeCell="A1" sqref="A1"/>
    </sheetView>
  </sheetViews>
  <sheetFormatPr defaultRowHeight="15" x14ac:dyDescent="0.25"/>
  <cols>
    <col min="1" max="1" width="19.42578125" bestFit="1" customWidth="1"/>
    <col min="3" max="3" width="6" bestFit="1" customWidth="1"/>
    <col min="4" max="4" width="5.28515625" bestFit="1" customWidth="1"/>
    <col min="5" max="5" width="10" bestFit="1" customWidth="1"/>
    <col min="7" max="7" width="24.42578125" bestFit="1" customWidth="1"/>
    <col min="8" max="8" width="8.5703125" bestFit="1" customWidth="1"/>
    <col min="9" max="23" width="10.140625" bestFit="1" customWidth="1"/>
  </cols>
  <sheetData>
    <row r="1" spans="1:17" ht="45.75" x14ac:dyDescent="0.65">
      <c r="A1" s="270" t="str">
        <f>_xlfn.TEXTAFTER(CELL("filename",A1),"]")</f>
        <v>nabla.f.SumAmortiseλ</v>
      </c>
      <c r="B1" s="270"/>
      <c r="C1" s="270"/>
      <c r="D1" s="270"/>
      <c r="E1" s="270"/>
      <c r="F1" s="270"/>
      <c r="G1" s="270"/>
      <c r="H1" s="270"/>
      <c r="I1" s="270"/>
      <c r="J1" s="270"/>
      <c r="K1" s="270"/>
      <c r="L1" s="270"/>
      <c r="M1" s="270"/>
      <c r="N1" s="270"/>
      <c r="O1" s="270"/>
      <c r="P1" s="270"/>
    </row>
    <row r="2" spans="1:17" x14ac:dyDescent="0.25">
      <c r="A2" s="273" t="s">
        <v>212</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nabla.f.SumAmortiseλ()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(nabla.f is assumed to be the module's name)</v>
      </c>
    </row>
    <row r="12" spans="1:17" x14ac:dyDescent="0.25">
      <c r="A12" t="str">
        <v/>
      </c>
      <c r="B12" t="str">
        <v>=nabla.f.SumAmortiseλ(AmortisationSchedule)</v>
      </c>
    </row>
    <row r="21" spans="1:128" ht="20.25" x14ac:dyDescent="0.3">
      <c r="A21" s="302" t="s">
        <v>317</v>
      </c>
      <c r="B21" s="302"/>
      <c r="C21" s="302"/>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nabla.d.Timelineλ("1/1/2026", 15 * _xlfn.SWITCH(H22, "M", 12, "Q", 4, "Y", 1), H22)</f>
        <v>45292</v>
      </c>
      <c r="J23" s="1">
        <v>46388</v>
      </c>
      <c r="K23" s="1">
        <v>46753</v>
      </c>
      <c r="L23" s="1">
        <v>47119</v>
      </c>
      <c r="M23" s="1">
        <v>47484</v>
      </c>
      <c r="N23" s="1">
        <v>47849</v>
      </c>
      <c r="O23" s="1">
        <v>48214</v>
      </c>
      <c r="P23" s="1">
        <v>48580</v>
      </c>
      <c r="Q23" s="1">
        <v>48945</v>
      </c>
      <c r="R23" s="1">
        <v>49310</v>
      </c>
      <c r="S23" s="1">
        <v>49675</v>
      </c>
      <c r="T23" s="1">
        <v>50041</v>
      </c>
      <c r="U23" s="1">
        <v>50406</v>
      </c>
      <c r="V23" s="1">
        <v>50771</v>
      </c>
      <c r="W23" s="1">
        <v>51136</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50000</v>
      </c>
      <c r="C24" s="179">
        <v>7.0000000000000007E-2</v>
      </c>
      <c r="D24" s="180">
        <v>10</v>
      </c>
      <c r="E24" s="181">
        <v>46082</v>
      </c>
      <c r="G24" s="182" t="str" cm="1">
        <f t="array" ref="G24:G43">nabla.f.LabelAmortiseλ(tblLoans[Description])</f>
        <v>Renovation Debt Issuance</v>
      </c>
      <c r="H24" s="187" cm="1">
        <f t="array" ref="H24:H43">nabla.f.SumAmortiseλ(_xlfn.ANCHORARRAY(I24))</f>
        <v>0</v>
      </c>
      <c r="I24" s="202" cm="1">
        <f t="array" ref="I24:W43">nabla.f.Amortiseλ(tblLoans[Principal],tblLoans[APR],tblLoans[Term],tblLoans[Start Date],_xlfn.ANCHORARRAY( I23))</f>
        <v>0</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45000</v>
      </c>
      <c r="C25" s="179">
        <v>6.5000000000000002E-2</v>
      </c>
      <c r="D25" s="180">
        <v>10</v>
      </c>
      <c r="E25" s="181">
        <v>46023</v>
      </c>
      <c r="G25" s="182" t="str">
        <v>Renovation Debt Balance</v>
      </c>
      <c r="H25" s="186">
        <v>0</v>
      </c>
      <c r="I25" s="186">
        <v>0</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46388</v>
      </c>
      <c r="G26" s="182" t="str">
        <v>Renovation Interest</v>
      </c>
      <c r="H26" s="186">
        <v>0</v>
      </c>
      <c r="I26" s="186">
        <v>0</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0</v>
      </c>
      <c r="I27" s="186">
        <v>0</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0</v>
      </c>
      <c r="I29" s="186">
        <v>0</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45000</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45000</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1351.4876498941551</v>
      </c>
      <c r="I33" s="186">
        <v>1351.4876498941551</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-46351.487649894138</v>
      </c>
      <c r="I34" s="186">
        <v>-46351.487649894138</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1.4551915228366852E-11</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44999.999999999985</v>
      </c>
      <c r="I36" s="186">
        <v>44999.999999999985</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customProperties>
    <customPr name="Description" r:id="rId1"/>
  </customPropertie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157A5F"/>
  </sheetPr>
  <dimension ref="A1:S32"/>
  <sheetViews>
    <sheetView showGridLines="0" workbookViewId="0">
      <selection activeCell="A1" sqref="A1"/>
    </sheetView>
  </sheetViews>
  <sheetFormatPr defaultRowHeight="15" x14ac:dyDescent="0.25"/>
  <cols>
    <col min="1" max="1" width="12.7109375" bestFit="1" customWidth="1"/>
    <col min="2" max="2" width="12.7109375" customWidth="1"/>
    <col min="3" max="3" width="7" bestFit="1" customWidth="1"/>
    <col min="5" max="5" width="10.710937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 min="19" max="19" width="10.5703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nabla.f.Corkscrewλ</v>
      </c>
      <c r="B1" s="270"/>
      <c r="C1" s="270"/>
      <c r="D1" s="270"/>
      <c r="E1" s="270"/>
      <c r="F1" s="270"/>
      <c r="G1" s="270"/>
      <c r="H1" s="270"/>
      <c r="I1" s="270"/>
      <c r="J1" s="270"/>
      <c r="K1" s="270"/>
      <c r="L1" s="270"/>
      <c r="M1" s="270"/>
      <c r="N1" s="270"/>
      <c r="O1" s="270"/>
      <c r="P1" s="270"/>
      <c r="Q1" s="270"/>
      <c r="R1" s="270"/>
      <c r="S1" s="270"/>
    </row>
    <row r="2" spans="1:19" x14ac:dyDescent="0.25">
      <c r="A2" s="273" t="s">
        <v>207</v>
      </c>
      <c r="B2" s="287"/>
      <c r="C2" s="287"/>
      <c r="D2" s="287"/>
      <c r="E2" s="287"/>
      <c r="F2" s="287"/>
      <c r="G2" s="287"/>
      <c r="H2" s="287"/>
      <c r="I2" s="287"/>
      <c r="J2" s="287"/>
      <c r="K2" s="287"/>
      <c r="L2" s="287"/>
      <c r="M2" s="287"/>
      <c r="N2" s="287"/>
      <c r="O2" s="287"/>
      <c r="P2" s="288"/>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nabla.f.Corkscrewλ()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18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nabla.f is assumed to be the module's name</v>
      </c>
    </row>
    <row r="17" spans="1:18" x14ac:dyDescent="0.25">
      <c r="A17" t="str">
        <v>Formula:</v>
      </c>
      <c r="B17" t="str">
        <v>=nabla.f.Corkscrewλ(0,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0.25" x14ac:dyDescent="0.3">
      <c r="A22" s="302" t="s">
        <v>272</v>
      </c>
      <c r="B22" s="302"/>
      <c r="C22" s="302"/>
    </row>
    <row r="23" spans="1:18" x14ac:dyDescent="0.25">
      <c r="F23" s="191" t="s">
        <v>279</v>
      </c>
      <c r="G23" s="165" cm="1">
        <f t="array" ref="G23:R23">nabla.d.Timelineλ($B$25, $B$26, $B$27, FALSE)</f>
        <v>45322</v>
      </c>
      <c r="H23" s="165">
        <v>46081</v>
      </c>
      <c r="I23" s="165">
        <v>46112</v>
      </c>
      <c r="J23" s="165">
        <v>46142</v>
      </c>
      <c r="K23" s="165">
        <v>46173</v>
      </c>
      <c r="L23" s="165">
        <v>46203</v>
      </c>
      <c r="M23" s="165">
        <v>46234</v>
      </c>
      <c r="N23" s="165">
        <v>46265</v>
      </c>
      <c r="O23" s="165">
        <v>46295</v>
      </c>
      <c r="P23" s="165">
        <v>46326</v>
      </c>
      <c r="Q23" s="165">
        <v>46356</v>
      </c>
      <c r="R23" s="165">
        <v>46387</v>
      </c>
    </row>
    <row r="24" spans="1:18" x14ac:dyDescent="0.25">
      <c r="A24" s="161" t="s">
        <v>273</v>
      </c>
      <c r="B24" s="161" t="s">
        <v>138</v>
      </c>
      <c r="C24" s="161" t="s">
        <v>139</v>
      </c>
      <c r="F24" s="190" t="s">
        <v>276</v>
      </c>
      <c r="G24" s="1" cm="1">
        <f t="array" ref="G24:R24">nabla.d.Timelineλ($B$25, $B$26, $B$27)</f>
        <v>45292</v>
      </c>
      <c r="H24" s="1">
        <v>46054</v>
      </c>
      <c r="I24" s="1">
        <v>46082</v>
      </c>
      <c r="J24" s="1">
        <v>46113</v>
      </c>
      <c r="K24" s="1">
        <v>46143</v>
      </c>
      <c r="L24" s="1">
        <v>46174</v>
      </c>
      <c r="M24" s="1">
        <v>46204</v>
      </c>
      <c r="N24" s="1">
        <v>46235</v>
      </c>
      <c r="O24" s="1">
        <v>46266</v>
      </c>
      <c r="P24" s="1">
        <v>46296</v>
      </c>
      <c r="Q24" s="1">
        <v>46327</v>
      </c>
      <c r="R24" s="1">
        <v>46357</v>
      </c>
    </row>
    <row r="25" spans="1:18" x14ac:dyDescent="0.25">
      <c r="A25" t="s">
        <v>236</v>
      </c>
      <c r="B25" s="141">
        <v>46023</v>
      </c>
      <c r="C25" t="s">
        <v>145</v>
      </c>
      <c r="E25" s="2" t="s">
        <v>275</v>
      </c>
      <c r="F25">
        <f>SUM(_xlfn.ANCHORARRAY(G25))</f>
        <v>53360</v>
      </c>
      <c r="G25" s="192" cm="1">
        <f t="array" ref="G25:R25">nabla.d.ScheduleValuesλ(_xlfn.ANCHORARRAY( $G$24),_xlfn.ANCHORARRAY( $G$23), tblCO[Amount], tblCO[Issued])</f>
        <v>53360</v>
      </c>
      <c r="H25">
        <f/>
        <v>0</v>
      </c>
      <c r="I25">
        <f/>
        <v>0</v>
      </c>
      <c r="J25">
        <f/>
        <v>0</v>
      </c>
      <c r="K25">
        <f/>
        <v>0</v>
      </c>
      <c r="L25">
        <f/>
        <v>0</v>
      </c>
      <c r="M25">
        <f/>
        <v>0</v>
      </c>
      <c r="N25">
        <f/>
        <v>0</v>
      </c>
      <c r="O25">
        <f/>
        <v>0</v>
      </c>
      <c r="P25">
        <f/>
        <v>0</v>
      </c>
      <c r="Q25">
        <f/>
        <v>0</v>
      </c>
      <c r="R25">
        <f/>
        <v>0</v>
      </c>
    </row>
    <row r="26" spans="1:18" x14ac:dyDescent="0.25">
      <c r="A26" t="s">
        <v>141</v>
      </c>
      <c r="B26">
        <v>12</v>
      </c>
      <c r="C26" t="s">
        <v>146</v>
      </c>
      <c r="E26" s="2" t="s">
        <v>277</v>
      </c>
      <c r="F26">
        <f>SUM(_xlfn.ANCHORARRAY(G26))</f>
        <v>53360</v>
      </c>
      <c r="G26" s="192" cm="1">
        <f t="array" ref="G26:R26">nabla.d.ScheduleValuesλ(_xlfn.ANCHORARRAY( $G$24),_xlfn.ANCHORARRAY( $G$23), tblCO[Amount], tblCO[Exp. Receipt])</f>
        <v>4354</v>
      </c>
      <c r="H26">
        <f/>
        <v>29624</v>
      </c>
      <c r="I26">
        <f/>
        <v>9256</v>
      </c>
      <c r="J26">
        <f/>
        <v>0</v>
      </c>
      <c r="K26">
        <f/>
        <v>10126</v>
      </c>
      <c r="L26">
        <f/>
        <v>0</v>
      </c>
      <c r="M26">
        <f/>
        <v>0</v>
      </c>
      <c r="N26">
        <f/>
        <v>0</v>
      </c>
      <c r="O26">
        <f/>
        <v>0</v>
      </c>
      <c r="P26">
        <f/>
        <v>0</v>
      </c>
      <c r="Q26">
        <f/>
        <v>0</v>
      </c>
      <c r="R26">
        <f/>
        <v>0</v>
      </c>
    </row>
    <row r="27" spans="1:18" x14ac:dyDescent="0.25">
      <c r="A27" t="s">
        <v>142</v>
      </c>
      <c r="B27" t="s">
        <v>144</v>
      </c>
      <c r="G27" cm="1">
        <f t="array" ref="G27:R27">nabla.e.SumColsλ(_xlfn.ANCHORARRAY(G25)-_xlfn.ANCHORARRAY(G26))</f>
        <v>49006</v>
      </c>
      <c r="H27">
        <f/>
        <v>-29624</v>
      </c>
      <c r="I27">
        <f/>
        <v>-9256</v>
      </c>
      <c r="J27">
        <f/>
        <v>0</v>
      </c>
      <c r="K27">
        <f/>
        <v>-10126</v>
      </c>
      <c r="L27">
        <f/>
        <v>0</v>
      </c>
      <c r="M27">
        <f/>
        <v>0</v>
      </c>
      <c r="N27">
        <f/>
        <v>0</v>
      </c>
      <c r="O27">
        <f/>
        <v>0</v>
      </c>
      <c r="P27">
        <f/>
        <v>0</v>
      </c>
      <c r="Q27">
        <f/>
        <v>0</v>
      </c>
      <c r="R27">
        <f/>
        <v>0</v>
      </c>
    </row>
    <row r="29" spans="1:18" x14ac:dyDescent="0.25">
      <c r="E29" t="s">
        <v>293</v>
      </c>
      <c r="G29" s="162" cm="1">
        <f t="array" ref="G29:R32">nabla.f.Corkscrewλ(0,_xlfn.ANCHORARRAY(G25),-_xlfn.ANCHORARRAY(G26))</f>
        <v>0</v>
      </c>
      <c r="H29">
        <f/>
        <v>49006</v>
      </c>
      <c r="I29">
        <f/>
        <v>19382</v>
      </c>
      <c r="J29">
        <f/>
        <v>10126</v>
      </c>
      <c r="K29">
        <f/>
        <v>10126</v>
      </c>
      <c r="L29">
        <f/>
        <v>0</v>
      </c>
      <c r="M29">
        <f/>
        <v>0</v>
      </c>
      <c r="N29">
        <f/>
        <v>0</v>
      </c>
      <c r="O29">
        <f/>
        <v>0</v>
      </c>
      <c r="P29">
        <f/>
        <v>0</v>
      </c>
      <c r="Q29">
        <f/>
        <v>0</v>
      </c>
      <c r="R29">
        <f/>
        <v>0</v>
      </c>
    </row>
    <row r="30" spans="1:18" x14ac:dyDescent="0.25">
      <c r="E30" t="s">
        <v>275</v>
      </c>
      <c r="G30">
        <f/>
        <v>53360</v>
      </c>
      <c r="H30">
        <f/>
        <v>0</v>
      </c>
      <c r="I30">
        <f/>
        <v>0</v>
      </c>
      <c r="J30">
        <f/>
        <v>0</v>
      </c>
      <c r="K30">
        <f/>
        <v>0</v>
      </c>
      <c r="L30">
        <f/>
        <v>0</v>
      </c>
      <c r="M30">
        <f/>
        <v>0</v>
      </c>
      <c r="N30">
        <f/>
        <v>0</v>
      </c>
      <c r="O30">
        <f/>
        <v>0</v>
      </c>
      <c r="P30">
        <f/>
        <v>0</v>
      </c>
      <c r="Q30">
        <f/>
        <v>0</v>
      </c>
      <c r="R30">
        <f/>
        <v>0</v>
      </c>
    </row>
    <row r="31" spans="1:18" x14ac:dyDescent="0.25">
      <c r="E31" t="s">
        <v>277</v>
      </c>
      <c r="G31">
        <f/>
        <v>-4354</v>
      </c>
      <c r="H31">
        <f/>
        <v>-29624</v>
      </c>
      <c r="I31">
        <f/>
        <v>-9256</v>
      </c>
      <c r="J31">
        <f/>
        <v>0</v>
      </c>
      <c r="K31">
        <f/>
        <v>-10126</v>
      </c>
      <c r="L31">
        <f/>
        <v>0</v>
      </c>
      <c r="M31">
        <f/>
        <v>0</v>
      </c>
      <c r="N31">
        <f/>
        <v>0</v>
      </c>
      <c r="O31">
        <f/>
        <v>0</v>
      </c>
      <c r="P31">
        <f/>
        <v>0</v>
      </c>
      <c r="Q31">
        <f/>
        <v>0</v>
      </c>
      <c r="R31">
        <f/>
        <v>0</v>
      </c>
    </row>
    <row r="32" spans="1:18" x14ac:dyDescent="0.25">
      <c r="E32" t="s">
        <v>154</v>
      </c>
      <c r="G32">
        <f/>
        <v>49006</v>
      </c>
      <c r="H32">
        <f/>
        <v>19382</v>
      </c>
      <c r="I32">
        <f/>
        <v>10126</v>
      </c>
      <c r="J32">
        <f/>
        <v>10126</v>
      </c>
      <c r="K32">
        <f/>
        <v>0</v>
      </c>
      <c r="L32">
        <f/>
        <v>0</v>
      </c>
      <c r="M32">
        <f/>
        <v>0</v>
      </c>
      <c r="N32">
        <f/>
        <v>0</v>
      </c>
      <c r="O32">
        <f/>
        <v>0</v>
      </c>
      <c r="P32">
        <f/>
        <v>0</v>
      </c>
      <c r="Q32">
        <f/>
        <v>0</v>
      </c>
      <c r="R32">
        <f/>
        <v>0</v>
      </c>
    </row>
  </sheetData>
  <mergeCells count="3">
    <mergeCell ref="A1:S1"/>
    <mergeCell ref="A22:C22"/>
    <mergeCell ref="A2:P2"/>
  </mergeCells>
  <hyperlinks>
    <hyperlink ref="A1" location="'TOC'!$A$1" display="'TOC'!$A$1" xr:uid="{0BFA959E-2266-424E-95C4-C32FAC957F5B}"/>
  </hyperlinks>
  <pageMargins left="0.7" right="0.7" top="0.75" bottom="0.75" header="0.3" footer="0.3"/>
  <customProperties>
    <customPr name="Description" r:id="rId1"/>
  </customPropertie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157A5F"/>
  </sheetPr>
  <dimension ref="A1:R22"/>
  <sheetViews>
    <sheetView showGridLines="0" workbookViewId="0">
      <selection activeCell="A1" sqref="A1"/>
    </sheetView>
  </sheetViews>
  <sheetFormatPr defaultRowHeight="15" x14ac:dyDescent="0.25"/>
  <cols>
    <col min="1" max="1" width="14.7109375" customWidth="1"/>
    <col min="2" max="2" width="11.4257812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nabla.f.Cumulativeλ</v>
      </c>
      <c r="B1" s="270"/>
      <c r="C1" s="270"/>
      <c r="D1" s="270"/>
      <c r="E1" s="270"/>
      <c r="F1" s="270"/>
      <c r="G1" s="270"/>
      <c r="H1" s="270"/>
      <c r="I1" s="270"/>
      <c r="J1" s="270"/>
      <c r="K1" s="270"/>
      <c r="L1" s="270"/>
      <c r="M1" s="270"/>
      <c r="N1" s="270"/>
      <c r="O1" s="270"/>
      <c r="P1" s="270"/>
    </row>
    <row r="2" spans="1:16" x14ac:dyDescent="0.25">
      <c r="A2" s="273" t="s">
        <v>309</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https://github.com/ryanduguid/Nabla</v>
      </c>
    </row>
    <row r="7" spans="1:16" x14ac:dyDescent="0.25">
      <c r="A7" t="str">
        <v>VERSION:</v>
      </c>
      <c r="B7" t="str">
        <v>18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(nabla.f is assumed to be the module's name)</v>
      </c>
    </row>
    <row r="13" spans="1:16" x14ac:dyDescent="0.25">
      <c r="A13" t="str">
        <v>1,3,6</v>
      </c>
      <c r="B13" t="str">
        <v>=nabla.f.Cumulativeλ(Sequence(,3))</v>
      </c>
    </row>
    <row r="16" spans="1:16" ht="20.25" x14ac:dyDescent="0.3">
      <c r="A16" s="302" t="s">
        <v>272</v>
      </c>
      <c r="B16" s="302"/>
      <c r="C16" s="302"/>
    </row>
    <row r="17" spans="1:18" x14ac:dyDescent="0.25">
      <c r="F17" s="191" t="s">
        <v>279</v>
      </c>
      <c r="G17" s="165" cm="1">
        <f t="array" ref="G17:R17">nabla.d.Timelineλ($B$19, $B$20, $B$21, FALSE)</f>
        <v>45322</v>
      </c>
      <c r="H17" s="165">
        <v>46081</v>
      </c>
      <c r="I17" s="165">
        <v>46112</v>
      </c>
      <c r="J17" s="165">
        <v>46142</v>
      </c>
      <c r="K17" s="165">
        <v>46173</v>
      </c>
      <c r="L17" s="165">
        <v>46203</v>
      </c>
      <c r="M17" s="165">
        <v>46234</v>
      </c>
      <c r="N17" s="165">
        <v>46265</v>
      </c>
      <c r="O17" s="165">
        <v>46295</v>
      </c>
      <c r="P17" s="165">
        <v>46326</v>
      </c>
      <c r="Q17" s="165">
        <v>46356</v>
      </c>
      <c r="R17" s="165">
        <v>46387</v>
      </c>
    </row>
    <row r="18" spans="1:18" x14ac:dyDescent="0.25">
      <c r="A18" s="161" t="s">
        <v>273</v>
      </c>
      <c r="B18" s="161" t="s">
        <v>138</v>
      </c>
      <c r="C18" s="161" t="s">
        <v>139</v>
      </c>
      <c r="F18" s="190" t="s">
        <v>276</v>
      </c>
      <c r="G18" s="1" cm="1">
        <f t="array" ref="G18:R18">nabla.d.Timelineλ($B$19, $B$20, $B$21)</f>
        <v>45292</v>
      </c>
      <c r="H18" s="1">
        <v>46054</v>
      </c>
      <c r="I18" s="1">
        <v>46082</v>
      </c>
      <c r="J18" s="1">
        <v>46113</v>
      </c>
      <c r="K18" s="1">
        <v>46143</v>
      </c>
      <c r="L18" s="1">
        <v>46174</v>
      </c>
      <c r="M18" s="1">
        <v>46204</v>
      </c>
      <c r="N18" s="1">
        <v>46235</v>
      </c>
      <c r="O18" s="1">
        <v>46266</v>
      </c>
      <c r="P18" s="1">
        <v>46296</v>
      </c>
      <c r="Q18" s="1">
        <v>46327</v>
      </c>
      <c r="R18" s="1">
        <v>46357</v>
      </c>
    </row>
    <row r="19" spans="1:18" x14ac:dyDescent="0.25">
      <c r="A19" t="s">
        <v>236</v>
      </c>
      <c r="B19" s="141">
        <v>46023</v>
      </c>
      <c r="C19" t="s">
        <v>145</v>
      </c>
      <c r="E19" s="2" t="s">
        <v>275</v>
      </c>
      <c r="F19">
        <f>SUM(_xlfn.ANCHORARRAY(G19))</f>
        <v>53360</v>
      </c>
      <c r="G19" s="192" cm="1">
        <f t="array" ref="G19:R19">nabla.d.ScheduleValuesλ(_xlfn.ANCHORARRAY( $G$18),_xlfn.ANCHORARRAY( $G$17), tblCO[Amount], tblCO[Issued])</f>
        <v>53360</v>
      </c>
      <c r="H19">
        <f/>
        <v>0</v>
      </c>
      <c r="I19">
        <f/>
        <v>0</v>
      </c>
      <c r="J19">
        <f/>
        <v>0</v>
      </c>
      <c r="K19">
        <f/>
        <v>0</v>
      </c>
      <c r="L19">
        <f/>
        <v>0</v>
      </c>
      <c r="M19">
        <f/>
        <v>0</v>
      </c>
      <c r="N19">
        <f/>
        <v>0</v>
      </c>
      <c r="O19">
        <f/>
        <v>0</v>
      </c>
      <c r="P19">
        <f/>
        <v>0</v>
      </c>
      <c r="Q19">
        <f/>
        <v>0</v>
      </c>
      <c r="R19">
        <f/>
        <v>0</v>
      </c>
    </row>
    <row r="20" spans="1:18" x14ac:dyDescent="0.25">
      <c r="A20" t="s">
        <v>141</v>
      </c>
      <c r="B20">
        <v>12</v>
      </c>
      <c r="C20" t="s">
        <v>146</v>
      </c>
      <c r="E20" s="2" t="s">
        <v>277</v>
      </c>
      <c r="F20">
        <f>SUM(_xlfn.ANCHORARRAY(G20))</f>
        <v>53360</v>
      </c>
      <c r="G20" s="192" cm="1">
        <f t="array" ref="G20:R20">nabla.d.ScheduleValuesλ(_xlfn.ANCHORARRAY( $G$18),_xlfn.ANCHORARRAY( $G$17), tblCO[Amount], tblCO[Exp. Receipt])</f>
        <v>4354</v>
      </c>
      <c r="H20">
        <f/>
        <v>29624</v>
      </c>
      <c r="I20">
        <f/>
        <v>9256</v>
      </c>
      <c r="J20">
        <f/>
        <v>0</v>
      </c>
      <c r="K20">
        <f/>
        <v>10126</v>
      </c>
      <c r="L20">
        <f/>
        <v>0</v>
      </c>
      <c r="M20">
        <f/>
        <v>0</v>
      </c>
      <c r="N20">
        <f/>
        <v>0</v>
      </c>
      <c r="O20">
        <f/>
        <v>0</v>
      </c>
      <c r="P20">
        <f/>
        <v>0</v>
      </c>
      <c r="Q20">
        <f/>
        <v>0</v>
      </c>
      <c r="R20">
        <f/>
        <v>0</v>
      </c>
    </row>
    <row r="21" spans="1:18" x14ac:dyDescent="0.25">
      <c r="A21" t="s">
        <v>142</v>
      </c>
      <c r="B21" t="s">
        <v>144</v>
      </c>
      <c r="E21" s="2" t="s">
        <v>60</v>
      </c>
      <c r="G21" s="167" cm="1">
        <f t="array" ref="G21:R21">_xlfn.ANCHORARRAY(G19)-_xlfn.ANCHORARRAY(G20)</f>
        <v>49006</v>
      </c>
      <c r="H21" s="167">
        <f/>
        <v>-29624</v>
      </c>
      <c r="I21" s="167">
        <f/>
        <v>-9256</v>
      </c>
      <c r="J21" s="167">
        <f/>
        <v>0</v>
      </c>
      <c r="K21" s="167">
        <f/>
        <v>-10126</v>
      </c>
      <c r="L21" s="167">
        <f/>
        <v>0</v>
      </c>
      <c r="M21" s="167">
        <f/>
        <v>0</v>
      </c>
      <c r="N21" s="167">
        <f/>
        <v>0</v>
      </c>
      <c r="O21" s="167">
        <f/>
        <v>0</v>
      </c>
      <c r="P21" s="167">
        <f/>
        <v>0</v>
      </c>
      <c r="Q21" s="167">
        <f/>
        <v>0</v>
      </c>
      <c r="R21" s="167">
        <f/>
        <v>0</v>
      </c>
    </row>
    <row r="22" spans="1:18" x14ac:dyDescent="0.25">
      <c r="E22" s="2" t="s">
        <v>294</v>
      </c>
      <c r="G22" s="162" cm="1">
        <f t="array" ref="G22:R22">nabla.f.Cumulativeλ(_xlfn.ANCHORARRAY(G21))</f>
        <v>49006</v>
      </c>
      <c r="H22">
        <f/>
        <v>19382</v>
      </c>
      <c r="I22">
        <f/>
        <v>10126</v>
      </c>
      <c r="J22">
        <f/>
        <v>10126</v>
      </c>
      <c r="K22">
        <f/>
        <v>0</v>
      </c>
      <c r="L22">
        <f/>
        <v>0</v>
      </c>
      <c r="M22">
        <f/>
        <v>0</v>
      </c>
      <c r="N22">
        <f/>
        <v>0</v>
      </c>
      <c r="O22">
        <f/>
        <v>0</v>
      </c>
      <c r="P22">
        <f/>
        <v>0</v>
      </c>
      <c r="Q22">
        <f/>
        <v>0</v>
      </c>
      <c r="R22">
        <f/>
        <v>0</v>
      </c>
    </row>
  </sheetData>
  <mergeCells count="3">
    <mergeCell ref="A1:P1"/>
    <mergeCell ref="A2:P2"/>
    <mergeCell ref="A16:C16"/>
  </mergeCells>
  <hyperlinks>
    <hyperlink ref="A1" location="'TOC'!$A$1" display="'TOC'!$A$1" xr:uid="{ED1E097E-1DBF-4AE4-B677-F605D3EB54C0}"/>
  </hyperlinks>
  <pageMargins left="0.7" right="0.7" top="0.75" bottom="0.75" header="0.3" footer="0.3"/>
  <customProperties>
    <customPr name="Description" r:id="rId1"/>
  </customProperties>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157A5F"/>
  </sheetPr>
  <dimension ref="A1:EA65"/>
  <sheetViews>
    <sheetView showGridLines="0" workbookViewId="0">
      <selection activeCell="A1" sqref="A1"/>
    </sheetView>
  </sheetViews>
  <sheetFormatPr defaultColWidth="11" defaultRowHeight="15" x14ac:dyDescent="0.25"/>
  <cols>
    <col min="1" max="1" width="13.140625" bestFit="1" customWidth="1"/>
    <col min="10" max="10" width="22.140625" bestFit="1" customWidth="1"/>
    <col min="11" max="11" width="15.5703125" bestFit="1" customWidth="1"/>
  </cols>
  <sheetData>
    <row r="1" spans="1:18" ht="45.75" x14ac:dyDescent="0.65">
      <c r="A1" s="270" t="str">
        <f>_xlfn.TEXTAFTER(CELL("filename",A1),"]")</f>
        <v>nabla.f.Depreciateλ</v>
      </c>
      <c r="B1" s="270"/>
      <c r="C1" s="270"/>
      <c r="D1" s="270"/>
      <c r="E1" s="270"/>
      <c r="F1" s="270"/>
      <c r="G1" s="270"/>
      <c r="H1" s="270"/>
      <c r="I1" s="270"/>
      <c r="J1" s="270"/>
      <c r="K1" s="270"/>
      <c r="L1" s="270"/>
      <c r="M1" s="270"/>
      <c r="N1" s="270"/>
      <c r="O1" s="270"/>
      <c r="P1" s="270"/>
      <c r="Q1" s="270"/>
    </row>
    <row r="2" spans="1:18" x14ac:dyDescent="0.25">
      <c r="A2" s="273" t="s">
        <v>208</v>
      </c>
      <c r="B2" s="311"/>
      <c r="C2" s="311"/>
      <c r="D2" s="311"/>
      <c r="E2" s="311"/>
      <c r="F2" s="311"/>
      <c r="G2" s="311"/>
      <c r="H2" s="311"/>
      <c r="I2" s="311"/>
      <c r="J2" s="311"/>
      <c r="K2" s="311"/>
      <c r="L2" s="311"/>
      <c r="M2" s="311"/>
      <c r="N2" s="311"/>
      <c r="O2" s="311"/>
      <c r="P2" s="311"/>
      <c r="Q2" s="312"/>
    </row>
    <row r="3" spans="1:18" x14ac:dyDescent="0.25">
      <c r="A3" s="104"/>
      <c r="B3" s="104"/>
      <c r="C3" s="104"/>
      <c r="D3" s="104"/>
      <c r="E3" s="104"/>
      <c r="F3" s="104"/>
      <c r="G3" s="104"/>
      <c r="H3" s="104"/>
      <c r="I3" s="104"/>
      <c r="J3" s="104"/>
      <c r="K3" s="314"/>
      <c r="L3" s="314"/>
      <c r="M3" s="314"/>
      <c r="N3" s="314"/>
      <c r="O3" s="314"/>
      <c r="P3" s="314"/>
      <c r="Q3" s="314"/>
      <c r="R3" s="314"/>
    </row>
    <row r="4" spans="1:18" x14ac:dyDescent="0.25">
      <c r="A4" s="162" t="str" cm="1">
        <f t="array" ref="A4:B26">nabla.f.Depreciateλ()</f>
        <v>FUNCTION:</v>
      </c>
      <c r="B4" t="str">
        <v>Depreciateλ(InitialValues, InServiceDates, LifeInYears, Timeline,</v>
      </c>
      <c r="K4" s="314"/>
      <c r="L4" s="314"/>
      <c r="M4" s="314"/>
      <c r="N4" s="314"/>
      <c r="O4" s="314"/>
      <c r="P4" s="314"/>
      <c r="Q4" s="314"/>
      <c r="R4" s="314"/>
    </row>
    <row r="5" spans="1:18" x14ac:dyDescent="0.25">
      <c r="A5" t="str">
        <v/>
      </c>
      <c r="B5" t="str">
        <v>[SalvageValues], [DisposalDates], [DisposalCosts], [Methods], [Factor])</v>
      </c>
      <c r="K5" s="314"/>
      <c r="L5" s="314"/>
      <c r="M5" s="314"/>
      <c r="N5" s="314"/>
      <c r="O5" s="314"/>
      <c r="P5" s="314"/>
      <c r="Q5" s="314"/>
      <c r="R5" s="314"/>
    </row>
    <row r="6" spans="1:18" x14ac:dyDescent="0.25">
      <c r="A6" t="str">
        <v>DESCRIPTION:</v>
      </c>
      <c r="B6" t="str">
        <v>Creates an array of CAPEX, depreciation, and book values for a model's timeline</v>
      </c>
      <c r="K6" s="314"/>
      <c r="L6" s="314"/>
      <c r="M6" s="314"/>
      <c r="N6" s="314"/>
      <c r="O6" s="314"/>
      <c r="P6" s="314"/>
      <c r="Q6" s="314"/>
      <c r="R6" s="314"/>
    </row>
    <row r="7" spans="1:18" x14ac:dyDescent="0.25">
      <c r="A7" t="str">
        <v>WEBPAGE:</v>
      </c>
      <c r="B7" t="str">
        <v>https://github.com/ryanduguid/Nabla</v>
      </c>
      <c r="K7" s="314"/>
      <c r="L7" s="314"/>
      <c r="M7" s="314"/>
      <c r="N7" s="314"/>
      <c r="O7" s="314"/>
      <c r="P7" s="314"/>
      <c r="Q7" s="314"/>
      <c r="R7" s="314"/>
    </row>
    <row r="8" spans="1:18" x14ac:dyDescent="0.25">
      <c r="A8" t="str">
        <v>VERSION:</v>
      </c>
      <c r="B8" t="str">
        <v>18 Aug 2026</v>
      </c>
      <c r="K8" s="314"/>
      <c r="L8" s="314"/>
      <c r="M8" s="314"/>
      <c r="N8" s="314"/>
      <c r="O8" s="314"/>
      <c r="P8" s="314"/>
      <c r="Q8" s="314"/>
      <c r="R8" s="314"/>
    </row>
    <row r="9" spans="1:18" x14ac:dyDescent="0.25">
      <c r="A9" t="str">
        <v>NOTES:</v>
      </c>
      <c r="B9" t="str">
        <v>The methods used here differs from Excel's functions in several ways. Please see webpage for details.</v>
      </c>
      <c r="K9" s="314"/>
      <c r="L9" s="314"/>
      <c r="M9" s="314"/>
      <c r="N9" s="314"/>
      <c r="O9" s="314"/>
      <c r="P9" s="314"/>
      <c r="Q9" s="314"/>
      <c r="R9" s="314"/>
    </row>
    <row r="10" spans="1:18" x14ac:dyDescent="0.25">
      <c r="A10" t="str">
        <v>PARAMETERS:</v>
      </c>
      <c r="B10" t="str">
        <v/>
      </c>
      <c r="K10" s="314"/>
      <c r="L10" s="314"/>
      <c r="M10" s="314"/>
      <c r="N10" s="314"/>
      <c r="O10" s="314"/>
      <c r="P10" s="314"/>
      <c r="Q10" s="314"/>
      <c r="R10" s="314"/>
    </row>
    <row r="11" spans="1:18" x14ac:dyDescent="0.25">
      <c r="A11" t="str">
        <v>InitialValues</v>
      </c>
      <c r="B11" t="str">
        <v>(Required) The purchase values of each asset to depreciate</v>
      </c>
      <c r="K11" s="314"/>
      <c r="L11" s="314"/>
      <c r="M11" s="314"/>
      <c r="N11" s="314"/>
      <c r="O11" s="314"/>
      <c r="P11" s="314"/>
      <c r="Q11" s="314"/>
      <c r="R11" s="314"/>
    </row>
    <row r="12" spans="1:18" x14ac:dyDescent="0.25">
      <c r="A12" t="str">
        <v>InServiceDates</v>
      </c>
      <c r="B12" t="str">
        <v>(Required) The dates from which to start depreciating each asset</v>
      </c>
      <c r="K12" s="314"/>
      <c r="L12" s="314"/>
      <c r="M12" s="314"/>
      <c r="N12" s="314"/>
      <c r="O12" s="314"/>
      <c r="P12" s="314"/>
      <c r="Q12" s="314"/>
      <c r="R12" s="314"/>
    </row>
    <row r="13" spans="1:18" x14ac:dyDescent="0.25">
      <c r="A13" t="str">
        <v>LifeInYears</v>
      </c>
      <c r="B13" t="str">
        <v>(Required) The number of years with which to depreciate each asset</v>
      </c>
      <c r="K13" s="314"/>
      <c r="L13" s="314"/>
      <c r="M13" s="314"/>
      <c r="N13" s="314"/>
      <c r="O13" s="314"/>
      <c r="P13" s="314"/>
      <c r="Q13" s="314"/>
      <c r="R13" s="314"/>
    </row>
    <row r="14" spans="1:18" x14ac:dyDescent="0.25">
      <c r="A14" t="str">
        <v>Timeline</v>
      </c>
      <c r="B14" t="str">
        <v>(Required) The model's timeline or a row of period start dates.</v>
      </c>
      <c r="K14" s="314"/>
      <c r="L14" s="314"/>
      <c r="M14" s="314"/>
      <c r="N14" s="314"/>
      <c r="O14" s="314"/>
      <c r="P14" s="314"/>
      <c r="Q14" s="314"/>
      <c r="R14" s="314"/>
    </row>
    <row r="15" spans="1:18" x14ac:dyDescent="0.25">
      <c r="A15" t="str">
        <v/>
      </c>
      <c r="B15" t="str">
        <v>Timeline can be in Months, Quarters, or Years</v>
      </c>
      <c r="K15" s="314"/>
      <c r="L15" s="314"/>
      <c r="M15" s="314"/>
      <c r="N15" s="314"/>
      <c r="O15" s="314"/>
      <c r="P15" s="314"/>
      <c r="Q15" s="314"/>
      <c r="R15" s="314"/>
    </row>
    <row r="16" spans="1:18" x14ac:dyDescent="0.25">
      <c r="A16" t="str">
        <v>SalvageValues</v>
      </c>
      <c r="B16" t="str">
        <v>(Optional: Default = 0) The book values of each asset after fully depreciated.</v>
      </c>
      <c r="K16" s="314"/>
      <c r="L16" s="314"/>
      <c r="M16" s="314"/>
      <c r="N16" s="314"/>
      <c r="O16" s="314"/>
      <c r="P16" s="314"/>
      <c r="Q16" s="314"/>
      <c r="R16" s="314"/>
    </row>
    <row r="17" spans="1:18" x14ac:dyDescent="0.25">
      <c r="A17" t="str">
        <v>DisposalDates</v>
      </c>
      <c r="B17" t="str">
        <v>(Optional: Default = End of life) The dates on which the assets are removed from the books.</v>
      </c>
      <c r="K17" s="314"/>
      <c r="L17" s="314"/>
      <c r="M17" s="314"/>
      <c r="N17" s="314"/>
      <c r="O17" s="314"/>
      <c r="P17" s="314"/>
      <c r="Q17" s="314"/>
      <c r="R17" s="314"/>
    </row>
    <row r="18" spans="1:18" x14ac:dyDescent="0.25">
      <c r="A18" t="str">
        <v>DisposalCosts</v>
      </c>
      <c r="B18" t="str">
        <v>(Optional: Default = 0) The book values of each asset after fully depreciated.</v>
      </c>
      <c r="K18" s="314"/>
      <c r="L18" s="314"/>
      <c r="M18" s="314"/>
      <c r="N18" s="314"/>
      <c r="O18" s="314"/>
      <c r="P18" s="314"/>
      <c r="Q18" s="314"/>
      <c r="R18" s="314"/>
    </row>
    <row r="19" spans="1:18" x14ac:dyDescent="0.25">
      <c r="A19" t="str">
        <v>Methods</v>
      </c>
      <c r="B19" t="str">
        <v>(Optional: Default = SLN) The desired depreciation method. Must be one of these Excel function names:</v>
      </c>
      <c r="K19" s="314"/>
      <c r="L19" s="314"/>
      <c r="M19" s="314"/>
      <c r="N19" s="314"/>
      <c r="O19" s="314"/>
      <c r="P19" s="314"/>
      <c r="Q19" s="314"/>
      <c r="R19" s="314"/>
    </row>
    <row r="20" spans="1:18" x14ac:dyDescent="0.25">
      <c r="A20" t="str">
        <v/>
      </c>
      <c r="B20" t="str">
        <v>SLN=Straight Line Depreciation</v>
      </c>
      <c r="K20" s="314"/>
      <c r="L20" s="314"/>
      <c r="M20" s="314"/>
      <c r="N20" s="314"/>
      <c r="O20" s="314"/>
      <c r="P20" s="314"/>
      <c r="Q20" s="314"/>
      <c r="R20" s="314"/>
    </row>
    <row r="21" spans="1:18" x14ac:dyDescent="0.25">
      <c r="A21" t="str">
        <v/>
      </c>
      <c r="B21" t="str">
        <v>SYD=Sum of Year's Digits</v>
      </c>
      <c r="K21" s="314"/>
      <c r="L21" s="314"/>
      <c r="M21" s="314"/>
      <c r="N21" s="314"/>
      <c r="O21" s="314"/>
      <c r="P21" s="314"/>
      <c r="Q21" s="314"/>
      <c r="R21" s="314"/>
    </row>
    <row r="22" spans="1:18" x14ac:dyDescent="0.25">
      <c r="A22" t="str">
        <v/>
      </c>
      <c r="B22" t="str">
        <v>DB =Declining Balance</v>
      </c>
      <c r="K22" s="314"/>
      <c r="L22" s="314"/>
      <c r="M22" s="314"/>
      <c r="N22" s="314"/>
      <c r="O22" s="314"/>
      <c r="P22" s="314"/>
      <c r="Q22" s="314"/>
      <c r="R22" s="314"/>
    </row>
    <row r="23" spans="1:18" x14ac:dyDescent="0.25">
      <c r="A23" t="str">
        <v/>
      </c>
      <c r="B23" t="str">
        <v>DDB=Double Declining Balance</v>
      </c>
      <c r="K23" s="315" t="s">
        <v>335</v>
      </c>
      <c r="L23" s="315"/>
      <c r="M23" s="315"/>
      <c r="N23" s="315"/>
      <c r="O23" s="315"/>
      <c r="P23" s="315"/>
      <c r="Q23" s="315"/>
      <c r="R23" s="315"/>
    </row>
    <row r="24" spans="1:18" x14ac:dyDescent="0.25">
      <c r="A24" t="str">
        <v/>
      </c>
      <c r="B24" t="str">
        <v>VDB=Variable Declining Balance</v>
      </c>
    </row>
    <row r="25" spans="1:18" x14ac:dyDescent="0.25">
      <c r="A25" t="str">
        <v/>
      </c>
      <c r="B25" t="str">
        <v>DV =Diminishing value (ATO 200% method). Salvage value ignored</v>
      </c>
    </row>
    <row r="26" spans="1:18" x14ac:dyDescent="0.25">
      <c r="A26" t="str">
        <v>Factors</v>
      </c>
      <c r="B26" t="str">
        <v>(Optional: Default = 2) Only applicable to DDB and VDB methods.</v>
      </c>
    </row>
    <row r="35" spans="1:131" ht="20.25" x14ac:dyDescent="0.3">
      <c r="A35" s="302" t="s">
        <v>272</v>
      </c>
      <c r="B35" s="302"/>
      <c r="C35" s="302"/>
      <c r="J35" s="2" t="s">
        <v>289</v>
      </c>
    </row>
    <row r="37" spans="1:131" x14ac:dyDescent="0.25">
      <c r="A37" s="161" t="s">
        <v>273</v>
      </c>
      <c r="B37" s="161" t="s">
        <v>138</v>
      </c>
      <c r="C37" s="161" t="s">
        <v>139</v>
      </c>
      <c r="J37" s="190" t="s">
        <v>131</v>
      </c>
      <c r="K37" s="190" t="s">
        <v>276</v>
      </c>
      <c r="L37" s="1" cm="1">
        <f t="array" ref="L37:EA37">nabla.d.Timelineλ($B$38, $B$39, $B$40)</f>
        <v>45292</v>
      </c>
      <c r="M37" s="1">
        <v>46388</v>
      </c>
      <c r="N37" s="1">
        <v>46753</v>
      </c>
      <c r="O37" s="1">
        <v>47119</v>
      </c>
      <c r="P37" s="1">
        <v>47484</v>
      </c>
      <c r="Q37" s="1">
        <v>47849</v>
      </c>
      <c r="R37" s="1">
        <v>48214</v>
      </c>
      <c r="S37" s="1">
        <v>48580</v>
      </c>
      <c r="T37" s="1">
        <v>48945</v>
      </c>
      <c r="U37" s="1">
        <v>49310</v>
      </c>
      <c r="V37" s="1">
        <v>49675</v>
      </c>
      <c r="W37" s="1">
        <v>50041</v>
      </c>
      <c r="X37" s="1">
        <v>50406</v>
      </c>
      <c r="Y37" s="1">
        <v>50771</v>
      </c>
      <c r="Z37" s="1">
        <v>51136</v>
      </c>
      <c r="AA37" s="1">
        <v>51502</v>
      </c>
      <c r="AB37" s="1">
        <v>51867</v>
      </c>
      <c r="AC37" s="1">
        <v>52232</v>
      </c>
      <c r="AD37" s="1">
        <v>52597</v>
      </c>
      <c r="AE37" s="1">
        <v>52963</v>
      </c>
      <c r="AF37" s="1">
        <v>53328</v>
      </c>
      <c r="AG37" s="1">
        <v>53693</v>
      </c>
      <c r="AH37" s="1">
        <v>54058</v>
      </c>
      <c r="AI37" s="1">
        <v>54424</v>
      </c>
      <c r="AJ37" s="1">
        <v>54789</v>
      </c>
      <c r="AK37" s="1">
        <v>55154</v>
      </c>
      <c r="AL37" s="1">
        <v>55519</v>
      </c>
      <c r="AM37" s="1">
        <v>55885</v>
      </c>
      <c r="AN37" s="1">
        <v>56250</v>
      </c>
      <c r="AO37" s="1">
        <v>56615</v>
      </c>
      <c r="AP37" s="1">
        <v>56980</v>
      </c>
      <c r="AQ37" s="1">
        <v>57346</v>
      </c>
      <c r="AR37" s="1">
        <v>57711</v>
      </c>
      <c r="AS37" s="1">
        <v>58076</v>
      </c>
      <c r="AT37" s="1">
        <v>58441</v>
      </c>
      <c r="AU37" s="1">
        <v>58807</v>
      </c>
      <c r="AV37" s="1">
        <v>59172</v>
      </c>
      <c r="AW37" s="1">
        <v>59537</v>
      </c>
      <c r="AX37" s="1">
        <v>59902</v>
      </c>
      <c r="AY37" s="1">
        <v>60268</v>
      </c>
      <c r="AZ37" s="1">
        <v>60633</v>
      </c>
      <c r="BA37" s="1">
        <v>60998</v>
      </c>
      <c r="BB37" s="1">
        <v>61363</v>
      </c>
      <c r="BC37" s="1">
        <v>61729</v>
      </c>
      <c r="BD37" s="1">
        <v>62094</v>
      </c>
      <c r="BE37" s="1">
        <v>62459</v>
      </c>
      <c r="BF37" s="1">
        <v>62824</v>
      </c>
      <c r="BG37" s="1">
        <v>63190</v>
      </c>
      <c r="BH37" s="1">
        <v>63555</v>
      </c>
      <c r="BI37" s="1">
        <v>63920</v>
      </c>
      <c r="BJ37" s="1">
        <v>64285</v>
      </c>
      <c r="BK37" s="1">
        <v>64651</v>
      </c>
      <c r="BL37" s="1">
        <v>65016</v>
      </c>
      <c r="BM37" s="1">
        <v>65381</v>
      </c>
      <c r="BN37" s="1">
        <v>65746</v>
      </c>
      <c r="BO37" s="1">
        <v>66112</v>
      </c>
      <c r="BP37" s="1">
        <v>66477</v>
      </c>
      <c r="BQ37" s="1">
        <v>66842</v>
      </c>
      <c r="BR37" s="1">
        <v>67207</v>
      </c>
      <c r="BS37" s="1">
        <v>67573</v>
      </c>
      <c r="BT37" s="1">
        <v>67938</v>
      </c>
      <c r="BU37" s="1">
        <v>68303</v>
      </c>
      <c r="BV37" s="1">
        <v>68668</v>
      </c>
      <c r="BW37" s="1">
        <v>69034</v>
      </c>
      <c r="BX37" s="1">
        <v>69399</v>
      </c>
      <c r="BY37" s="1">
        <v>69764</v>
      </c>
      <c r="BZ37" s="1">
        <v>70129</v>
      </c>
      <c r="CA37" s="1">
        <v>70495</v>
      </c>
      <c r="CB37" s="1">
        <v>70860</v>
      </c>
      <c r="CC37" s="1">
        <v>71225</v>
      </c>
      <c r="CD37" s="1">
        <v>71590</v>
      </c>
      <c r="CE37" s="1">
        <v>71956</v>
      </c>
      <c r="CF37" s="1">
        <v>72321</v>
      </c>
      <c r="CG37" s="1">
        <v>72686</v>
      </c>
      <c r="CH37" s="1">
        <v>73051</v>
      </c>
      <c r="CI37" s="1">
        <v>73416</v>
      </c>
      <c r="CJ37" s="1">
        <v>73781</v>
      </c>
      <c r="CK37" s="1">
        <v>74146</v>
      </c>
      <c r="CL37" s="1">
        <v>74511</v>
      </c>
      <c r="CM37" s="1">
        <v>74877</v>
      </c>
      <c r="CN37" s="1">
        <v>75242</v>
      </c>
      <c r="CO37" s="1">
        <v>75607</v>
      </c>
      <c r="CP37" s="1">
        <v>75972</v>
      </c>
      <c r="CQ37" s="1">
        <v>76338</v>
      </c>
      <c r="CR37" s="1">
        <v>76703</v>
      </c>
      <c r="CS37" s="1">
        <v>77068</v>
      </c>
      <c r="CT37" s="1">
        <v>77433</v>
      </c>
      <c r="CU37" s="1">
        <v>77799</v>
      </c>
      <c r="CV37" s="1">
        <v>78164</v>
      </c>
      <c r="CW37" s="1">
        <v>78529</v>
      </c>
      <c r="CX37" s="1">
        <v>78894</v>
      </c>
      <c r="CY37" s="1">
        <v>79260</v>
      </c>
      <c r="CZ37" s="1">
        <v>79625</v>
      </c>
      <c r="DA37" s="1">
        <v>79990</v>
      </c>
      <c r="DB37" s="1">
        <v>80355</v>
      </c>
      <c r="DC37" s="1">
        <v>80721</v>
      </c>
      <c r="DD37" s="1">
        <v>80355</v>
      </c>
      <c r="DE37" s="1">
        <v>80721</v>
      </c>
      <c r="DF37" s="1">
        <v>81086</v>
      </c>
      <c r="DG37" s="1">
        <v>81451</v>
      </c>
      <c r="DH37" s="1">
        <v>81816</v>
      </c>
      <c r="DI37" s="1">
        <v>82182</v>
      </c>
      <c r="DJ37" s="1">
        <v>82547</v>
      </c>
      <c r="DK37" s="1">
        <v>82912</v>
      </c>
      <c r="DL37" s="1">
        <v>83277</v>
      </c>
      <c r="DM37" s="1">
        <v>83643</v>
      </c>
      <c r="DN37" s="1">
        <v>84008</v>
      </c>
      <c r="DO37" s="1">
        <v>84373</v>
      </c>
      <c r="DP37" s="1">
        <v>84738</v>
      </c>
      <c r="DQ37" s="1">
        <v>85104</v>
      </c>
      <c r="DR37" s="1">
        <v>85469</v>
      </c>
      <c r="DS37" s="1">
        <v>85834</v>
      </c>
      <c r="DT37" s="1">
        <v>86199</v>
      </c>
      <c r="DU37" s="1">
        <v>86565</v>
      </c>
      <c r="DV37" s="1">
        <v>86930</v>
      </c>
      <c r="DW37" s="1">
        <v>87295</v>
      </c>
      <c r="DX37" s="1">
        <v>87660</v>
      </c>
      <c r="DY37" s="1">
        <v>88026</v>
      </c>
      <c r="DZ37">
        <v>88391</v>
      </c>
      <c r="EA37">
        <v>88756</v>
      </c>
    </row>
    <row r="38" spans="1:131" x14ac:dyDescent="0.25">
      <c r="A38" t="s">
        <v>236</v>
      </c>
      <c r="B38" s="141">
        <v>46023</v>
      </c>
      <c r="C38" t="s">
        <v>145</v>
      </c>
      <c r="J38" t="s">
        <v>343</v>
      </c>
      <c r="L38" cm="1">
        <f t="array" ref="L38:EA38">nabla.f.SumContainsλ(_xlfn.ANCHORARRAY($L$46),_xlfn.ANCHORARRAY($J$46),J38)</f>
        <v>85000</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344</v>
      </c>
      <c r="L39" cm="1">
        <f t="array" ref="L39:EA39">nabla.f.SumContainsλ(_xlfn.ANCHORARRAY($L$46),_xlfn.ANCHORARRAY($J$46),J39)</f>
        <v>9104.16</v>
      </c>
      <c r="M39">
        <v>10127.74</v>
      </c>
      <c r="N39">
        <v>8313.3000000000011</v>
      </c>
      <c r="O39">
        <v>6887.9249999999993</v>
      </c>
      <c r="P39">
        <v>5757.8387499999999</v>
      </c>
      <c r="Q39">
        <v>5013.3290625000009</v>
      </c>
      <c r="R39">
        <v>4646.2857291666669</v>
      </c>
      <c r="S39">
        <v>4349.8337291666667</v>
      </c>
      <c r="T39">
        <v>2723.5061291666671</v>
      </c>
      <c r="U39">
        <v>3945.5243200000004</v>
      </c>
      <c r="V39">
        <v>2440.5572799999959</v>
      </c>
      <c r="W39">
        <v>2730</v>
      </c>
      <c r="X39">
        <v>2230</v>
      </c>
      <c r="Y39">
        <v>2230</v>
      </c>
      <c r="Z39">
        <v>2230</v>
      </c>
      <c r="AA39">
        <v>2230</v>
      </c>
      <c r="AB39">
        <v>2230</v>
      </c>
      <c r="AC39">
        <v>1115</v>
      </c>
      <c r="AD39">
        <v>0</v>
      </c>
      <c r="AE39">
        <v>0</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345</v>
      </c>
      <c r="L40" cm="1">
        <f t="array" ref="L40:EA40">nabla.f.SumContainsλ(_xlfn.ANCHORARRAY($L$46),_xlfn.ANCHORARRAY($J$46),J40)</f>
        <v>75895.839999999997</v>
      </c>
      <c r="M40">
        <v>65768.099999999977</v>
      </c>
      <c r="N40">
        <v>57454.799999999959</v>
      </c>
      <c r="O40">
        <v>50566.874999999942</v>
      </c>
      <c r="P40">
        <v>44809.036249999946</v>
      </c>
      <c r="Q40">
        <v>39795.707187499975</v>
      </c>
      <c r="R40">
        <v>35149.421458333316</v>
      </c>
      <c r="S40">
        <v>30799.587729166647</v>
      </c>
      <c r="T40">
        <v>28076.081599999961</v>
      </c>
      <c r="U40">
        <v>24130.557279999943</v>
      </c>
      <c r="V40">
        <v>21689.999999999942</v>
      </c>
      <c r="W40">
        <v>18959.999999999924</v>
      </c>
      <c r="X40">
        <v>16729.999999999905</v>
      </c>
      <c r="Y40">
        <v>14499.999999999887</v>
      </c>
      <c r="Z40">
        <v>12269.999999999885</v>
      </c>
      <c r="AA40">
        <v>10039.999999999885</v>
      </c>
      <c r="AB40">
        <v>7809.9999999998854</v>
      </c>
      <c r="AC40">
        <v>6694.9999999998854</v>
      </c>
      <c r="AD40">
        <v>6694.9999999998845</v>
      </c>
      <c r="AE40">
        <v>6694.9999999998845</v>
      </c>
      <c r="AF40">
        <v>6694.9999999998845</v>
      </c>
      <c r="AG40">
        <v>6694.9999999998845</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346</v>
      </c>
      <c r="L41" cm="1">
        <f t="array" ref="L41:EA41">nabla.f.SumContainsλ(_xlfn.ANCHORARRAY($L$46),_xlfn.ANCHORARRAY($J$46),J41)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347</v>
      </c>
      <c r="L42" cm="1">
        <f t="array" ref="L42:EA42">nabla.f.SumContainsλ(_xlfn.ANCHORARRAY($L$46),_xlfn.ANCHORARRAY($J$46),J42)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0.25" x14ac:dyDescent="0.3">
      <c r="A43" s="295" t="s">
        <v>295</v>
      </c>
      <c r="B43" s="296"/>
      <c r="C43" s="296"/>
      <c r="D43" s="296"/>
      <c r="E43" s="296"/>
      <c r="F43" s="296"/>
      <c r="G43" s="296"/>
      <c r="H43" s="313"/>
    </row>
    <row r="44" spans="1:131" x14ac:dyDescent="0.25">
      <c r="A44" s="309"/>
      <c r="B44" s="310"/>
      <c r="C44" s="310"/>
      <c r="D44" s="310"/>
      <c r="E44" s="310"/>
      <c r="F44" s="310"/>
      <c r="G44" s="310"/>
      <c r="H44" s="310"/>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nabla.d.Timelineλ($B$38, $B$39, $B$40)</f>
        <v>45292</v>
      </c>
      <c r="M45" s="1">
        <v>46388</v>
      </c>
      <c r="N45" s="1">
        <v>46753</v>
      </c>
      <c r="O45" s="1">
        <v>47119</v>
      </c>
      <c r="P45" s="1">
        <v>47484</v>
      </c>
      <c r="Q45" s="1">
        <v>47849</v>
      </c>
      <c r="R45" s="1">
        <v>48214</v>
      </c>
      <c r="S45" s="1">
        <v>48580</v>
      </c>
      <c r="T45" s="1">
        <v>48945</v>
      </c>
      <c r="U45" s="1">
        <v>49310</v>
      </c>
      <c r="V45" s="1">
        <v>49675</v>
      </c>
      <c r="W45" s="1">
        <v>50041</v>
      </c>
      <c r="X45" s="1">
        <v>50406</v>
      </c>
      <c r="Y45" s="1">
        <v>50771</v>
      </c>
      <c r="Z45" s="1">
        <v>51136</v>
      </c>
      <c r="AA45" s="1">
        <v>51502</v>
      </c>
      <c r="AB45" s="1">
        <v>51867</v>
      </c>
      <c r="AC45" s="1">
        <v>52232</v>
      </c>
      <c r="AD45" s="1">
        <v>52597</v>
      </c>
      <c r="AE45" s="1">
        <v>52963</v>
      </c>
      <c r="AF45" s="1">
        <v>53328</v>
      </c>
      <c r="AG45" s="1">
        <v>53693</v>
      </c>
      <c r="AH45" s="1">
        <v>54058</v>
      </c>
      <c r="AI45" s="1">
        <v>54424</v>
      </c>
      <c r="AJ45" s="1">
        <v>54789</v>
      </c>
      <c r="AK45" s="1">
        <v>55154</v>
      </c>
      <c r="AL45" s="1">
        <v>55519</v>
      </c>
      <c r="AM45" s="1">
        <v>55885</v>
      </c>
      <c r="AN45" s="1">
        <v>56250</v>
      </c>
      <c r="AO45" s="1">
        <v>56615</v>
      </c>
      <c r="AP45" s="1">
        <v>56980</v>
      </c>
      <c r="AQ45" s="1">
        <v>57346</v>
      </c>
      <c r="AR45" s="1">
        <v>57711</v>
      </c>
      <c r="AS45" s="1">
        <v>58076</v>
      </c>
      <c r="AT45" s="1">
        <v>58441</v>
      </c>
      <c r="AU45" s="1">
        <v>58807</v>
      </c>
      <c r="AV45" s="1">
        <v>59172</v>
      </c>
      <c r="AW45" s="1">
        <v>59537</v>
      </c>
      <c r="AX45" s="1">
        <v>59902</v>
      </c>
      <c r="AY45" s="1">
        <v>60268</v>
      </c>
      <c r="AZ45" s="1">
        <v>60633</v>
      </c>
      <c r="BA45" s="1">
        <v>60998</v>
      </c>
      <c r="BB45" s="1">
        <v>61363</v>
      </c>
      <c r="BC45" s="1">
        <v>61729</v>
      </c>
      <c r="BD45" s="1">
        <v>62094</v>
      </c>
      <c r="BE45" s="1">
        <v>62459</v>
      </c>
      <c r="BF45" s="1">
        <v>62824</v>
      </c>
      <c r="BG45" s="1">
        <v>63190</v>
      </c>
      <c r="BH45" s="1">
        <v>63555</v>
      </c>
      <c r="BI45" s="1">
        <v>63920</v>
      </c>
      <c r="BJ45" s="1">
        <v>64285</v>
      </c>
      <c r="BK45" s="1">
        <v>64651</v>
      </c>
      <c r="BL45" s="1">
        <v>65016</v>
      </c>
      <c r="BM45" s="1">
        <v>65381</v>
      </c>
      <c r="BN45" s="1">
        <v>65746</v>
      </c>
      <c r="BO45" s="1">
        <v>66112</v>
      </c>
      <c r="BP45" s="1">
        <v>66477</v>
      </c>
      <c r="BQ45" s="1">
        <v>66842</v>
      </c>
      <c r="BR45" s="1">
        <v>67207</v>
      </c>
      <c r="BS45" s="1">
        <v>67573</v>
      </c>
      <c r="BT45" s="1">
        <v>67938</v>
      </c>
      <c r="BU45" s="1">
        <v>68303</v>
      </c>
      <c r="BV45" s="1">
        <v>68668</v>
      </c>
      <c r="BW45" s="1">
        <v>69034</v>
      </c>
      <c r="BX45" s="1">
        <v>69399</v>
      </c>
      <c r="BY45" s="1">
        <v>69764</v>
      </c>
      <c r="BZ45" s="1">
        <v>70129</v>
      </c>
      <c r="CA45" s="1">
        <v>70495</v>
      </c>
      <c r="CB45" s="1">
        <v>70860</v>
      </c>
      <c r="CC45" s="1">
        <v>71225</v>
      </c>
      <c r="CD45" s="1">
        <v>71590</v>
      </c>
      <c r="CE45" s="1">
        <v>71956</v>
      </c>
      <c r="CF45" s="1">
        <v>72321</v>
      </c>
      <c r="CG45" s="1">
        <v>72686</v>
      </c>
      <c r="CH45" s="1">
        <v>73051</v>
      </c>
      <c r="CI45" s="1">
        <v>73416</v>
      </c>
      <c r="CJ45" s="1">
        <v>73781</v>
      </c>
      <c r="CK45" s="1">
        <v>74146</v>
      </c>
      <c r="CL45" s="1">
        <v>74511</v>
      </c>
      <c r="CM45" s="1">
        <v>74877</v>
      </c>
      <c r="CN45" s="1">
        <v>75242</v>
      </c>
      <c r="CO45" s="1">
        <v>75607</v>
      </c>
      <c r="CP45" s="1">
        <v>75972</v>
      </c>
      <c r="CQ45" s="1">
        <v>76338</v>
      </c>
      <c r="CR45" s="1">
        <v>76703</v>
      </c>
      <c r="CS45" s="1">
        <v>77068</v>
      </c>
      <c r="CT45" s="1">
        <v>77433</v>
      </c>
      <c r="CU45" s="1">
        <v>77799</v>
      </c>
      <c r="CV45" s="1">
        <v>78164</v>
      </c>
      <c r="CW45" s="1">
        <v>78529</v>
      </c>
      <c r="CX45" s="1">
        <v>78894</v>
      </c>
      <c r="CY45" s="1">
        <v>79260</v>
      </c>
      <c r="CZ45" s="1">
        <v>79625</v>
      </c>
      <c r="DA45" s="1">
        <v>79990</v>
      </c>
      <c r="DB45" s="1">
        <v>80355</v>
      </c>
      <c r="DC45" s="1">
        <v>80721</v>
      </c>
      <c r="DD45" s="1">
        <v>80355</v>
      </c>
      <c r="DE45" s="1">
        <v>80721</v>
      </c>
      <c r="DF45" s="1">
        <v>81086</v>
      </c>
      <c r="DG45" s="1">
        <v>81451</v>
      </c>
      <c r="DH45" s="1">
        <v>81816</v>
      </c>
      <c r="DI45" s="1">
        <v>82182</v>
      </c>
      <c r="DJ45" s="1">
        <v>82547</v>
      </c>
      <c r="DK45" s="1">
        <v>82912</v>
      </c>
      <c r="DL45" s="1">
        <v>83277</v>
      </c>
      <c r="DM45" s="1">
        <v>83643</v>
      </c>
      <c r="DN45" s="1">
        <v>84008</v>
      </c>
      <c r="DO45" s="1">
        <v>84373</v>
      </c>
      <c r="DP45" s="1">
        <v>84738</v>
      </c>
      <c r="DQ45" s="1">
        <v>85104</v>
      </c>
      <c r="DR45" s="1">
        <v>85469</v>
      </c>
      <c r="DS45" s="1">
        <v>85834</v>
      </c>
      <c r="DT45" s="1">
        <v>86199</v>
      </c>
      <c r="DU45" s="1">
        <v>86565</v>
      </c>
      <c r="DV45" s="1">
        <v>86930</v>
      </c>
      <c r="DW45" s="1">
        <v>87295</v>
      </c>
      <c r="DX45" s="1">
        <v>87660</v>
      </c>
      <c r="DY45" s="1">
        <v>88026</v>
      </c>
      <c r="DZ45">
        <v>88391</v>
      </c>
      <c r="EA45">
        <v>88756</v>
      </c>
    </row>
    <row r="46" spans="1:131" x14ac:dyDescent="0.25">
      <c r="A46" t="s">
        <v>303</v>
      </c>
      <c r="B46" s="195">
        <v>25000</v>
      </c>
      <c r="C46" s="120">
        <v>46054</v>
      </c>
      <c r="D46" s="195">
        <v>8</v>
      </c>
      <c r="E46" s="195">
        <v>1000</v>
      </c>
      <c r="F46" s="120">
        <f>EDATE(tblAssets[[#This Row],[Acquired]],(tblAssets[[#This Row],[Life]]+1)*12)</f>
        <v>48611</v>
      </c>
      <c r="G46" s="195">
        <v>500</v>
      </c>
      <c r="H46" s="120" t="s">
        <v>445</v>
      </c>
      <c r="J46" t="str" cm="1">
        <f t="array" ref="J46:J65">nabla.f.LabelDepreciateλ(tblAssets[Asset])</f>
        <v>Cutter CAPEX</v>
      </c>
      <c r="K46" cm="1">
        <f t="array" ref="K46:K65">nabla.f.SumDepreciateλ(_xlfn.ANCHORARRAY(L46))</f>
        <v>25000</v>
      </c>
      <c r="L46" s="162" cm="1">
        <f t="array" ref="L46:EA65">nabla.f.Depreciateλ(tblAssets[Amount],tblAssets[Acquired],tblAssets[Life],_xlfn.ANCHORARRAY(L45),tblAssets[Salvage],tblAssets[Date],tblAssets[Cost],tblAssets[Method])</f>
        <v>25000</v>
      </c>
      <c r="M46" s="261">
        <v>0</v>
      </c>
      <c r="N46" s="261">
        <v>0</v>
      </c>
      <c r="O46" s="261">
        <v>0</v>
      </c>
      <c r="P46" s="261">
        <v>0</v>
      </c>
      <c r="Q46" s="261">
        <v>0</v>
      </c>
      <c r="R46" s="261">
        <v>0</v>
      </c>
      <c r="S46" s="261">
        <v>0</v>
      </c>
      <c r="T46" s="261">
        <v>0</v>
      </c>
      <c r="U46" s="261">
        <v>0</v>
      </c>
      <c r="V46" s="261">
        <v>0</v>
      </c>
      <c r="W46" s="261">
        <v>0</v>
      </c>
      <c r="X46" s="261">
        <v>0</v>
      </c>
      <c r="Y46" s="261">
        <v>0</v>
      </c>
      <c r="Z46" s="261">
        <v>0</v>
      </c>
      <c r="AA46" s="261">
        <v>0</v>
      </c>
      <c r="AB46" s="261">
        <v>0</v>
      </c>
      <c r="AC46" s="261">
        <v>0</v>
      </c>
      <c r="AD46" s="261">
        <v>0</v>
      </c>
      <c r="AE46" s="261">
        <v>0</v>
      </c>
      <c r="AF46" s="261">
        <v>0</v>
      </c>
      <c r="AG46" s="261">
        <v>0</v>
      </c>
      <c r="AH46" s="261">
        <v>0</v>
      </c>
      <c r="AI46" s="261">
        <v>0</v>
      </c>
      <c r="AJ46" s="261">
        <v>0</v>
      </c>
      <c r="AK46" s="261">
        <v>0</v>
      </c>
      <c r="AL46" s="261">
        <v>0</v>
      </c>
      <c r="AM46" s="261">
        <v>0</v>
      </c>
      <c r="AN46" s="261">
        <v>0</v>
      </c>
      <c r="AO46" s="261">
        <v>0</v>
      </c>
      <c r="AP46" s="261">
        <v>0</v>
      </c>
      <c r="AQ46" s="261">
        <v>0</v>
      </c>
      <c r="AR46" s="261">
        <v>0</v>
      </c>
      <c r="AS46" s="261">
        <v>0</v>
      </c>
      <c r="AT46" s="261">
        <v>0</v>
      </c>
      <c r="AU46" s="261">
        <v>0</v>
      </c>
      <c r="AV46" s="261">
        <v>0</v>
      </c>
      <c r="AW46" s="261">
        <v>0</v>
      </c>
      <c r="AX46" s="261">
        <v>0</v>
      </c>
      <c r="AY46" s="261">
        <v>0</v>
      </c>
      <c r="AZ46" s="261">
        <v>0</v>
      </c>
      <c r="BA46" s="261">
        <v>0</v>
      </c>
      <c r="BB46" s="261">
        <v>0</v>
      </c>
      <c r="BC46" s="261">
        <v>0</v>
      </c>
      <c r="BD46" s="261">
        <v>0</v>
      </c>
      <c r="BE46" s="261">
        <v>0</v>
      </c>
      <c r="BF46" s="261">
        <v>0</v>
      </c>
      <c r="BG46" s="261">
        <v>0</v>
      </c>
      <c r="BH46" s="261">
        <v>0</v>
      </c>
      <c r="BI46" s="261">
        <v>0</v>
      </c>
      <c r="BJ46" s="261">
        <v>0</v>
      </c>
      <c r="BK46" s="261">
        <v>0</v>
      </c>
      <c r="BL46" s="261">
        <v>0</v>
      </c>
      <c r="BM46" s="261">
        <v>0</v>
      </c>
      <c r="BN46" s="261">
        <v>0</v>
      </c>
      <c r="BO46" s="261">
        <v>0</v>
      </c>
      <c r="BP46" s="261">
        <v>0</v>
      </c>
      <c r="BQ46" s="261">
        <v>0</v>
      </c>
      <c r="BR46" s="261">
        <v>0</v>
      </c>
      <c r="BS46" s="261">
        <v>0</v>
      </c>
      <c r="BT46" s="261">
        <v>0</v>
      </c>
      <c r="BU46" s="261">
        <v>0</v>
      </c>
      <c r="BV46" s="261">
        <v>0</v>
      </c>
      <c r="BW46" s="261">
        <v>0</v>
      </c>
      <c r="BX46" s="261">
        <v>0</v>
      </c>
      <c r="BY46" s="261">
        <v>0</v>
      </c>
      <c r="BZ46" s="261">
        <v>0</v>
      </c>
      <c r="CA46" s="261">
        <v>0</v>
      </c>
      <c r="CB46" s="261">
        <v>0</v>
      </c>
      <c r="CC46" s="261">
        <v>0</v>
      </c>
      <c r="CD46" s="261">
        <v>0</v>
      </c>
      <c r="CE46" s="261">
        <v>0</v>
      </c>
      <c r="CF46" s="261">
        <v>0</v>
      </c>
      <c r="CG46" s="261">
        <v>0</v>
      </c>
      <c r="CH46" s="261">
        <v>0</v>
      </c>
      <c r="CI46" s="261">
        <v>0</v>
      </c>
      <c r="CJ46" s="261">
        <v>0</v>
      </c>
      <c r="CK46" s="261">
        <v>0</v>
      </c>
      <c r="CL46" s="261">
        <v>0</v>
      </c>
      <c r="CM46" s="261">
        <v>0</v>
      </c>
      <c r="CN46" s="261">
        <v>0</v>
      </c>
      <c r="CO46" s="261">
        <v>0</v>
      </c>
      <c r="CP46" s="261">
        <v>0</v>
      </c>
      <c r="CQ46" s="261">
        <v>0</v>
      </c>
      <c r="CR46" s="261">
        <v>0</v>
      </c>
      <c r="CS46" s="261">
        <v>0</v>
      </c>
      <c r="CT46" s="261">
        <v>0</v>
      </c>
      <c r="CU46" s="261">
        <v>0</v>
      </c>
      <c r="CV46" s="261">
        <v>0</v>
      </c>
      <c r="CW46" s="261">
        <v>0</v>
      </c>
      <c r="CX46" s="261">
        <v>0</v>
      </c>
      <c r="CY46" s="261">
        <v>0</v>
      </c>
      <c r="CZ46" s="261">
        <v>0</v>
      </c>
      <c r="DA46" s="261">
        <v>0</v>
      </c>
      <c r="DB46" s="261">
        <v>0</v>
      </c>
      <c r="DC46" s="261">
        <v>0</v>
      </c>
      <c r="DD46" s="261">
        <v>0</v>
      </c>
      <c r="DE46" s="261">
        <v>0</v>
      </c>
      <c r="DF46" s="261">
        <v>0</v>
      </c>
      <c r="DG46" s="261">
        <v>0</v>
      </c>
      <c r="DH46" s="261">
        <v>0</v>
      </c>
      <c r="DI46" s="261">
        <v>0</v>
      </c>
      <c r="DJ46" s="261">
        <v>0</v>
      </c>
      <c r="DK46" s="261">
        <v>0</v>
      </c>
      <c r="DL46" s="261">
        <v>0</v>
      </c>
      <c r="DM46" s="261">
        <v>0</v>
      </c>
      <c r="DN46" s="261">
        <v>0</v>
      </c>
      <c r="DO46" s="261">
        <v>0</v>
      </c>
      <c r="DP46" s="261">
        <v>0</v>
      </c>
      <c r="DQ46" s="261">
        <v>0</v>
      </c>
      <c r="DR46" s="261">
        <v>0</v>
      </c>
      <c r="DS46" s="261">
        <v>0</v>
      </c>
      <c r="DT46" s="261">
        <v>0</v>
      </c>
      <c r="DU46" s="261">
        <v>0</v>
      </c>
      <c r="DV46" s="261">
        <v>0</v>
      </c>
      <c r="DW46" s="261">
        <v>0</v>
      </c>
      <c r="DX46" s="261">
        <v>0</v>
      </c>
      <c r="DY46" s="261">
        <v>0</v>
      </c>
      <c r="DZ46">
        <v>0</v>
      </c>
      <c r="EA46">
        <v>0</v>
      </c>
    </row>
    <row r="47" spans="1:131" x14ac:dyDescent="0.25">
      <c r="A47" s="263" t="s">
        <v>304</v>
      </c>
      <c r="B47" s="266">
        <v>10000</v>
      </c>
      <c r="C47" s="267">
        <v>46113</v>
      </c>
      <c r="D47" s="197">
        <v>10</v>
      </c>
      <c r="E47" s="197">
        <v>500</v>
      </c>
      <c r="F47" s="264">
        <f>EDATE(tblAssets[[#This Row],[Acquired]],(tblAssets[[#This Row],[Life]]+1)*12)</f>
        <v>49400</v>
      </c>
      <c r="G47" s="266">
        <v>100</v>
      </c>
      <c r="H47" s="264" t="s">
        <v>301</v>
      </c>
      <c r="J47" t="str">
        <v>Cutter Opening Value</v>
      </c>
      <c r="K47">
        <v>0</v>
      </c>
      <c r="L47" s="261">
        <v>25000</v>
      </c>
      <c r="M47" s="261">
        <v>19270.869999999981</v>
      </c>
      <c r="N47" s="261">
        <v>14453.06999999998</v>
      </c>
      <c r="O47" s="261">
        <v>10839.829999999987</v>
      </c>
      <c r="P47" s="261">
        <v>8129.8449999999939</v>
      </c>
      <c r="Q47" s="261">
        <v>6097.466249999994</v>
      </c>
      <c r="R47" s="261">
        <v>4425.3971874999888</v>
      </c>
      <c r="S47" s="261">
        <v>2781.1914583333219</v>
      </c>
      <c r="T47" s="261">
        <v>1136.9857291666553</v>
      </c>
      <c r="U47" s="261">
        <v>999.99999999998863</v>
      </c>
      <c r="V47" s="261">
        <v>0</v>
      </c>
      <c r="W47" s="261">
        <v>0</v>
      </c>
      <c r="X47" s="261">
        <v>0</v>
      </c>
      <c r="Y47" s="261">
        <v>0</v>
      </c>
      <c r="Z47" s="261">
        <v>0</v>
      </c>
      <c r="AA47" s="261">
        <v>0</v>
      </c>
      <c r="AB47" s="261">
        <v>0</v>
      </c>
      <c r="AC47" s="261">
        <v>0</v>
      </c>
      <c r="AD47" s="261">
        <v>0</v>
      </c>
      <c r="AE47" s="261">
        <v>0</v>
      </c>
      <c r="AF47" s="261">
        <v>0</v>
      </c>
      <c r="AG47" s="261">
        <v>0</v>
      </c>
      <c r="AH47" s="261">
        <v>0</v>
      </c>
      <c r="AI47" s="261">
        <v>0</v>
      </c>
      <c r="AJ47" s="261">
        <v>0</v>
      </c>
      <c r="AK47" s="261">
        <v>0</v>
      </c>
      <c r="AL47" s="261">
        <v>0</v>
      </c>
      <c r="AM47" s="261">
        <v>0</v>
      </c>
      <c r="AN47" s="261">
        <v>0</v>
      </c>
      <c r="AO47" s="261">
        <v>0</v>
      </c>
      <c r="AP47" s="261">
        <v>0</v>
      </c>
      <c r="AQ47" s="261">
        <v>0</v>
      </c>
      <c r="AR47" s="261">
        <v>0</v>
      </c>
      <c r="AS47" s="261">
        <v>0</v>
      </c>
      <c r="AT47" s="261">
        <v>0</v>
      </c>
      <c r="AU47" s="261">
        <v>0</v>
      </c>
      <c r="AV47" s="261">
        <v>0</v>
      </c>
      <c r="AW47" s="261">
        <v>0</v>
      </c>
      <c r="AX47" s="261">
        <v>0</v>
      </c>
      <c r="AY47" s="261">
        <v>0</v>
      </c>
      <c r="AZ47" s="261">
        <v>0</v>
      </c>
      <c r="BA47" s="261">
        <v>0</v>
      </c>
      <c r="BB47" s="261">
        <v>0</v>
      </c>
      <c r="BC47" s="261">
        <v>0</v>
      </c>
      <c r="BD47" s="261">
        <v>0</v>
      </c>
      <c r="BE47" s="261">
        <v>0</v>
      </c>
      <c r="BF47" s="261">
        <v>0</v>
      </c>
      <c r="BG47" s="261">
        <v>0</v>
      </c>
      <c r="BH47" s="261">
        <v>0</v>
      </c>
      <c r="BI47" s="261">
        <v>0</v>
      </c>
      <c r="BJ47" s="261">
        <v>0</v>
      </c>
      <c r="BK47" s="261">
        <v>0</v>
      </c>
      <c r="BL47" s="261">
        <v>0</v>
      </c>
      <c r="BM47" s="261">
        <v>0</v>
      </c>
      <c r="BN47" s="261">
        <v>0</v>
      </c>
      <c r="BO47" s="261">
        <v>0</v>
      </c>
      <c r="BP47" s="261">
        <v>0</v>
      </c>
      <c r="BQ47" s="261">
        <v>0</v>
      </c>
      <c r="BR47" s="261">
        <v>0</v>
      </c>
      <c r="BS47" s="261">
        <v>0</v>
      </c>
      <c r="BT47" s="261">
        <v>0</v>
      </c>
      <c r="BU47" s="261">
        <v>0</v>
      </c>
      <c r="BV47" s="261">
        <v>0</v>
      </c>
      <c r="BW47" s="261">
        <v>0</v>
      </c>
      <c r="BX47" s="261">
        <v>0</v>
      </c>
      <c r="BY47" s="261">
        <v>0</v>
      </c>
      <c r="BZ47" s="261">
        <v>0</v>
      </c>
      <c r="CA47" s="261">
        <v>0</v>
      </c>
      <c r="CB47" s="261">
        <v>0</v>
      </c>
      <c r="CC47" s="261">
        <v>0</v>
      </c>
      <c r="CD47" s="261">
        <v>0</v>
      </c>
      <c r="CE47" s="261">
        <v>0</v>
      </c>
      <c r="CF47" s="261">
        <v>0</v>
      </c>
      <c r="CG47" s="261">
        <v>0</v>
      </c>
      <c r="CH47" s="261">
        <v>0</v>
      </c>
      <c r="CI47" s="261">
        <v>0</v>
      </c>
      <c r="CJ47" s="261">
        <v>0</v>
      </c>
      <c r="CK47" s="261">
        <v>0</v>
      </c>
      <c r="CL47" s="261">
        <v>0</v>
      </c>
      <c r="CM47" s="261">
        <v>0</v>
      </c>
      <c r="CN47" s="261">
        <v>0</v>
      </c>
      <c r="CO47" s="261">
        <v>0</v>
      </c>
      <c r="CP47" s="261">
        <v>0</v>
      </c>
      <c r="CQ47" s="261">
        <v>0</v>
      </c>
      <c r="CR47" s="261">
        <v>0</v>
      </c>
      <c r="CS47" s="261">
        <v>0</v>
      </c>
      <c r="CT47" s="261">
        <v>0</v>
      </c>
      <c r="CU47" s="261">
        <v>0</v>
      </c>
      <c r="CV47" s="261">
        <v>0</v>
      </c>
      <c r="CW47" s="261">
        <v>0</v>
      </c>
      <c r="CX47" s="261">
        <v>0</v>
      </c>
      <c r="CY47" s="261">
        <v>0</v>
      </c>
      <c r="CZ47" s="261">
        <v>0</v>
      </c>
      <c r="DA47" s="261">
        <v>0</v>
      </c>
      <c r="DB47" s="261">
        <v>0</v>
      </c>
      <c r="DC47" s="261">
        <v>0</v>
      </c>
      <c r="DD47" s="261">
        <v>0</v>
      </c>
      <c r="DE47" s="261">
        <v>0</v>
      </c>
      <c r="DF47" s="261">
        <v>0</v>
      </c>
      <c r="DG47" s="261">
        <v>0</v>
      </c>
      <c r="DH47" s="261">
        <v>0</v>
      </c>
      <c r="DI47" s="261">
        <v>0</v>
      </c>
      <c r="DJ47" s="261">
        <v>0</v>
      </c>
      <c r="DK47" s="261">
        <v>0</v>
      </c>
      <c r="DL47" s="261">
        <v>0</v>
      </c>
      <c r="DM47" s="261">
        <v>0</v>
      </c>
      <c r="DN47" s="261">
        <v>0</v>
      </c>
      <c r="DO47" s="261">
        <v>0</v>
      </c>
      <c r="DP47" s="261">
        <v>0</v>
      </c>
      <c r="DQ47" s="261">
        <v>0</v>
      </c>
      <c r="DR47" s="261">
        <v>0</v>
      </c>
      <c r="DS47" s="261">
        <v>0</v>
      </c>
      <c r="DT47" s="261">
        <v>0</v>
      </c>
      <c r="DU47" s="261">
        <v>0</v>
      </c>
      <c r="DV47" s="261">
        <v>0</v>
      </c>
      <c r="DW47" s="261">
        <v>0</v>
      </c>
      <c r="DX47" s="261">
        <v>0</v>
      </c>
      <c r="DY47" s="261">
        <v>0</v>
      </c>
      <c r="DZ47">
        <v>0</v>
      </c>
      <c r="EA47">
        <v>0</v>
      </c>
    </row>
    <row r="48" spans="1:131" x14ac:dyDescent="0.25">
      <c r="A48" s="262" t="s">
        <v>305</v>
      </c>
      <c r="B48" s="266">
        <v>50000</v>
      </c>
      <c r="C48" s="267">
        <v>46023</v>
      </c>
      <c r="D48" s="197">
        <v>20</v>
      </c>
      <c r="E48" s="197"/>
      <c r="F48" s="265">
        <f>EDATE(tblAssets[[#This Row],[Acquired]],(tblAssets[[#This Row],[Life]]+1)*12)</f>
        <v>52963</v>
      </c>
      <c r="G48" s="266">
        <v>250</v>
      </c>
      <c r="H48" s="265" t="s">
        <v>302</v>
      </c>
      <c r="J48" t="str">
        <v>Cutter Depreciation</v>
      </c>
      <c r="K48">
        <v>25000.000000000004</v>
      </c>
      <c r="L48" s="261">
        <v>5729.13</v>
      </c>
      <c r="M48" s="261">
        <v>4817.8</v>
      </c>
      <c r="N48" s="261">
        <v>3613.2400000000007</v>
      </c>
      <c r="O48" s="261">
        <v>2709.9849999999992</v>
      </c>
      <c r="P48" s="261">
        <v>2032.3787499999999</v>
      </c>
      <c r="Q48" s="261">
        <v>1672.0690625</v>
      </c>
      <c r="R48" s="261">
        <v>1644.2057291666665</v>
      </c>
      <c r="S48" s="261">
        <v>1644.2057291666665</v>
      </c>
      <c r="T48" s="261">
        <v>136.98572916666672</v>
      </c>
      <c r="U48" s="261">
        <v>1000</v>
      </c>
      <c r="V48" s="261">
        <v>0</v>
      </c>
      <c r="W48" s="261">
        <v>0</v>
      </c>
      <c r="X48" s="261">
        <v>0</v>
      </c>
      <c r="Y48" s="261">
        <v>0</v>
      </c>
      <c r="Z48" s="261">
        <v>0</v>
      </c>
      <c r="AA48" s="261">
        <v>0</v>
      </c>
      <c r="AB48" s="261">
        <v>0</v>
      </c>
      <c r="AC48" s="261">
        <v>0</v>
      </c>
      <c r="AD48" s="261">
        <v>0</v>
      </c>
      <c r="AE48" s="261">
        <v>0</v>
      </c>
      <c r="AF48" s="261">
        <v>0</v>
      </c>
      <c r="AG48" s="261">
        <v>0</v>
      </c>
      <c r="AH48" s="261">
        <v>0</v>
      </c>
      <c r="AI48" s="261">
        <v>0</v>
      </c>
      <c r="AJ48" s="261">
        <v>0</v>
      </c>
      <c r="AK48" s="261">
        <v>0</v>
      </c>
      <c r="AL48" s="261">
        <v>0</v>
      </c>
      <c r="AM48" s="261">
        <v>0</v>
      </c>
      <c r="AN48" s="261">
        <v>0</v>
      </c>
      <c r="AO48" s="261">
        <v>0</v>
      </c>
      <c r="AP48" s="261">
        <v>0</v>
      </c>
      <c r="AQ48" s="261">
        <v>0</v>
      </c>
      <c r="AR48" s="261">
        <v>0</v>
      </c>
      <c r="AS48" s="261">
        <v>0</v>
      </c>
      <c r="AT48" s="261">
        <v>0</v>
      </c>
      <c r="AU48" s="261">
        <v>0</v>
      </c>
      <c r="AV48" s="261">
        <v>0</v>
      </c>
      <c r="AW48" s="261">
        <v>0</v>
      </c>
      <c r="AX48" s="261">
        <v>0</v>
      </c>
      <c r="AY48" s="261">
        <v>0</v>
      </c>
      <c r="AZ48" s="261">
        <v>0</v>
      </c>
      <c r="BA48" s="261">
        <v>0</v>
      </c>
      <c r="BB48" s="261">
        <v>0</v>
      </c>
      <c r="BC48" s="261">
        <v>0</v>
      </c>
      <c r="BD48" s="261">
        <v>0</v>
      </c>
      <c r="BE48" s="261">
        <v>0</v>
      </c>
      <c r="BF48" s="261">
        <v>0</v>
      </c>
      <c r="BG48" s="261">
        <v>0</v>
      </c>
      <c r="BH48" s="261">
        <v>0</v>
      </c>
      <c r="BI48" s="261">
        <v>0</v>
      </c>
      <c r="BJ48" s="261">
        <v>0</v>
      </c>
      <c r="BK48" s="261">
        <v>0</v>
      </c>
      <c r="BL48" s="261">
        <v>0</v>
      </c>
      <c r="BM48" s="261">
        <v>0</v>
      </c>
      <c r="BN48" s="261">
        <v>0</v>
      </c>
      <c r="BO48" s="261">
        <v>0</v>
      </c>
      <c r="BP48" s="261">
        <v>0</v>
      </c>
      <c r="BQ48" s="261">
        <v>0</v>
      </c>
      <c r="BR48" s="261">
        <v>0</v>
      </c>
      <c r="BS48" s="261">
        <v>0</v>
      </c>
      <c r="BT48" s="261">
        <v>0</v>
      </c>
      <c r="BU48" s="261">
        <v>0</v>
      </c>
      <c r="BV48" s="261">
        <v>0</v>
      </c>
      <c r="BW48" s="261">
        <v>0</v>
      </c>
      <c r="BX48" s="261">
        <v>0</v>
      </c>
      <c r="BY48" s="261">
        <v>0</v>
      </c>
      <c r="BZ48" s="261">
        <v>0</v>
      </c>
      <c r="CA48" s="261">
        <v>0</v>
      </c>
      <c r="CB48" s="261">
        <v>0</v>
      </c>
      <c r="CC48" s="261">
        <v>0</v>
      </c>
      <c r="CD48" s="261">
        <v>0</v>
      </c>
      <c r="CE48" s="261">
        <v>0</v>
      </c>
      <c r="CF48" s="261">
        <v>0</v>
      </c>
      <c r="CG48" s="261">
        <v>0</v>
      </c>
      <c r="CH48" s="261">
        <v>0</v>
      </c>
      <c r="CI48" s="261">
        <v>0</v>
      </c>
      <c r="CJ48" s="261">
        <v>0</v>
      </c>
      <c r="CK48" s="261">
        <v>0</v>
      </c>
      <c r="CL48" s="261">
        <v>0</v>
      </c>
      <c r="CM48" s="261">
        <v>0</v>
      </c>
      <c r="CN48" s="261">
        <v>0</v>
      </c>
      <c r="CO48" s="261">
        <v>0</v>
      </c>
      <c r="CP48" s="261">
        <v>0</v>
      </c>
      <c r="CQ48" s="261">
        <v>0</v>
      </c>
      <c r="CR48" s="261">
        <v>0</v>
      </c>
      <c r="CS48" s="261">
        <v>0</v>
      </c>
      <c r="CT48" s="261">
        <v>0</v>
      </c>
      <c r="CU48" s="261">
        <v>0</v>
      </c>
      <c r="CV48" s="261">
        <v>0</v>
      </c>
      <c r="CW48" s="261">
        <v>0</v>
      </c>
      <c r="CX48" s="261">
        <v>0</v>
      </c>
      <c r="CY48" s="261">
        <v>0</v>
      </c>
      <c r="CZ48" s="261">
        <v>0</v>
      </c>
      <c r="DA48" s="261">
        <v>0</v>
      </c>
      <c r="DB48" s="261">
        <v>0</v>
      </c>
      <c r="DC48" s="261">
        <v>0</v>
      </c>
      <c r="DD48" s="261">
        <v>0</v>
      </c>
      <c r="DE48" s="261">
        <v>0</v>
      </c>
      <c r="DF48" s="261">
        <v>0</v>
      </c>
      <c r="DG48" s="261">
        <v>0</v>
      </c>
      <c r="DH48" s="261">
        <v>0</v>
      </c>
      <c r="DI48" s="261">
        <v>0</v>
      </c>
      <c r="DJ48" s="261">
        <v>0</v>
      </c>
      <c r="DK48" s="261">
        <v>0</v>
      </c>
      <c r="DL48" s="261">
        <v>0</v>
      </c>
      <c r="DM48" s="261">
        <v>0</v>
      </c>
      <c r="DN48" s="261">
        <v>0</v>
      </c>
      <c r="DO48" s="261">
        <v>0</v>
      </c>
      <c r="DP48" s="261">
        <v>0</v>
      </c>
      <c r="DQ48" s="261">
        <v>0</v>
      </c>
      <c r="DR48" s="261">
        <v>0</v>
      </c>
      <c r="DS48" s="261">
        <v>0</v>
      </c>
      <c r="DT48" s="261">
        <v>0</v>
      </c>
      <c r="DU48" s="261">
        <v>0</v>
      </c>
      <c r="DV48" s="261">
        <v>0</v>
      </c>
      <c r="DW48" s="261">
        <v>0</v>
      </c>
      <c r="DX48" s="261">
        <v>0</v>
      </c>
      <c r="DY48" s="261">
        <v>0</v>
      </c>
      <c r="DZ48">
        <v>0</v>
      </c>
      <c r="EA48">
        <v>0</v>
      </c>
    </row>
    <row r="49" spans="10:131" x14ac:dyDescent="0.25">
      <c r="J49" t="str">
        <v>Cutter Book Value</v>
      </c>
      <c r="K49">
        <v>0</v>
      </c>
      <c r="L49" s="261">
        <v>19270.87</v>
      </c>
      <c r="M49" s="261">
        <v>14453.069999999982</v>
      </c>
      <c r="N49" s="261">
        <v>10839.82999999998</v>
      </c>
      <c r="O49" s="261">
        <v>8129.8449999999884</v>
      </c>
      <c r="P49" s="261">
        <v>6097.466249999994</v>
      </c>
      <c r="Q49" s="261">
        <v>4425.3971874999943</v>
      </c>
      <c r="R49" s="261">
        <v>2781.1914583333223</v>
      </c>
      <c r="S49" s="261">
        <v>1136.9857291666553</v>
      </c>
      <c r="T49" s="261">
        <v>999.99999999998863</v>
      </c>
      <c r="U49" s="261">
        <v>-1.1368683772161603E-11</v>
      </c>
      <c r="V49" s="261">
        <v>0</v>
      </c>
      <c r="W49" s="261">
        <v>0</v>
      </c>
      <c r="X49" s="261">
        <v>0</v>
      </c>
      <c r="Y49" s="261">
        <v>0</v>
      </c>
      <c r="Z49" s="261">
        <v>0</v>
      </c>
      <c r="AA49" s="261">
        <v>0</v>
      </c>
      <c r="AB49" s="261">
        <v>0</v>
      </c>
      <c r="AC49" s="261">
        <v>0</v>
      </c>
      <c r="AD49" s="261">
        <v>0</v>
      </c>
      <c r="AE49" s="261">
        <v>0</v>
      </c>
      <c r="AF49" s="261">
        <v>0</v>
      </c>
      <c r="AG49" s="261">
        <v>0</v>
      </c>
      <c r="AH49" s="261">
        <v>0</v>
      </c>
      <c r="AI49" s="261">
        <v>0</v>
      </c>
      <c r="AJ49" s="261">
        <v>0</v>
      </c>
      <c r="AK49" s="261">
        <v>0</v>
      </c>
      <c r="AL49" s="261">
        <v>0</v>
      </c>
      <c r="AM49" s="261">
        <v>0</v>
      </c>
      <c r="AN49" s="261">
        <v>0</v>
      </c>
      <c r="AO49" s="261">
        <v>0</v>
      </c>
      <c r="AP49" s="261">
        <v>0</v>
      </c>
      <c r="AQ49" s="261">
        <v>0</v>
      </c>
      <c r="AR49" s="261">
        <v>0</v>
      </c>
      <c r="AS49" s="261">
        <v>0</v>
      </c>
      <c r="AT49" s="261">
        <v>0</v>
      </c>
      <c r="AU49" s="261">
        <v>0</v>
      </c>
      <c r="AV49" s="261">
        <v>0</v>
      </c>
      <c r="AW49" s="261">
        <v>0</v>
      </c>
      <c r="AX49" s="261">
        <v>0</v>
      </c>
      <c r="AY49" s="261">
        <v>0</v>
      </c>
      <c r="AZ49" s="261">
        <v>0</v>
      </c>
      <c r="BA49" s="261">
        <v>0</v>
      </c>
      <c r="BB49" s="261">
        <v>0</v>
      </c>
      <c r="BC49" s="261">
        <v>0</v>
      </c>
      <c r="BD49" s="261">
        <v>0</v>
      </c>
      <c r="BE49" s="261">
        <v>0</v>
      </c>
      <c r="BF49" s="261">
        <v>0</v>
      </c>
      <c r="BG49" s="261">
        <v>0</v>
      </c>
      <c r="BH49" s="261">
        <v>0</v>
      </c>
      <c r="BI49" s="261">
        <v>0</v>
      </c>
      <c r="BJ49" s="261">
        <v>0</v>
      </c>
      <c r="BK49" s="261">
        <v>0</v>
      </c>
      <c r="BL49" s="261">
        <v>0</v>
      </c>
      <c r="BM49" s="261">
        <v>0</v>
      </c>
      <c r="BN49" s="261">
        <v>0</v>
      </c>
      <c r="BO49" s="261">
        <v>0</v>
      </c>
      <c r="BP49" s="261">
        <v>0</v>
      </c>
      <c r="BQ49" s="261">
        <v>0</v>
      </c>
      <c r="BR49" s="261">
        <v>0</v>
      </c>
      <c r="BS49" s="261">
        <v>0</v>
      </c>
      <c r="BT49" s="261">
        <v>0</v>
      </c>
      <c r="BU49" s="261">
        <v>0</v>
      </c>
      <c r="BV49" s="261">
        <v>0</v>
      </c>
      <c r="BW49" s="261">
        <v>0</v>
      </c>
      <c r="BX49" s="261">
        <v>0</v>
      </c>
      <c r="BY49" s="261">
        <v>0</v>
      </c>
      <c r="BZ49" s="261">
        <v>0</v>
      </c>
      <c r="CA49" s="261">
        <v>0</v>
      </c>
      <c r="CB49" s="261">
        <v>0</v>
      </c>
      <c r="CC49" s="261">
        <v>0</v>
      </c>
      <c r="CD49" s="261">
        <v>0</v>
      </c>
      <c r="CE49" s="261">
        <v>0</v>
      </c>
      <c r="CF49" s="261">
        <v>0</v>
      </c>
      <c r="CG49" s="261">
        <v>0</v>
      </c>
      <c r="CH49" s="261">
        <v>0</v>
      </c>
      <c r="CI49" s="261">
        <v>0</v>
      </c>
      <c r="CJ49" s="261">
        <v>0</v>
      </c>
      <c r="CK49" s="261">
        <v>0</v>
      </c>
      <c r="CL49" s="261">
        <v>0</v>
      </c>
      <c r="CM49" s="261">
        <v>0</v>
      </c>
      <c r="CN49" s="261">
        <v>0</v>
      </c>
      <c r="CO49" s="261">
        <v>0</v>
      </c>
      <c r="CP49" s="261">
        <v>0</v>
      </c>
      <c r="CQ49" s="261">
        <v>0</v>
      </c>
      <c r="CR49" s="261">
        <v>0</v>
      </c>
      <c r="CS49" s="261">
        <v>0</v>
      </c>
      <c r="CT49" s="261">
        <v>0</v>
      </c>
      <c r="CU49" s="261">
        <v>0</v>
      </c>
      <c r="CV49" s="261">
        <v>0</v>
      </c>
      <c r="CW49" s="261">
        <v>0</v>
      </c>
      <c r="CX49" s="261">
        <v>0</v>
      </c>
      <c r="CY49" s="261">
        <v>0</v>
      </c>
      <c r="CZ49" s="261">
        <v>0</v>
      </c>
      <c r="DA49" s="261">
        <v>0</v>
      </c>
      <c r="DB49" s="261">
        <v>0</v>
      </c>
      <c r="DC49" s="261">
        <v>0</v>
      </c>
      <c r="DD49" s="261">
        <v>0</v>
      </c>
      <c r="DE49" s="261">
        <v>0</v>
      </c>
      <c r="DF49" s="261">
        <v>0</v>
      </c>
      <c r="DG49" s="261">
        <v>0</v>
      </c>
      <c r="DH49" s="261">
        <v>0</v>
      </c>
      <c r="DI49" s="261">
        <v>0</v>
      </c>
      <c r="DJ49" s="261">
        <v>0</v>
      </c>
      <c r="DK49" s="261">
        <v>0</v>
      </c>
      <c r="DL49" s="261">
        <v>0</v>
      </c>
      <c r="DM49" s="261">
        <v>0</v>
      </c>
      <c r="DN49" s="261">
        <v>0</v>
      </c>
      <c r="DO49" s="261">
        <v>0</v>
      </c>
      <c r="DP49" s="261">
        <v>0</v>
      </c>
      <c r="DQ49" s="261">
        <v>0</v>
      </c>
      <c r="DR49" s="261">
        <v>0</v>
      </c>
      <c r="DS49" s="261">
        <v>0</v>
      </c>
      <c r="DT49" s="261">
        <v>0</v>
      </c>
      <c r="DU49" s="261">
        <v>0</v>
      </c>
      <c r="DV49" s="261">
        <v>0</v>
      </c>
      <c r="DW49" s="261">
        <v>0</v>
      </c>
      <c r="DX49" s="261">
        <v>0</v>
      </c>
      <c r="DY49" s="261">
        <v>0</v>
      </c>
      <c r="DZ49">
        <v>0</v>
      </c>
      <c r="EA49">
        <v>0</v>
      </c>
    </row>
    <row r="50" spans="10:131" x14ac:dyDescent="0.25">
      <c r="J50" t="str">
        <v>Cutter Revenue from Sale</v>
      </c>
      <c r="K50">
        <v>1000</v>
      </c>
      <c r="L50" s="261">
        <v>0</v>
      </c>
      <c r="M50" s="261">
        <v>0</v>
      </c>
      <c r="N50" s="261">
        <v>0</v>
      </c>
      <c r="O50" s="261">
        <v>0</v>
      </c>
      <c r="P50" s="261">
        <v>0</v>
      </c>
      <c r="Q50" s="261">
        <v>0</v>
      </c>
      <c r="R50" s="261">
        <v>0</v>
      </c>
      <c r="S50" s="261">
        <v>0</v>
      </c>
      <c r="T50" s="261">
        <v>0</v>
      </c>
      <c r="U50" s="261">
        <v>1000</v>
      </c>
      <c r="V50" s="261">
        <v>0</v>
      </c>
      <c r="W50" s="261">
        <v>0</v>
      </c>
      <c r="X50" s="261">
        <v>0</v>
      </c>
      <c r="Y50" s="261">
        <v>0</v>
      </c>
      <c r="Z50" s="261">
        <v>0</v>
      </c>
      <c r="AA50" s="261">
        <v>0</v>
      </c>
      <c r="AB50" s="261">
        <v>0</v>
      </c>
      <c r="AC50" s="261">
        <v>0</v>
      </c>
      <c r="AD50" s="261">
        <v>0</v>
      </c>
      <c r="AE50" s="261">
        <v>0</v>
      </c>
      <c r="AF50" s="261">
        <v>0</v>
      </c>
      <c r="AG50" s="261">
        <v>0</v>
      </c>
      <c r="AH50" s="261">
        <v>0</v>
      </c>
      <c r="AI50" s="261">
        <v>0</v>
      </c>
      <c r="AJ50" s="261">
        <v>0</v>
      </c>
      <c r="AK50" s="261">
        <v>0</v>
      </c>
      <c r="AL50" s="261">
        <v>0</v>
      </c>
      <c r="AM50" s="261">
        <v>0</v>
      </c>
      <c r="AN50" s="261">
        <v>0</v>
      </c>
      <c r="AO50" s="261">
        <v>0</v>
      </c>
      <c r="AP50" s="261">
        <v>0</v>
      </c>
      <c r="AQ50" s="261">
        <v>0</v>
      </c>
      <c r="AR50" s="261">
        <v>0</v>
      </c>
      <c r="AS50" s="261">
        <v>0</v>
      </c>
      <c r="AT50" s="261">
        <v>0</v>
      </c>
      <c r="AU50" s="261">
        <v>0</v>
      </c>
      <c r="AV50" s="261">
        <v>0</v>
      </c>
      <c r="AW50" s="261">
        <v>0</v>
      </c>
      <c r="AX50" s="261">
        <v>0</v>
      </c>
      <c r="AY50" s="261">
        <v>0</v>
      </c>
      <c r="AZ50" s="261">
        <v>0</v>
      </c>
      <c r="BA50" s="261">
        <v>0</v>
      </c>
      <c r="BB50" s="261">
        <v>0</v>
      </c>
      <c r="BC50" s="261">
        <v>0</v>
      </c>
      <c r="BD50" s="261">
        <v>0</v>
      </c>
      <c r="BE50" s="261">
        <v>0</v>
      </c>
      <c r="BF50" s="261">
        <v>0</v>
      </c>
      <c r="BG50" s="261">
        <v>0</v>
      </c>
      <c r="BH50" s="261">
        <v>0</v>
      </c>
      <c r="BI50" s="261">
        <v>0</v>
      </c>
      <c r="BJ50" s="261">
        <v>0</v>
      </c>
      <c r="BK50" s="261">
        <v>0</v>
      </c>
      <c r="BL50" s="261">
        <v>0</v>
      </c>
      <c r="BM50" s="261">
        <v>0</v>
      </c>
      <c r="BN50" s="261">
        <v>0</v>
      </c>
      <c r="BO50" s="261">
        <v>0</v>
      </c>
      <c r="BP50" s="261">
        <v>0</v>
      </c>
      <c r="BQ50" s="261">
        <v>0</v>
      </c>
      <c r="BR50" s="261">
        <v>0</v>
      </c>
      <c r="BS50" s="261">
        <v>0</v>
      </c>
      <c r="BT50" s="261">
        <v>0</v>
      </c>
      <c r="BU50" s="261">
        <v>0</v>
      </c>
      <c r="BV50" s="261">
        <v>0</v>
      </c>
      <c r="BW50" s="261">
        <v>0</v>
      </c>
      <c r="BX50" s="261">
        <v>0</v>
      </c>
      <c r="BY50" s="261">
        <v>0</v>
      </c>
      <c r="BZ50" s="261">
        <v>0</v>
      </c>
      <c r="CA50" s="261">
        <v>0</v>
      </c>
      <c r="CB50" s="261">
        <v>0</v>
      </c>
      <c r="CC50" s="261">
        <v>0</v>
      </c>
      <c r="CD50" s="261">
        <v>0</v>
      </c>
      <c r="CE50" s="261">
        <v>0</v>
      </c>
      <c r="CF50" s="261">
        <v>0</v>
      </c>
      <c r="CG50" s="261">
        <v>0</v>
      </c>
      <c r="CH50" s="261">
        <v>0</v>
      </c>
      <c r="CI50" s="261">
        <v>0</v>
      </c>
      <c r="CJ50" s="261">
        <v>0</v>
      </c>
      <c r="CK50" s="261">
        <v>0</v>
      </c>
      <c r="CL50" s="261">
        <v>0</v>
      </c>
      <c r="CM50" s="261">
        <v>0</v>
      </c>
      <c r="CN50" s="261">
        <v>0</v>
      </c>
      <c r="CO50" s="261">
        <v>0</v>
      </c>
      <c r="CP50" s="261">
        <v>0</v>
      </c>
      <c r="CQ50" s="261">
        <v>0</v>
      </c>
      <c r="CR50" s="261">
        <v>0</v>
      </c>
      <c r="CS50" s="261">
        <v>0</v>
      </c>
      <c r="CT50" s="261">
        <v>0</v>
      </c>
      <c r="CU50" s="261">
        <v>0</v>
      </c>
      <c r="CV50" s="261">
        <v>0</v>
      </c>
      <c r="CW50" s="261">
        <v>0</v>
      </c>
      <c r="CX50" s="261">
        <v>0</v>
      </c>
      <c r="CY50" s="261">
        <v>0</v>
      </c>
      <c r="CZ50" s="261">
        <v>0</v>
      </c>
      <c r="DA50" s="261">
        <v>0</v>
      </c>
      <c r="DB50" s="261">
        <v>0</v>
      </c>
      <c r="DC50" s="261">
        <v>0</v>
      </c>
      <c r="DD50" s="261">
        <v>0</v>
      </c>
      <c r="DE50" s="261">
        <v>0</v>
      </c>
      <c r="DF50" s="261">
        <v>0</v>
      </c>
      <c r="DG50" s="261">
        <v>0</v>
      </c>
      <c r="DH50" s="261">
        <v>0</v>
      </c>
      <c r="DI50" s="261">
        <v>0</v>
      </c>
      <c r="DJ50" s="261">
        <v>0</v>
      </c>
      <c r="DK50" s="261">
        <v>0</v>
      </c>
      <c r="DL50" s="261">
        <v>0</v>
      </c>
      <c r="DM50" s="261">
        <v>0</v>
      </c>
      <c r="DN50" s="261">
        <v>0</v>
      </c>
      <c r="DO50" s="261">
        <v>0</v>
      </c>
      <c r="DP50" s="261">
        <v>0</v>
      </c>
      <c r="DQ50" s="261">
        <v>0</v>
      </c>
      <c r="DR50" s="261">
        <v>0</v>
      </c>
      <c r="DS50" s="261">
        <v>0</v>
      </c>
      <c r="DT50" s="261">
        <v>0</v>
      </c>
      <c r="DU50" s="261">
        <v>0</v>
      </c>
      <c r="DV50" s="261">
        <v>0</v>
      </c>
      <c r="DW50" s="261">
        <v>0</v>
      </c>
      <c r="DX50" s="261">
        <v>0</v>
      </c>
      <c r="DY50" s="261">
        <v>0</v>
      </c>
      <c r="DZ50">
        <v>0</v>
      </c>
      <c r="EA50">
        <v>0</v>
      </c>
    </row>
    <row r="51" spans="10:131" x14ac:dyDescent="0.25">
      <c r="J51" t="str">
        <v>Cutter Disposal Costs</v>
      </c>
      <c r="K51">
        <v>500</v>
      </c>
      <c r="L51" s="261">
        <v>0</v>
      </c>
      <c r="M51" s="261">
        <v>0</v>
      </c>
      <c r="N51" s="261">
        <v>0</v>
      </c>
      <c r="O51" s="261">
        <v>0</v>
      </c>
      <c r="P51" s="261">
        <v>0</v>
      </c>
      <c r="Q51" s="261">
        <v>0</v>
      </c>
      <c r="R51" s="261">
        <v>0</v>
      </c>
      <c r="S51" s="261">
        <v>0</v>
      </c>
      <c r="T51" s="261">
        <v>0</v>
      </c>
      <c r="U51" s="261">
        <v>500</v>
      </c>
      <c r="V51" s="261">
        <v>0</v>
      </c>
      <c r="W51" s="261">
        <v>0</v>
      </c>
      <c r="X51" s="261">
        <v>0</v>
      </c>
      <c r="Y51" s="261">
        <v>0</v>
      </c>
      <c r="Z51" s="261">
        <v>0</v>
      </c>
      <c r="AA51" s="261">
        <v>0</v>
      </c>
      <c r="AB51" s="261">
        <v>0</v>
      </c>
      <c r="AC51" s="261">
        <v>0</v>
      </c>
      <c r="AD51" s="261">
        <v>0</v>
      </c>
      <c r="AE51" s="261">
        <v>0</v>
      </c>
      <c r="AF51" s="261">
        <v>0</v>
      </c>
      <c r="AG51" s="261">
        <v>0</v>
      </c>
      <c r="AH51" s="261">
        <v>0</v>
      </c>
      <c r="AI51" s="261">
        <v>0</v>
      </c>
      <c r="AJ51" s="261">
        <v>0</v>
      </c>
      <c r="AK51" s="261">
        <v>0</v>
      </c>
      <c r="AL51" s="261">
        <v>0</v>
      </c>
      <c r="AM51" s="261">
        <v>0</v>
      </c>
      <c r="AN51" s="261">
        <v>0</v>
      </c>
      <c r="AO51" s="261">
        <v>0</v>
      </c>
      <c r="AP51" s="261">
        <v>0</v>
      </c>
      <c r="AQ51" s="261">
        <v>0</v>
      </c>
      <c r="AR51" s="261">
        <v>0</v>
      </c>
      <c r="AS51" s="261">
        <v>0</v>
      </c>
      <c r="AT51" s="261">
        <v>0</v>
      </c>
      <c r="AU51" s="261">
        <v>0</v>
      </c>
      <c r="AV51" s="261">
        <v>0</v>
      </c>
      <c r="AW51" s="261">
        <v>0</v>
      </c>
      <c r="AX51" s="261">
        <v>0</v>
      </c>
      <c r="AY51" s="261">
        <v>0</v>
      </c>
      <c r="AZ51" s="261">
        <v>0</v>
      </c>
      <c r="BA51" s="261">
        <v>0</v>
      </c>
      <c r="BB51" s="261">
        <v>0</v>
      </c>
      <c r="BC51" s="261">
        <v>0</v>
      </c>
      <c r="BD51" s="261">
        <v>0</v>
      </c>
      <c r="BE51" s="261">
        <v>0</v>
      </c>
      <c r="BF51" s="261">
        <v>0</v>
      </c>
      <c r="BG51" s="261">
        <v>0</v>
      </c>
      <c r="BH51" s="261">
        <v>0</v>
      </c>
      <c r="BI51" s="261">
        <v>0</v>
      </c>
      <c r="BJ51" s="261">
        <v>0</v>
      </c>
      <c r="BK51" s="261">
        <v>0</v>
      </c>
      <c r="BL51" s="261">
        <v>0</v>
      </c>
      <c r="BM51" s="261">
        <v>0</v>
      </c>
      <c r="BN51" s="261">
        <v>0</v>
      </c>
      <c r="BO51" s="261">
        <v>0</v>
      </c>
      <c r="BP51" s="261">
        <v>0</v>
      </c>
      <c r="BQ51" s="261">
        <v>0</v>
      </c>
      <c r="BR51" s="261">
        <v>0</v>
      </c>
      <c r="BS51" s="261">
        <v>0</v>
      </c>
      <c r="BT51" s="261">
        <v>0</v>
      </c>
      <c r="BU51" s="261">
        <v>0</v>
      </c>
      <c r="BV51" s="261">
        <v>0</v>
      </c>
      <c r="BW51" s="261">
        <v>0</v>
      </c>
      <c r="BX51" s="261">
        <v>0</v>
      </c>
      <c r="BY51" s="261">
        <v>0</v>
      </c>
      <c r="BZ51" s="261">
        <v>0</v>
      </c>
      <c r="CA51" s="261">
        <v>0</v>
      </c>
      <c r="CB51" s="261">
        <v>0</v>
      </c>
      <c r="CC51" s="261">
        <v>0</v>
      </c>
      <c r="CD51" s="261">
        <v>0</v>
      </c>
      <c r="CE51" s="261">
        <v>0</v>
      </c>
      <c r="CF51" s="261">
        <v>0</v>
      </c>
      <c r="CG51" s="261">
        <v>0</v>
      </c>
      <c r="CH51" s="261">
        <v>0</v>
      </c>
      <c r="CI51" s="261">
        <v>0</v>
      </c>
      <c r="CJ51" s="261">
        <v>0</v>
      </c>
      <c r="CK51" s="261">
        <v>0</v>
      </c>
      <c r="CL51" s="261">
        <v>0</v>
      </c>
      <c r="CM51" s="261">
        <v>0</v>
      </c>
      <c r="CN51" s="261">
        <v>0</v>
      </c>
      <c r="CO51" s="261">
        <v>0</v>
      </c>
      <c r="CP51" s="261">
        <v>0</v>
      </c>
      <c r="CQ51" s="261">
        <v>0</v>
      </c>
      <c r="CR51" s="261">
        <v>0</v>
      </c>
      <c r="CS51" s="261">
        <v>0</v>
      </c>
      <c r="CT51" s="261">
        <v>0</v>
      </c>
      <c r="CU51" s="261">
        <v>0</v>
      </c>
      <c r="CV51" s="261">
        <v>0</v>
      </c>
      <c r="CW51" s="261">
        <v>0</v>
      </c>
      <c r="CX51" s="261">
        <v>0</v>
      </c>
      <c r="CY51" s="261">
        <v>0</v>
      </c>
      <c r="CZ51" s="261">
        <v>0</v>
      </c>
      <c r="DA51" s="261">
        <v>0</v>
      </c>
      <c r="DB51" s="261">
        <v>0</v>
      </c>
      <c r="DC51" s="261">
        <v>0</v>
      </c>
      <c r="DD51" s="261">
        <v>0</v>
      </c>
      <c r="DE51" s="261">
        <v>0</v>
      </c>
      <c r="DF51" s="261">
        <v>0</v>
      </c>
      <c r="DG51" s="261">
        <v>0</v>
      </c>
      <c r="DH51" s="261">
        <v>0</v>
      </c>
      <c r="DI51" s="261">
        <v>0</v>
      </c>
      <c r="DJ51" s="261">
        <v>0</v>
      </c>
      <c r="DK51" s="261">
        <v>0</v>
      </c>
      <c r="DL51" s="261">
        <v>0</v>
      </c>
      <c r="DM51" s="261">
        <v>0</v>
      </c>
      <c r="DN51" s="261">
        <v>0</v>
      </c>
      <c r="DO51" s="261">
        <v>0</v>
      </c>
      <c r="DP51" s="261">
        <v>0</v>
      </c>
      <c r="DQ51" s="261">
        <v>0</v>
      </c>
      <c r="DR51" s="261">
        <v>0</v>
      </c>
      <c r="DS51" s="261">
        <v>0</v>
      </c>
      <c r="DT51" s="261">
        <v>0</v>
      </c>
      <c r="DU51" s="261">
        <v>0</v>
      </c>
      <c r="DV51" s="261">
        <v>0</v>
      </c>
      <c r="DW51" s="261">
        <v>0</v>
      </c>
      <c r="DX51" s="261">
        <v>0</v>
      </c>
      <c r="DY51" s="261">
        <v>0</v>
      </c>
      <c r="DZ51">
        <v>0</v>
      </c>
      <c r="EA51">
        <v>0</v>
      </c>
    </row>
    <row r="52" spans="10:131" x14ac:dyDescent="0.25">
      <c r="J52" t="str">
        <v/>
      </c>
      <c r="K52">
        <v>0</v>
      </c>
      <c r="L52" s="261" t="str">
        <v/>
      </c>
      <c r="M52" s="261" t="str">
        <v/>
      </c>
      <c r="N52" s="261" t="str">
        <v/>
      </c>
      <c r="O52" s="261" t="str">
        <v/>
      </c>
      <c r="P52" s="261" t="str">
        <v/>
      </c>
      <c r="Q52" s="261" t="str">
        <v/>
      </c>
      <c r="R52" s="261" t="str">
        <v/>
      </c>
      <c r="S52" s="261" t="str">
        <v/>
      </c>
      <c r="T52" s="261" t="str">
        <v/>
      </c>
      <c r="U52" s="261" t="str">
        <v/>
      </c>
      <c r="V52" s="261" t="str">
        <v/>
      </c>
      <c r="W52" s="261" t="str">
        <v/>
      </c>
      <c r="X52" s="261" t="str">
        <v/>
      </c>
      <c r="Y52" s="261" t="str">
        <v/>
      </c>
      <c r="Z52" s="261" t="str">
        <v/>
      </c>
      <c r="AA52" s="261" t="str">
        <v/>
      </c>
      <c r="AB52" s="261" t="str">
        <v/>
      </c>
      <c r="AC52" s="261" t="str">
        <v/>
      </c>
      <c r="AD52" s="261" t="str">
        <v/>
      </c>
      <c r="AE52" s="261" t="str">
        <v/>
      </c>
      <c r="AF52" s="261" t="str">
        <v/>
      </c>
      <c r="AG52" s="261" t="str">
        <v/>
      </c>
      <c r="AH52" s="261" t="str">
        <v/>
      </c>
      <c r="AI52" s="261" t="str">
        <v/>
      </c>
      <c r="AJ52" s="261" t="str">
        <v/>
      </c>
      <c r="AK52" s="261" t="str">
        <v/>
      </c>
      <c r="AL52" s="261" t="str">
        <v/>
      </c>
      <c r="AM52" s="261" t="str">
        <v/>
      </c>
      <c r="AN52" s="261" t="str">
        <v/>
      </c>
      <c r="AO52" s="261" t="str">
        <v/>
      </c>
      <c r="AP52" s="261" t="str">
        <v/>
      </c>
      <c r="AQ52" s="261" t="str">
        <v/>
      </c>
      <c r="AR52" s="261" t="str">
        <v/>
      </c>
      <c r="AS52" s="261" t="str">
        <v/>
      </c>
      <c r="AT52" s="261" t="str">
        <v/>
      </c>
      <c r="AU52" s="261" t="str">
        <v/>
      </c>
      <c r="AV52" s="261" t="str">
        <v/>
      </c>
      <c r="AW52" s="261" t="str">
        <v/>
      </c>
      <c r="AX52" s="261" t="str">
        <v/>
      </c>
      <c r="AY52" s="261" t="str">
        <v/>
      </c>
      <c r="AZ52" s="261" t="str">
        <v/>
      </c>
      <c r="BA52" s="261" t="str">
        <v/>
      </c>
      <c r="BB52" s="261" t="str">
        <v/>
      </c>
      <c r="BC52" s="261" t="str">
        <v/>
      </c>
      <c r="BD52" s="261" t="str">
        <v/>
      </c>
      <c r="BE52" s="261" t="str">
        <v/>
      </c>
      <c r="BF52" s="261" t="str">
        <v/>
      </c>
      <c r="BG52" s="261" t="str">
        <v/>
      </c>
      <c r="BH52" s="261" t="str">
        <v/>
      </c>
      <c r="BI52" s="261" t="str">
        <v/>
      </c>
      <c r="BJ52" s="261" t="str">
        <v/>
      </c>
      <c r="BK52" s="261" t="str">
        <v/>
      </c>
      <c r="BL52" s="261" t="str">
        <v/>
      </c>
      <c r="BM52" s="261" t="str">
        <v/>
      </c>
      <c r="BN52" s="261" t="str">
        <v/>
      </c>
      <c r="BO52" s="261" t="str">
        <v/>
      </c>
      <c r="BP52" s="261" t="str">
        <v/>
      </c>
      <c r="BQ52" s="261" t="str">
        <v/>
      </c>
      <c r="BR52" s="261" t="str">
        <v/>
      </c>
      <c r="BS52" s="261" t="str">
        <v/>
      </c>
      <c r="BT52" s="261" t="str">
        <v/>
      </c>
      <c r="BU52" s="261" t="str">
        <v/>
      </c>
      <c r="BV52" s="261" t="str">
        <v/>
      </c>
      <c r="BW52" s="261" t="str">
        <v/>
      </c>
      <c r="BX52" s="261" t="str">
        <v/>
      </c>
      <c r="BY52" s="261" t="str">
        <v/>
      </c>
      <c r="BZ52" s="261" t="str">
        <v/>
      </c>
      <c r="CA52" s="261" t="str">
        <v/>
      </c>
      <c r="CB52" s="261" t="str">
        <v/>
      </c>
      <c r="CC52" s="261" t="str">
        <v/>
      </c>
      <c r="CD52" s="261" t="str">
        <v/>
      </c>
      <c r="CE52" s="261" t="str">
        <v/>
      </c>
      <c r="CF52" s="261" t="str">
        <v/>
      </c>
      <c r="CG52" s="261" t="str">
        <v/>
      </c>
      <c r="CH52" s="261" t="str">
        <v/>
      </c>
      <c r="CI52" s="261" t="str">
        <v/>
      </c>
      <c r="CJ52" s="261" t="str">
        <v/>
      </c>
      <c r="CK52" s="261" t="str">
        <v/>
      </c>
      <c r="CL52" s="261" t="str">
        <v/>
      </c>
      <c r="CM52" s="261" t="str">
        <v/>
      </c>
      <c r="CN52" s="261" t="str">
        <v/>
      </c>
      <c r="CO52" s="261" t="str">
        <v/>
      </c>
      <c r="CP52" s="261" t="str">
        <v/>
      </c>
      <c r="CQ52" s="261" t="str">
        <v/>
      </c>
      <c r="CR52" s="261" t="str">
        <v/>
      </c>
      <c r="CS52" s="261" t="str">
        <v/>
      </c>
      <c r="CT52" s="261" t="str">
        <v/>
      </c>
      <c r="CU52" s="261" t="str">
        <v/>
      </c>
      <c r="CV52" s="261" t="str">
        <v/>
      </c>
      <c r="CW52" s="261" t="str">
        <v/>
      </c>
      <c r="CX52" s="261" t="str">
        <v/>
      </c>
      <c r="CY52" s="261" t="str">
        <v/>
      </c>
      <c r="CZ52" s="261" t="str">
        <v/>
      </c>
      <c r="DA52" s="261" t="str">
        <v/>
      </c>
      <c r="DB52" s="261" t="str">
        <v/>
      </c>
      <c r="DC52" s="261" t="str">
        <v/>
      </c>
      <c r="DD52" s="261" t="str">
        <v/>
      </c>
      <c r="DE52" s="261" t="str">
        <v/>
      </c>
      <c r="DF52" s="261" t="str">
        <v/>
      </c>
      <c r="DG52" s="261" t="str">
        <v/>
      </c>
      <c r="DH52" s="261" t="str">
        <v/>
      </c>
      <c r="DI52" s="261" t="str">
        <v/>
      </c>
      <c r="DJ52" s="261" t="str">
        <v/>
      </c>
      <c r="DK52" s="261" t="str">
        <v/>
      </c>
      <c r="DL52" s="261" t="str">
        <v/>
      </c>
      <c r="DM52" s="261" t="str">
        <v/>
      </c>
      <c r="DN52" s="261" t="str">
        <v/>
      </c>
      <c r="DO52" s="261" t="str">
        <v/>
      </c>
      <c r="DP52" s="261" t="str">
        <v/>
      </c>
      <c r="DQ52" s="261" t="str">
        <v/>
      </c>
      <c r="DR52" s="261" t="str">
        <v/>
      </c>
      <c r="DS52" s="261" t="str">
        <v/>
      </c>
      <c r="DT52" s="261" t="str">
        <v/>
      </c>
      <c r="DU52" s="261" t="str">
        <v/>
      </c>
      <c r="DV52" s="261" t="str">
        <v/>
      </c>
      <c r="DW52" s="261" t="str">
        <v/>
      </c>
      <c r="DX52" s="261" t="str">
        <v/>
      </c>
      <c r="DY52" s="261" t="str">
        <v/>
      </c>
      <c r="DZ52" t="str">
        <v/>
      </c>
      <c r="EA52" t="str">
        <v/>
      </c>
    </row>
    <row r="53" spans="10:131" x14ac:dyDescent="0.25">
      <c r="J53" t="str">
        <v>Press CAPEX</v>
      </c>
      <c r="K53">
        <v>10000</v>
      </c>
      <c r="L53" s="261">
        <v>10000</v>
      </c>
      <c r="M53" s="261">
        <v>0</v>
      </c>
      <c r="N53" s="261">
        <v>0</v>
      </c>
      <c r="O53" s="261">
        <v>0</v>
      </c>
      <c r="P53" s="261">
        <v>0</v>
      </c>
      <c r="Q53" s="261">
        <v>0</v>
      </c>
      <c r="R53" s="261">
        <v>0</v>
      </c>
      <c r="S53" s="261">
        <v>0</v>
      </c>
      <c r="T53" s="261">
        <v>0</v>
      </c>
      <c r="U53" s="261">
        <v>0</v>
      </c>
      <c r="V53" s="261">
        <v>0</v>
      </c>
      <c r="W53" s="261">
        <v>0</v>
      </c>
      <c r="X53" s="261">
        <v>0</v>
      </c>
      <c r="Y53" s="261">
        <v>0</v>
      </c>
      <c r="Z53" s="261">
        <v>0</v>
      </c>
      <c r="AA53" s="261">
        <v>0</v>
      </c>
      <c r="AB53" s="261">
        <v>0</v>
      </c>
      <c r="AC53" s="261">
        <v>0</v>
      </c>
      <c r="AD53" s="261">
        <v>0</v>
      </c>
      <c r="AE53" s="261">
        <v>0</v>
      </c>
      <c r="AF53" s="261">
        <v>0</v>
      </c>
      <c r="AG53" s="261">
        <v>0</v>
      </c>
      <c r="AH53" s="261">
        <v>0</v>
      </c>
      <c r="AI53" s="261">
        <v>0</v>
      </c>
      <c r="AJ53" s="261">
        <v>0</v>
      </c>
      <c r="AK53" s="261">
        <v>0</v>
      </c>
      <c r="AL53" s="261">
        <v>0</v>
      </c>
      <c r="AM53" s="261">
        <v>0</v>
      </c>
      <c r="AN53" s="261">
        <v>0</v>
      </c>
      <c r="AO53" s="261">
        <v>0</v>
      </c>
      <c r="AP53" s="261">
        <v>0</v>
      </c>
      <c r="AQ53" s="261">
        <v>0</v>
      </c>
      <c r="AR53" s="261">
        <v>0</v>
      </c>
      <c r="AS53" s="261">
        <v>0</v>
      </c>
      <c r="AT53" s="261">
        <v>0</v>
      </c>
      <c r="AU53" s="261">
        <v>0</v>
      </c>
      <c r="AV53" s="261">
        <v>0</v>
      </c>
      <c r="AW53" s="261">
        <v>0</v>
      </c>
      <c r="AX53" s="261">
        <v>0</v>
      </c>
      <c r="AY53" s="261">
        <v>0</v>
      </c>
      <c r="AZ53" s="261">
        <v>0</v>
      </c>
      <c r="BA53" s="261">
        <v>0</v>
      </c>
      <c r="BB53" s="261">
        <v>0</v>
      </c>
      <c r="BC53" s="261">
        <v>0</v>
      </c>
      <c r="BD53" s="261">
        <v>0</v>
      </c>
      <c r="BE53" s="261">
        <v>0</v>
      </c>
      <c r="BF53" s="261">
        <v>0</v>
      </c>
      <c r="BG53" s="261">
        <v>0</v>
      </c>
      <c r="BH53" s="261">
        <v>0</v>
      </c>
      <c r="BI53" s="261">
        <v>0</v>
      </c>
      <c r="BJ53" s="261">
        <v>0</v>
      </c>
      <c r="BK53" s="261">
        <v>0</v>
      </c>
      <c r="BL53" s="261">
        <v>0</v>
      </c>
      <c r="BM53" s="261">
        <v>0</v>
      </c>
      <c r="BN53" s="261">
        <v>0</v>
      </c>
      <c r="BO53" s="261">
        <v>0</v>
      </c>
      <c r="BP53" s="261">
        <v>0</v>
      </c>
      <c r="BQ53" s="261">
        <v>0</v>
      </c>
      <c r="BR53" s="261">
        <v>0</v>
      </c>
      <c r="BS53" s="261">
        <v>0</v>
      </c>
      <c r="BT53" s="261">
        <v>0</v>
      </c>
      <c r="BU53" s="261">
        <v>0</v>
      </c>
      <c r="BV53" s="261">
        <v>0</v>
      </c>
      <c r="BW53" s="261">
        <v>0</v>
      </c>
      <c r="BX53" s="261">
        <v>0</v>
      </c>
      <c r="BY53" s="261">
        <v>0</v>
      </c>
      <c r="BZ53" s="261">
        <v>0</v>
      </c>
      <c r="CA53" s="261">
        <v>0</v>
      </c>
      <c r="CB53" s="261">
        <v>0</v>
      </c>
      <c r="CC53" s="261">
        <v>0</v>
      </c>
      <c r="CD53" s="261">
        <v>0</v>
      </c>
      <c r="CE53" s="261">
        <v>0</v>
      </c>
      <c r="CF53" s="261">
        <v>0</v>
      </c>
      <c r="CG53" s="261">
        <v>0</v>
      </c>
      <c r="CH53" s="261">
        <v>0</v>
      </c>
      <c r="CI53" s="261">
        <v>0</v>
      </c>
      <c r="CJ53" s="261">
        <v>0</v>
      </c>
      <c r="CK53" s="261">
        <v>0</v>
      </c>
      <c r="CL53" s="261">
        <v>0</v>
      </c>
      <c r="CM53" s="261">
        <v>0</v>
      </c>
      <c r="CN53" s="261">
        <v>0</v>
      </c>
      <c r="CO53" s="261">
        <v>0</v>
      </c>
      <c r="CP53" s="261">
        <v>0</v>
      </c>
      <c r="CQ53" s="261">
        <v>0</v>
      </c>
      <c r="CR53" s="261">
        <v>0</v>
      </c>
      <c r="CS53" s="261">
        <v>0</v>
      </c>
      <c r="CT53" s="261">
        <v>0</v>
      </c>
      <c r="CU53" s="261">
        <v>0</v>
      </c>
      <c r="CV53" s="261">
        <v>0</v>
      </c>
      <c r="CW53" s="261">
        <v>0</v>
      </c>
      <c r="CX53" s="261">
        <v>0</v>
      </c>
      <c r="CY53" s="261">
        <v>0</v>
      </c>
      <c r="CZ53" s="261">
        <v>0</v>
      </c>
      <c r="DA53" s="261">
        <v>0</v>
      </c>
      <c r="DB53" s="261">
        <v>0</v>
      </c>
      <c r="DC53" s="261">
        <v>0</v>
      </c>
      <c r="DD53" s="261">
        <v>0</v>
      </c>
      <c r="DE53" s="261">
        <v>0</v>
      </c>
      <c r="DF53" s="261">
        <v>0</v>
      </c>
      <c r="DG53" s="261">
        <v>0</v>
      </c>
      <c r="DH53" s="261">
        <v>0</v>
      </c>
      <c r="DI53" s="261">
        <v>0</v>
      </c>
      <c r="DJ53" s="261">
        <v>0</v>
      </c>
      <c r="DK53" s="261">
        <v>0</v>
      </c>
      <c r="DL53" s="261">
        <v>0</v>
      </c>
      <c r="DM53" s="261">
        <v>0</v>
      </c>
      <c r="DN53" s="261">
        <v>0</v>
      </c>
      <c r="DO53" s="261">
        <v>0</v>
      </c>
      <c r="DP53" s="261">
        <v>0</v>
      </c>
      <c r="DQ53" s="261">
        <v>0</v>
      </c>
      <c r="DR53" s="261">
        <v>0</v>
      </c>
      <c r="DS53" s="261">
        <v>0</v>
      </c>
      <c r="DT53" s="261">
        <v>0</v>
      </c>
      <c r="DU53" s="261">
        <v>0</v>
      </c>
      <c r="DV53" s="261">
        <v>0</v>
      </c>
      <c r="DW53" s="261">
        <v>0</v>
      </c>
      <c r="DX53" s="261">
        <v>0</v>
      </c>
      <c r="DY53" s="261">
        <v>0</v>
      </c>
      <c r="DZ53">
        <v>0</v>
      </c>
      <c r="EA53">
        <v>0</v>
      </c>
    </row>
    <row r="54" spans="10:131" x14ac:dyDescent="0.25">
      <c r="J54" t="str">
        <v>Press Opening Value</v>
      </c>
      <c r="K54">
        <v>0</v>
      </c>
      <c r="L54" s="261">
        <v>10000</v>
      </c>
      <c r="M54" s="261">
        <v>8499.9699999999993</v>
      </c>
      <c r="N54" s="261">
        <v>6800.03</v>
      </c>
      <c r="O54" s="261">
        <v>5439.9699999999993</v>
      </c>
      <c r="P54" s="261">
        <v>4352.03</v>
      </c>
      <c r="Q54" s="261">
        <v>3481.57</v>
      </c>
      <c r="R54" s="261">
        <v>2785.3099999999986</v>
      </c>
      <c r="S54" s="261">
        <v>2228.2299999999973</v>
      </c>
      <c r="T54" s="261">
        <v>1782.6019999999967</v>
      </c>
      <c r="U54" s="261">
        <v>1426.0815999999959</v>
      </c>
      <c r="V54" s="261">
        <v>710.55727999999499</v>
      </c>
      <c r="W54" s="261">
        <v>499.99999999999886</v>
      </c>
      <c r="X54" s="261">
        <v>0</v>
      </c>
      <c r="Y54" s="261">
        <v>0</v>
      </c>
      <c r="Z54" s="261">
        <v>0</v>
      </c>
      <c r="AA54" s="261">
        <v>0</v>
      </c>
      <c r="AB54" s="261">
        <v>0</v>
      </c>
      <c r="AC54" s="261">
        <v>0</v>
      </c>
      <c r="AD54" s="261">
        <v>0</v>
      </c>
      <c r="AE54" s="261">
        <v>0</v>
      </c>
      <c r="AF54" s="261">
        <v>0</v>
      </c>
      <c r="AG54" s="261">
        <v>0</v>
      </c>
      <c r="AH54" s="261">
        <v>0</v>
      </c>
      <c r="AI54" s="261">
        <v>0</v>
      </c>
      <c r="AJ54" s="261">
        <v>0</v>
      </c>
      <c r="AK54" s="261">
        <v>0</v>
      </c>
      <c r="AL54" s="261">
        <v>0</v>
      </c>
      <c r="AM54" s="261">
        <v>0</v>
      </c>
      <c r="AN54" s="261">
        <v>0</v>
      </c>
      <c r="AO54" s="261">
        <v>0</v>
      </c>
      <c r="AP54" s="261">
        <v>0</v>
      </c>
      <c r="AQ54" s="261">
        <v>0</v>
      </c>
      <c r="AR54" s="261">
        <v>0</v>
      </c>
      <c r="AS54" s="261">
        <v>0</v>
      </c>
      <c r="AT54" s="261">
        <v>0</v>
      </c>
      <c r="AU54" s="261">
        <v>0</v>
      </c>
      <c r="AV54" s="261">
        <v>0</v>
      </c>
      <c r="AW54" s="261">
        <v>0</v>
      </c>
      <c r="AX54" s="261">
        <v>0</v>
      </c>
      <c r="AY54" s="261">
        <v>0</v>
      </c>
      <c r="AZ54" s="261">
        <v>0</v>
      </c>
      <c r="BA54" s="261">
        <v>0</v>
      </c>
      <c r="BB54" s="261">
        <v>0</v>
      </c>
      <c r="BC54" s="261">
        <v>0</v>
      </c>
      <c r="BD54" s="261">
        <v>0</v>
      </c>
      <c r="BE54" s="261">
        <v>0</v>
      </c>
      <c r="BF54" s="261">
        <v>0</v>
      </c>
      <c r="BG54" s="261">
        <v>0</v>
      </c>
      <c r="BH54" s="261">
        <v>0</v>
      </c>
      <c r="BI54" s="261">
        <v>0</v>
      </c>
      <c r="BJ54" s="261">
        <v>0</v>
      </c>
      <c r="BK54" s="261">
        <v>0</v>
      </c>
      <c r="BL54" s="261">
        <v>0</v>
      </c>
      <c r="BM54" s="261">
        <v>0</v>
      </c>
      <c r="BN54" s="261">
        <v>0</v>
      </c>
      <c r="BO54" s="261">
        <v>0</v>
      </c>
      <c r="BP54" s="261">
        <v>0</v>
      </c>
      <c r="BQ54" s="261">
        <v>0</v>
      </c>
      <c r="BR54" s="261">
        <v>0</v>
      </c>
      <c r="BS54" s="261">
        <v>0</v>
      </c>
      <c r="BT54" s="261">
        <v>0</v>
      </c>
      <c r="BU54" s="261">
        <v>0</v>
      </c>
      <c r="BV54" s="261">
        <v>0</v>
      </c>
      <c r="BW54" s="261">
        <v>0</v>
      </c>
      <c r="BX54" s="261">
        <v>0</v>
      </c>
      <c r="BY54" s="261">
        <v>0</v>
      </c>
      <c r="BZ54" s="261">
        <v>0</v>
      </c>
      <c r="CA54" s="261">
        <v>0</v>
      </c>
      <c r="CB54" s="261">
        <v>0</v>
      </c>
      <c r="CC54" s="261">
        <v>0</v>
      </c>
      <c r="CD54" s="261">
        <v>0</v>
      </c>
      <c r="CE54" s="261">
        <v>0</v>
      </c>
      <c r="CF54" s="261">
        <v>0</v>
      </c>
      <c r="CG54" s="261">
        <v>0</v>
      </c>
      <c r="CH54" s="261">
        <v>0</v>
      </c>
      <c r="CI54" s="261">
        <v>0</v>
      </c>
      <c r="CJ54" s="261">
        <v>0</v>
      </c>
      <c r="CK54" s="261">
        <v>0</v>
      </c>
      <c r="CL54" s="261">
        <v>0</v>
      </c>
      <c r="CM54" s="261">
        <v>0</v>
      </c>
      <c r="CN54" s="261">
        <v>0</v>
      </c>
      <c r="CO54" s="261">
        <v>0</v>
      </c>
      <c r="CP54" s="261">
        <v>0</v>
      </c>
      <c r="CQ54" s="261">
        <v>0</v>
      </c>
      <c r="CR54" s="261">
        <v>0</v>
      </c>
      <c r="CS54" s="261">
        <v>0</v>
      </c>
      <c r="CT54" s="261">
        <v>0</v>
      </c>
      <c r="CU54" s="261">
        <v>0</v>
      </c>
      <c r="CV54" s="261">
        <v>0</v>
      </c>
      <c r="CW54" s="261">
        <v>0</v>
      </c>
      <c r="CX54" s="261">
        <v>0</v>
      </c>
      <c r="CY54" s="261">
        <v>0</v>
      </c>
      <c r="CZ54" s="261">
        <v>0</v>
      </c>
      <c r="DA54" s="261">
        <v>0</v>
      </c>
      <c r="DB54" s="261">
        <v>0</v>
      </c>
      <c r="DC54" s="261">
        <v>0</v>
      </c>
      <c r="DD54" s="261">
        <v>0</v>
      </c>
      <c r="DE54" s="261">
        <v>0</v>
      </c>
      <c r="DF54" s="261">
        <v>0</v>
      </c>
      <c r="DG54" s="261">
        <v>0</v>
      </c>
      <c r="DH54" s="261">
        <v>0</v>
      </c>
      <c r="DI54" s="261">
        <v>0</v>
      </c>
      <c r="DJ54" s="261">
        <v>0</v>
      </c>
      <c r="DK54" s="261">
        <v>0</v>
      </c>
      <c r="DL54" s="261">
        <v>0</v>
      </c>
      <c r="DM54" s="261">
        <v>0</v>
      </c>
      <c r="DN54" s="261">
        <v>0</v>
      </c>
      <c r="DO54" s="261">
        <v>0</v>
      </c>
      <c r="DP54" s="261">
        <v>0</v>
      </c>
      <c r="DQ54" s="261">
        <v>0</v>
      </c>
      <c r="DR54" s="261">
        <v>0</v>
      </c>
      <c r="DS54" s="261">
        <v>0</v>
      </c>
      <c r="DT54" s="261">
        <v>0</v>
      </c>
      <c r="DU54" s="261">
        <v>0</v>
      </c>
      <c r="DV54" s="261">
        <v>0</v>
      </c>
      <c r="DW54" s="261">
        <v>0</v>
      </c>
      <c r="DX54" s="261">
        <v>0</v>
      </c>
      <c r="DY54" s="261">
        <v>0</v>
      </c>
      <c r="DZ54">
        <v>0</v>
      </c>
      <c r="EA54">
        <v>0</v>
      </c>
    </row>
    <row r="55" spans="10:131" x14ac:dyDescent="0.25">
      <c r="J55" t="str">
        <v>Press Depreciation</v>
      </c>
      <c r="K55">
        <v>9999.9999999999982</v>
      </c>
      <c r="L55" s="261">
        <v>1500.03</v>
      </c>
      <c r="M55" s="261">
        <v>1699.9399999999996</v>
      </c>
      <c r="N55" s="261">
        <v>1360.0600000000002</v>
      </c>
      <c r="O55" s="261">
        <v>1087.9400000000005</v>
      </c>
      <c r="P55" s="261">
        <v>870.45999999999992</v>
      </c>
      <c r="Q55" s="261">
        <v>696.26000000000056</v>
      </c>
      <c r="R55" s="261">
        <v>557.08000000000038</v>
      </c>
      <c r="S55" s="261">
        <v>445.62800000000027</v>
      </c>
      <c r="T55" s="261">
        <v>356.52040000000034</v>
      </c>
      <c r="U55" s="261">
        <v>715.52432000000044</v>
      </c>
      <c r="V55" s="261">
        <v>210.55727999999601</v>
      </c>
      <c r="W55" s="261">
        <v>500</v>
      </c>
      <c r="X55" s="261">
        <v>0</v>
      </c>
      <c r="Y55" s="261">
        <v>0</v>
      </c>
      <c r="Z55" s="261">
        <v>0</v>
      </c>
      <c r="AA55" s="261">
        <v>0</v>
      </c>
      <c r="AB55" s="261">
        <v>0</v>
      </c>
      <c r="AC55" s="261">
        <v>0</v>
      </c>
      <c r="AD55" s="261">
        <v>0</v>
      </c>
      <c r="AE55" s="261">
        <v>0</v>
      </c>
      <c r="AF55" s="261">
        <v>0</v>
      </c>
      <c r="AG55" s="261">
        <v>0</v>
      </c>
      <c r="AH55" s="261">
        <v>0</v>
      </c>
      <c r="AI55" s="261">
        <v>0</v>
      </c>
      <c r="AJ55" s="261">
        <v>0</v>
      </c>
      <c r="AK55" s="261">
        <v>0</v>
      </c>
      <c r="AL55" s="261">
        <v>0</v>
      </c>
      <c r="AM55" s="261">
        <v>0</v>
      </c>
      <c r="AN55" s="261">
        <v>0</v>
      </c>
      <c r="AO55" s="261">
        <v>0</v>
      </c>
      <c r="AP55" s="261">
        <v>0</v>
      </c>
      <c r="AQ55" s="261">
        <v>0</v>
      </c>
      <c r="AR55" s="261">
        <v>0</v>
      </c>
      <c r="AS55" s="261">
        <v>0</v>
      </c>
      <c r="AT55" s="261">
        <v>0</v>
      </c>
      <c r="AU55" s="261">
        <v>0</v>
      </c>
      <c r="AV55" s="261">
        <v>0</v>
      </c>
      <c r="AW55" s="261">
        <v>0</v>
      </c>
      <c r="AX55" s="261">
        <v>0</v>
      </c>
      <c r="AY55" s="261">
        <v>0</v>
      </c>
      <c r="AZ55" s="261">
        <v>0</v>
      </c>
      <c r="BA55" s="261">
        <v>0</v>
      </c>
      <c r="BB55" s="261">
        <v>0</v>
      </c>
      <c r="BC55" s="261">
        <v>0</v>
      </c>
      <c r="BD55" s="261">
        <v>0</v>
      </c>
      <c r="BE55" s="261">
        <v>0</v>
      </c>
      <c r="BF55" s="261">
        <v>0</v>
      </c>
      <c r="BG55" s="261">
        <v>0</v>
      </c>
      <c r="BH55" s="261">
        <v>0</v>
      </c>
      <c r="BI55" s="261">
        <v>0</v>
      </c>
      <c r="BJ55" s="261">
        <v>0</v>
      </c>
      <c r="BK55" s="261">
        <v>0</v>
      </c>
      <c r="BL55" s="261">
        <v>0</v>
      </c>
      <c r="BM55" s="261">
        <v>0</v>
      </c>
      <c r="BN55" s="261">
        <v>0</v>
      </c>
      <c r="BO55" s="261">
        <v>0</v>
      </c>
      <c r="BP55" s="261">
        <v>0</v>
      </c>
      <c r="BQ55" s="261">
        <v>0</v>
      </c>
      <c r="BR55" s="261">
        <v>0</v>
      </c>
      <c r="BS55" s="261">
        <v>0</v>
      </c>
      <c r="BT55" s="261">
        <v>0</v>
      </c>
      <c r="BU55" s="261">
        <v>0</v>
      </c>
      <c r="BV55" s="261">
        <v>0</v>
      </c>
      <c r="BW55" s="261">
        <v>0</v>
      </c>
      <c r="BX55" s="261">
        <v>0</v>
      </c>
      <c r="BY55" s="261">
        <v>0</v>
      </c>
      <c r="BZ55" s="261">
        <v>0</v>
      </c>
      <c r="CA55" s="261">
        <v>0</v>
      </c>
      <c r="CB55" s="261">
        <v>0</v>
      </c>
      <c r="CC55" s="261">
        <v>0</v>
      </c>
      <c r="CD55" s="261">
        <v>0</v>
      </c>
      <c r="CE55" s="261">
        <v>0</v>
      </c>
      <c r="CF55" s="261">
        <v>0</v>
      </c>
      <c r="CG55" s="261">
        <v>0</v>
      </c>
      <c r="CH55" s="261">
        <v>0</v>
      </c>
      <c r="CI55" s="261">
        <v>0</v>
      </c>
      <c r="CJ55" s="261">
        <v>0</v>
      </c>
      <c r="CK55" s="261">
        <v>0</v>
      </c>
      <c r="CL55" s="261">
        <v>0</v>
      </c>
      <c r="CM55" s="261">
        <v>0</v>
      </c>
      <c r="CN55" s="261">
        <v>0</v>
      </c>
      <c r="CO55" s="261">
        <v>0</v>
      </c>
      <c r="CP55" s="261">
        <v>0</v>
      </c>
      <c r="CQ55" s="261">
        <v>0</v>
      </c>
      <c r="CR55" s="261">
        <v>0</v>
      </c>
      <c r="CS55" s="261">
        <v>0</v>
      </c>
      <c r="CT55" s="261">
        <v>0</v>
      </c>
      <c r="CU55" s="261">
        <v>0</v>
      </c>
      <c r="CV55" s="261">
        <v>0</v>
      </c>
      <c r="CW55" s="261">
        <v>0</v>
      </c>
      <c r="CX55" s="261">
        <v>0</v>
      </c>
      <c r="CY55" s="261">
        <v>0</v>
      </c>
      <c r="CZ55" s="261">
        <v>0</v>
      </c>
      <c r="DA55" s="261">
        <v>0</v>
      </c>
      <c r="DB55" s="261">
        <v>0</v>
      </c>
      <c r="DC55" s="261">
        <v>0</v>
      </c>
      <c r="DD55" s="261">
        <v>0</v>
      </c>
      <c r="DE55" s="261">
        <v>0</v>
      </c>
      <c r="DF55" s="261">
        <v>0</v>
      </c>
      <c r="DG55" s="261">
        <v>0</v>
      </c>
      <c r="DH55" s="261">
        <v>0</v>
      </c>
      <c r="DI55" s="261">
        <v>0</v>
      </c>
      <c r="DJ55" s="261">
        <v>0</v>
      </c>
      <c r="DK55" s="261">
        <v>0</v>
      </c>
      <c r="DL55" s="261">
        <v>0</v>
      </c>
      <c r="DM55" s="261">
        <v>0</v>
      </c>
      <c r="DN55" s="261">
        <v>0</v>
      </c>
      <c r="DO55" s="261">
        <v>0</v>
      </c>
      <c r="DP55" s="261">
        <v>0</v>
      </c>
      <c r="DQ55" s="261">
        <v>0</v>
      </c>
      <c r="DR55" s="261">
        <v>0</v>
      </c>
      <c r="DS55" s="261">
        <v>0</v>
      </c>
      <c r="DT55" s="261">
        <v>0</v>
      </c>
      <c r="DU55" s="261">
        <v>0</v>
      </c>
      <c r="DV55" s="261">
        <v>0</v>
      </c>
      <c r="DW55" s="261">
        <v>0</v>
      </c>
      <c r="DX55" s="261">
        <v>0</v>
      </c>
      <c r="DY55" s="261">
        <v>0</v>
      </c>
      <c r="DZ55">
        <v>0</v>
      </c>
      <c r="EA55">
        <v>0</v>
      </c>
    </row>
    <row r="56" spans="10:131" x14ac:dyDescent="0.25">
      <c r="J56" t="str">
        <v>Press Book Value</v>
      </c>
      <c r="K56">
        <v>0</v>
      </c>
      <c r="L56" s="261">
        <v>8499.9699999999993</v>
      </c>
      <c r="M56" s="261">
        <v>6800.03</v>
      </c>
      <c r="N56" s="261">
        <v>5439.9699999999993</v>
      </c>
      <c r="O56" s="261">
        <v>4352.0299999999988</v>
      </c>
      <c r="P56" s="261">
        <v>3481.5699999999997</v>
      </c>
      <c r="Q56" s="261">
        <v>2785.3099999999995</v>
      </c>
      <c r="R56" s="261">
        <v>2228.2299999999982</v>
      </c>
      <c r="S56" s="261">
        <v>1782.6019999999971</v>
      </c>
      <c r="T56" s="261">
        <v>1426.0815999999963</v>
      </c>
      <c r="U56" s="261">
        <v>710.55727999999544</v>
      </c>
      <c r="V56" s="261">
        <v>499.99999999999898</v>
      </c>
      <c r="W56" s="261">
        <v>-1.1368683772161603E-12</v>
      </c>
      <c r="X56" s="261">
        <v>0</v>
      </c>
      <c r="Y56" s="261">
        <v>0</v>
      </c>
      <c r="Z56" s="261">
        <v>0</v>
      </c>
      <c r="AA56" s="261">
        <v>0</v>
      </c>
      <c r="AB56" s="261">
        <v>0</v>
      </c>
      <c r="AC56" s="261">
        <v>0</v>
      </c>
      <c r="AD56" s="261">
        <v>0</v>
      </c>
      <c r="AE56" s="261">
        <v>0</v>
      </c>
      <c r="AF56" s="261">
        <v>0</v>
      </c>
      <c r="AG56" s="261">
        <v>0</v>
      </c>
      <c r="AH56" s="261">
        <v>0</v>
      </c>
      <c r="AI56" s="261">
        <v>0</v>
      </c>
      <c r="AJ56" s="261">
        <v>0</v>
      </c>
      <c r="AK56" s="261">
        <v>0</v>
      </c>
      <c r="AL56" s="261">
        <v>0</v>
      </c>
      <c r="AM56" s="261">
        <v>0</v>
      </c>
      <c r="AN56" s="261">
        <v>0</v>
      </c>
      <c r="AO56" s="261">
        <v>0</v>
      </c>
      <c r="AP56" s="261">
        <v>0</v>
      </c>
      <c r="AQ56" s="261">
        <v>0</v>
      </c>
      <c r="AR56" s="261">
        <v>0</v>
      </c>
      <c r="AS56" s="261">
        <v>0</v>
      </c>
      <c r="AT56" s="261">
        <v>0</v>
      </c>
      <c r="AU56" s="261">
        <v>0</v>
      </c>
      <c r="AV56" s="261">
        <v>0</v>
      </c>
      <c r="AW56" s="261">
        <v>0</v>
      </c>
      <c r="AX56" s="261">
        <v>0</v>
      </c>
      <c r="AY56" s="261">
        <v>0</v>
      </c>
      <c r="AZ56" s="261">
        <v>0</v>
      </c>
      <c r="BA56" s="261">
        <v>0</v>
      </c>
      <c r="BB56" s="261">
        <v>0</v>
      </c>
      <c r="BC56" s="261">
        <v>0</v>
      </c>
      <c r="BD56" s="261">
        <v>0</v>
      </c>
      <c r="BE56" s="261">
        <v>0</v>
      </c>
      <c r="BF56" s="261">
        <v>0</v>
      </c>
      <c r="BG56" s="261">
        <v>0</v>
      </c>
      <c r="BH56" s="261">
        <v>0</v>
      </c>
      <c r="BI56" s="261">
        <v>0</v>
      </c>
      <c r="BJ56" s="261">
        <v>0</v>
      </c>
      <c r="BK56" s="261">
        <v>0</v>
      </c>
      <c r="BL56" s="261">
        <v>0</v>
      </c>
      <c r="BM56" s="261">
        <v>0</v>
      </c>
      <c r="BN56" s="261">
        <v>0</v>
      </c>
      <c r="BO56" s="261">
        <v>0</v>
      </c>
      <c r="BP56" s="261">
        <v>0</v>
      </c>
      <c r="BQ56" s="261">
        <v>0</v>
      </c>
      <c r="BR56" s="261">
        <v>0</v>
      </c>
      <c r="BS56" s="261">
        <v>0</v>
      </c>
      <c r="BT56" s="261">
        <v>0</v>
      </c>
      <c r="BU56" s="261">
        <v>0</v>
      </c>
      <c r="BV56" s="261">
        <v>0</v>
      </c>
      <c r="BW56" s="261">
        <v>0</v>
      </c>
      <c r="BX56" s="261">
        <v>0</v>
      </c>
      <c r="BY56" s="261">
        <v>0</v>
      </c>
      <c r="BZ56" s="261">
        <v>0</v>
      </c>
      <c r="CA56" s="261">
        <v>0</v>
      </c>
      <c r="CB56" s="261">
        <v>0</v>
      </c>
      <c r="CC56" s="261">
        <v>0</v>
      </c>
      <c r="CD56" s="261">
        <v>0</v>
      </c>
      <c r="CE56" s="261">
        <v>0</v>
      </c>
      <c r="CF56" s="261">
        <v>0</v>
      </c>
      <c r="CG56" s="261">
        <v>0</v>
      </c>
      <c r="CH56" s="261">
        <v>0</v>
      </c>
      <c r="CI56" s="261">
        <v>0</v>
      </c>
      <c r="CJ56" s="261">
        <v>0</v>
      </c>
      <c r="CK56" s="261">
        <v>0</v>
      </c>
      <c r="CL56" s="261">
        <v>0</v>
      </c>
      <c r="CM56" s="261">
        <v>0</v>
      </c>
      <c r="CN56" s="261">
        <v>0</v>
      </c>
      <c r="CO56" s="261">
        <v>0</v>
      </c>
      <c r="CP56" s="261">
        <v>0</v>
      </c>
      <c r="CQ56" s="261">
        <v>0</v>
      </c>
      <c r="CR56" s="261">
        <v>0</v>
      </c>
      <c r="CS56" s="261">
        <v>0</v>
      </c>
      <c r="CT56" s="261">
        <v>0</v>
      </c>
      <c r="CU56" s="261">
        <v>0</v>
      </c>
      <c r="CV56" s="261">
        <v>0</v>
      </c>
      <c r="CW56" s="261">
        <v>0</v>
      </c>
      <c r="CX56" s="261">
        <v>0</v>
      </c>
      <c r="CY56" s="261">
        <v>0</v>
      </c>
      <c r="CZ56" s="261">
        <v>0</v>
      </c>
      <c r="DA56" s="261">
        <v>0</v>
      </c>
      <c r="DB56" s="261">
        <v>0</v>
      </c>
      <c r="DC56" s="261">
        <v>0</v>
      </c>
      <c r="DD56" s="261">
        <v>0</v>
      </c>
      <c r="DE56" s="261">
        <v>0</v>
      </c>
      <c r="DF56" s="261">
        <v>0</v>
      </c>
      <c r="DG56" s="261">
        <v>0</v>
      </c>
      <c r="DH56" s="261">
        <v>0</v>
      </c>
      <c r="DI56" s="261">
        <v>0</v>
      </c>
      <c r="DJ56" s="261">
        <v>0</v>
      </c>
      <c r="DK56" s="261">
        <v>0</v>
      </c>
      <c r="DL56" s="261">
        <v>0</v>
      </c>
      <c r="DM56" s="261">
        <v>0</v>
      </c>
      <c r="DN56" s="261">
        <v>0</v>
      </c>
      <c r="DO56" s="261">
        <v>0</v>
      </c>
      <c r="DP56" s="261">
        <v>0</v>
      </c>
      <c r="DQ56" s="261">
        <v>0</v>
      </c>
      <c r="DR56" s="261">
        <v>0</v>
      </c>
      <c r="DS56" s="261">
        <v>0</v>
      </c>
      <c r="DT56" s="261">
        <v>0</v>
      </c>
      <c r="DU56" s="261">
        <v>0</v>
      </c>
      <c r="DV56" s="261">
        <v>0</v>
      </c>
      <c r="DW56" s="261">
        <v>0</v>
      </c>
      <c r="DX56" s="261">
        <v>0</v>
      </c>
      <c r="DY56" s="261">
        <v>0</v>
      </c>
      <c r="DZ56">
        <v>0</v>
      </c>
      <c r="EA56">
        <v>0</v>
      </c>
    </row>
    <row r="57" spans="10:131" x14ac:dyDescent="0.25">
      <c r="J57" t="str">
        <v>Press Revenue from Sale</v>
      </c>
      <c r="K57">
        <v>500</v>
      </c>
      <c r="L57" s="261">
        <v>0</v>
      </c>
      <c r="M57" s="261">
        <v>0</v>
      </c>
      <c r="N57" s="261">
        <v>0</v>
      </c>
      <c r="O57" s="261">
        <v>0</v>
      </c>
      <c r="P57" s="261">
        <v>0</v>
      </c>
      <c r="Q57" s="261">
        <v>0</v>
      </c>
      <c r="R57" s="261">
        <v>0</v>
      </c>
      <c r="S57" s="261">
        <v>0</v>
      </c>
      <c r="T57" s="261">
        <v>0</v>
      </c>
      <c r="U57" s="261">
        <v>0</v>
      </c>
      <c r="V57" s="261">
        <v>0</v>
      </c>
      <c r="W57" s="261">
        <v>500</v>
      </c>
      <c r="X57" s="261">
        <v>0</v>
      </c>
      <c r="Y57" s="261">
        <v>0</v>
      </c>
      <c r="Z57" s="261">
        <v>0</v>
      </c>
      <c r="AA57" s="261">
        <v>0</v>
      </c>
      <c r="AB57" s="261">
        <v>0</v>
      </c>
      <c r="AC57" s="261">
        <v>0</v>
      </c>
      <c r="AD57" s="261">
        <v>0</v>
      </c>
      <c r="AE57" s="261">
        <v>0</v>
      </c>
      <c r="AF57" s="261">
        <v>0</v>
      </c>
      <c r="AG57" s="261">
        <v>0</v>
      </c>
      <c r="AH57" s="261">
        <v>0</v>
      </c>
      <c r="AI57" s="261">
        <v>0</v>
      </c>
      <c r="AJ57" s="261">
        <v>0</v>
      </c>
      <c r="AK57" s="261">
        <v>0</v>
      </c>
      <c r="AL57" s="261">
        <v>0</v>
      </c>
      <c r="AM57" s="261">
        <v>0</v>
      </c>
      <c r="AN57" s="261">
        <v>0</v>
      </c>
      <c r="AO57" s="261">
        <v>0</v>
      </c>
      <c r="AP57" s="261">
        <v>0</v>
      </c>
      <c r="AQ57" s="261">
        <v>0</v>
      </c>
      <c r="AR57" s="261">
        <v>0</v>
      </c>
      <c r="AS57" s="261">
        <v>0</v>
      </c>
      <c r="AT57" s="261">
        <v>0</v>
      </c>
      <c r="AU57" s="261">
        <v>0</v>
      </c>
      <c r="AV57" s="261">
        <v>0</v>
      </c>
      <c r="AW57" s="261">
        <v>0</v>
      </c>
      <c r="AX57" s="261">
        <v>0</v>
      </c>
      <c r="AY57" s="261">
        <v>0</v>
      </c>
      <c r="AZ57" s="261">
        <v>0</v>
      </c>
      <c r="BA57" s="261">
        <v>0</v>
      </c>
      <c r="BB57" s="261">
        <v>0</v>
      </c>
      <c r="BC57" s="261">
        <v>0</v>
      </c>
      <c r="BD57" s="261">
        <v>0</v>
      </c>
      <c r="BE57" s="261">
        <v>0</v>
      </c>
      <c r="BF57" s="261">
        <v>0</v>
      </c>
      <c r="BG57" s="261">
        <v>0</v>
      </c>
      <c r="BH57" s="261">
        <v>0</v>
      </c>
      <c r="BI57" s="261">
        <v>0</v>
      </c>
      <c r="BJ57" s="261">
        <v>0</v>
      </c>
      <c r="BK57" s="261">
        <v>0</v>
      </c>
      <c r="BL57" s="261">
        <v>0</v>
      </c>
      <c r="BM57" s="261">
        <v>0</v>
      </c>
      <c r="BN57" s="261">
        <v>0</v>
      </c>
      <c r="BO57" s="261">
        <v>0</v>
      </c>
      <c r="BP57" s="261">
        <v>0</v>
      </c>
      <c r="BQ57" s="261">
        <v>0</v>
      </c>
      <c r="BR57" s="261">
        <v>0</v>
      </c>
      <c r="BS57" s="261">
        <v>0</v>
      </c>
      <c r="BT57" s="261">
        <v>0</v>
      </c>
      <c r="BU57" s="261">
        <v>0</v>
      </c>
      <c r="BV57" s="261">
        <v>0</v>
      </c>
      <c r="BW57" s="261">
        <v>0</v>
      </c>
      <c r="BX57" s="261">
        <v>0</v>
      </c>
      <c r="BY57" s="261">
        <v>0</v>
      </c>
      <c r="BZ57" s="261">
        <v>0</v>
      </c>
      <c r="CA57" s="261">
        <v>0</v>
      </c>
      <c r="CB57" s="261">
        <v>0</v>
      </c>
      <c r="CC57" s="261">
        <v>0</v>
      </c>
      <c r="CD57" s="261">
        <v>0</v>
      </c>
      <c r="CE57" s="261">
        <v>0</v>
      </c>
      <c r="CF57" s="261">
        <v>0</v>
      </c>
      <c r="CG57" s="261">
        <v>0</v>
      </c>
      <c r="CH57" s="261">
        <v>0</v>
      </c>
      <c r="CI57" s="261">
        <v>0</v>
      </c>
      <c r="CJ57" s="261">
        <v>0</v>
      </c>
      <c r="CK57" s="261">
        <v>0</v>
      </c>
      <c r="CL57" s="261">
        <v>0</v>
      </c>
      <c r="CM57" s="261">
        <v>0</v>
      </c>
      <c r="CN57" s="261">
        <v>0</v>
      </c>
      <c r="CO57" s="261">
        <v>0</v>
      </c>
      <c r="CP57" s="261">
        <v>0</v>
      </c>
      <c r="CQ57" s="261">
        <v>0</v>
      </c>
      <c r="CR57" s="261">
        <v>0</v>
      </c>
      <c r="CS57" s="261">
        <v>0</v>
      </c>
      <c r="CT57" s="261">
        <v>0</v>
      </c>
      <c r="CU57" s="261">
        <v>0</v>
      </c>
      <c r="CV57" s="261">
        <v>0</v>
      </c>
      <c r="CW57" s="261">
        <v>0</v>
      </c>
      <c r="CX57" s="261">
        <v>0</v>
      </c>
      <c r="CY57" s="261">
        <v>0</v>
      </c>
      <c r="CZ57" s="261">
        <v>0</v>
      </c>
      <c r="DA57" s="261">
        <v>0</v>
      </c>
      <c r="DB57" s="261">
        <v>0</v>
      </c>
      <c r="DC57" s="261">
        <v>0</v>
      </c>
      <c r="DD57" s="261">
        <v>0</v>
      </c>
      <c r="DE57" s="261">
        <v>0</v>
      </c>
      <c r="DF57" s="261">
        <v>0</v>
      </c>
      <c r="DG57" s="261">
        <v>0</v>
      </c>
      <c r="DH57" s="261">
        <v>0</v>
      </c>
      <c r="DI57" s="261">
        <v>0</v>
      </c>
      <c r="DJ57" s="261">
        <v>0</v>
      </c>
      <c r="DK57" s="261">
        <v>0</v>
      </c>
      <c r="DL57" s="261">
        <v>0</v>
      </c>
      <c r="DM57" s="261">
        <v>0</v>
      </c>
      <c r="DN57" s="261">
        <v>0</v>
      </c>
      <c r="DO57" s="261">
        <v>0</v>
      </c>
      <c r="DP57" s="261">
        <v>0</v>
      </c>
      <c r="DQ57" s="261">
        <v>0</v>
      </c>
      <c r="DR57" s="261">
        <v>0</v>
      </c>
      <c r="DS57" s="261">
        <v>0</v>
      </c>
      <c r="DT57" s="261">
        <v>0</v>
      </c>
      <c r="DU57" s="261">
        <v>0</v>
      </c>
      <c r="DV57" s="261">
        <v>0</v>
      </c>
      <c r="DW57" s="261">
        <v>0</v>
      </c>
      <c r="DX57" s="261">
        <v>0</v>
      </c>
      <c r="DY57" s="261">
        <v>0</v>
      </c>
      <c r="DZ57">
        <v>0</v>
      </c>
      <c r="EA57">
        <v>0</v>
      </c>
    </row>
    <row r="58" spans="10:131" x14ac:dyDescent="0.25">
      <c r="J58" t="str">
        <v>Press Disposal Costs</v>
      </c>
      <c r="K58">
        <v>100</v>
      </c>
      <c r="L58" s="261">
        <v>0</v>
      </c>
      <c r="M58" s="261">
        <v>0</v>
      </c>
      <c r="N58" s="261">
        <v>0</v>
      </c>
      <c r="O58" s="261">
        <v>0</v>
      </c>
      <c r="P58" s="261">
        <v>0</v>
      </c>
      <c r="Q58" s="261">
        <v>0</v>
      </c>
      <c r="R58" s="261">
        <v>0</v>
      </c>
      <c r="S58" s="261">
        <v>0</v>
      </c>
      <c r="T58" s="261">
        <v>0</v>
      </c>
      <c r="U58" s="261">
        <v>0</v>
      </c>
      <c r="V58" s="261">
        <v>0</v>
      </c>
      <c r="W58" s="261">
        <v>100</v>
      </c>
      <c r="X58" s="261">
        <v>0</v>
      </c>
      <c r="Y58" s="261">
        <v>0</v>
      </c>
      <c r="Z58" s="261">
        <v>0</v>
      </c>
      <c r="AA58" s="261">
        <v>0</v>
      </c>
      <c r="AB58" s="261">
        <v>0</v>
      </c>
      <c r="AC58" s="261">
        <v>0</v>
      </c>
      <c r="AD58" s="261">
        <v>0</v>
      </c>
      <c r="AE58" s="261">
        <v>0</v>
      </c>
      <c r="AF58" s="261">
        <v>0</v>
      </c>
      <c r="AG58" s="261">
        <v>0</v>
      </c>
      <c r="AH58" s="261">
        <v>0</v>
      </c>
      <c r="AI58" s="261">
        <v>0</v>
      </c>
      <c r="AJ58" s="261">
        <v>0</v>
      </c>
      <c r="AK58" s="261">
        <v>0</v>
      </c>
      <c r="AL58" s="261">
        <v>0</v>
      </c>
      <c r="AM58" s="261">
        <v>0</v>
      </c>
      <c r="AN58" s="261">
        <v>0</v>
      </c>
      <c r="AO58" s="261">
        <v>0</v>
      </c>
      <c r="AP58" s="261">
        <v>0</v>
      </c>
      <c r="AQ58" s="261">
        <v>0</v>
      </c>
      <c r="AR58" s="261">
        <v>0</v>
      </c>
      <c r="AS58" s="261">
        <v>0</v>
      </c>
      <c r="AT58" s="261">
        <v>0</v>
      </c>
      <c r="AU58" s="261">
        <v>0</v>
      </c>
      <c r="AV58" s="261">
        <v>0</v>
      </c>
      <c r="AW58" s="261">
        <v>0</v>
      </c>
      <c r="AX58" s="261">
        <v>0</v>
      </c>
      <c r="AY58" s="261">
        <v>0</v>
      </c>
      <c r="AZ58" s="261">
        <v>0</v>
      </c>
      <c r="BA58" s="261">
        <v>0</v>
      </c>
      <c r="BB58" s="261">
        <v>0</v>
      </c>
      <c r="BC58" s="261">
        <v>0</v>
      </c>
      <c r="BD58" s="261">
        <v>0</v>
      </c>
      <c r="BE58" s="261">
        <v>0</v>
      </c>
      <c r="BF58" s="261">
        <v>0</v>
      </c>
      <c r="BG58" s="261">
        <v>0</v>
      </c>
      <c r="BH58" s="261">
        <v>0</v>
      </c>
      <c r="BI58" s="261">
        <v>0</v>
      </c>
      <c r="BJ58" s="261">
        <v>0</v>
      </c>
      <c r="BK58" s="261">
        <v>0</v>
      </c>
      <c r="BL58" s="261">
        <v>0</v>
      </c>
      <c r="BM58" s="261">
        <v>0</v>
      </c>
      <c r="BN58" s="261">
        <v>0</v>
      </c>
      <c r="BO58" s="261">
        <v>0</v>
      </c>
      <c r="BP58" s="261">
        <v>0</v>
      </c>
      <c r="BQ58" s="261">
        <v>0</v>
      </c>
      <c r="BR58" s="261">
        <v>0</v>
      </c>
      <c r="BS58" s="261">
        <v>0</v>
      </c>
      <c r="BT58" s="261">
        <v>0</v>
      </c>
      <c r="BU58" s="261">
        <v>0</v>
      </c>
      <c r="BV58" s="261">
        <v>0</v>
      </c>
      <c r="BW58" s="261">
        <v>0</v>
      </c>
      <c r="BX58" s="261">
        <v>0</v>
      </c>
      <c r="BY58" s="261">
        <v>0</v>
      </c>
      <c r="BZ58" s="261">
        <v>0</v>
      </c>
      <c r="CA58" s="261">
        <v>0</v>
      </c>
      <c r="CB58" s="261">
        <v>0</v>
      </c>
      <c r="CC58" s="261">
        <v>0</v>
      </c>
      <c r="CD58" s="261">
        <v>0</v>
      </c>
      <c r="CE58" s="261">
        <v>0</v>
      </c>
      <c r="CF58" s="261">
        <v>0</v>
      </c>
      <c r="CG58" s="261">
        <v>0</v>
      </c>
      <c r="CH58" s="261">
        <v>0</v>
      </c>
      <c r="CI58" s="261">
        <v>0</v>
      </c>
      <c r="CJ58" s="261">
        <v>0</v>
      </c>
      <c r="CK58" s="261">
        <v>0</v>
      </c>
      <c r="CL58" s="261">
        <v>0</v>
      </c>
      <c r="CM58" s="261">
        <v>0</v>
      </c>
      <c r="CN58" s="261">
        <v>0</v>
      </c>
      <c r="CO58" s="261">
        <v>0</v>
      </c>
      <c r="CP58" s="261">
        <v>0</v>
      </c>
      <c r="CQ58" s="261">
        <v>0</v>
      </c>
      <c r="CR58" s="261">
        <v>0</v>
      </c>
      <c r="CS58" s="261">
        <v>0</v>
      </c>
      <c r="CT58" s="261">
        <v>0</v>
      </c>
      <c r="CU58" s="261">
        <v>0</v>
      </c>
      <c r="CV58" s="261">
        <v>0</v>
      </c>
      <c r="CW58" s="261">
        <v>0</v>
      </c>
      <c r="CX58" s="261">
        <v>0</v>
      </c>
      <c r="CY58" s="261">
        <v>0</v>
      </c>
      <c r="CZ58" s="261">
        <v>0</v>
      </c>
      <c r="DA58" s="261">
        <v>0</v>
      </c>
      <c r="DB58" s="261">
        <v>0</v>
      </c>
      <c r="DC58" s="261">
        <v>0</v>
      </c>
      <c r="DD58" s="261">
        <v>0</v>
      </c>
      <c r="DE58" s="261">
        <v>0</v>
      </c>
      <c r="DF58" s="261">
        <v>0</v>
      </c>
      <c r="DG58" s="261">
        <v>0</v>
      </c>
      <c r="DH58" s="261">
        <v>0</v>
      </c>
      <c r="DI58" s="261">
        <v>0</v>
      </c>
      <c r="DJ58" s="261">
        <v>0</v>
      </c>
      <c r="DK58" s="261">
        <v>0</v>
      </c>
      <c r="DL58" s="261">
        <v>0</v>
      </c>
      <c r="DM58" s="261">
        <v>0</v>
      </c>
      <c r="DN58" s="261">
        <v>0</v>
      </c>
      <c r="DO58" s="261">
        <v>0</v>
      </c>
      <c r="DP58" s="261">
        <v>0</v>
      </c>
      <c r="DQ58" s="261">
        <v>0</v>
      </c>
      <c r="DR58" s="261">
        <v>0</v>
      </c>
      <c r="DS58" s="261">
        <v>0</v>
      </c>
      <c r="DT58" s="261">
        <v>0</v>
      </c>
      <c r="DU58" s="261">
        <v>0</v>
      </c>
      <c r="DV58" s="261">
        <v>0</v>
      </c>
      <c r="DW58" s="261">
        <v>0</v>
      </c>
      <c r="DX58" s="261">
        <v>0</v>
      </c>
      <c r="DY58" s="261">
        <v>0</v>
      </c>
      <c r="DZ58">
        <v>0</v>
      </c>
      <c r="EA58">
        <v>0</v>
      </c>
    </row>
    <row r="59" spans="10:131" x14ac:dyDescent="0.25">
      <c r="J59" t="str">
        <v/>
      </c>
      <c r="K59">
        <v>0</v>
      </c>
      <c r="L59" s="261" t="str">
        <v/>
      </c>
      <c r="M59" s="261" t="str">
        <v/>
      </c>
      <c r="N59" s="261" t="str">
        <v/>
      </c>
      <c r="O59" s="261" t="str">
        <v/>
      </c>
      <c r="P59" s="261" t="str">
        <v/>
      </c>
      <c r="Q59" s="261" t="str">
        <v/>
      </c>
      <c r="R59" s="261" t="str">
        <v/>
      </c>
      <c r="S59" s="261" t="str">
        <v/>
      </c>
      <c r="T59" s="261" t="str">
        <v/>
      </c>
      <c r="U59" s="261" t="str">
        <v/>
      </c>
      <c r="V59" s="261" t="str">
        <v/>
      </c>
      <c r="W59" s="261" t="str">
        <v/>
      </c>
      <c r="X59" s="261" t="str">
        <v/>
      </c>
      <c r="Y59" s="261" t="str">
        <v/>
      </c>
      <c r="Z59" s="261" t="str">
        <v/>
      </c>
      <c r="AA59" s="261" t="str">
        <v/>
      </c>
      <c r="AB59" s="261" t="str">
        <v/>
      </c>
      <c r="AC59" s="261" t="str">
        <v/>
      </c>
      <c r="AD59" s="261" t="str">
        <v/>
      </c>
      <c r="AE59" s="261" t="str">
        <v/>
      </c>
      <c r="AF59" s="261" t="str">
        <v/>
      </c>
      <c r="AG59" s="261" t="str">
        <v/>
      </c>
      <c r="AH59" s="261" t="str">
        <v/>
      </c>
      <c r="AI59" s="261" t="str">
        <v/>
      </c>
      <c r="AJ59" s="261" t="str">
        <v/>
      </c>
      <c r="AK59" s="261" t="str">
        <v/>
      </c>
      <c r="AL59" s="261" t="str">
        <v/>
      </c>
      <c r="AM59" s="261" t="str">
        <v/>
      </c>
      <c r="AN59" s="261" t="str">
        <v/>
      </c>
      <c r="AO59" s="261" t="str">
        <v/>
      </c>
      <c r="AP59" s="261" t="str">
        <v/>
      </c>
      <c r="AQ59" s="261" t="str">
        <v/>
      </c>
      <c r="AR59" s="261" t="str">
        <v/>
      </c>
      <c r="AS59" s="261" t="str">
        <v/>
      </c>
      <c r="AT59" s="261" t="str">
        <v/>
      </c>
      <c r="AU59" s="261" t="str">
        <v/>
      </c>
      <c r="AV59" s="261" t="str">
        <v/>
      </c>
      <c r="AW59" s="261" t="str">
        <v/>
      </c>
      <c r="AX59" s="261" t="str">
        <v/>
      </c>
      <c r="AY59" s="261" t="str">
        <v/>
      </c>
      <c r="AZ59" s="261" t="str">
        <v/>
      </c>
      <c r="BA59" s="261" t="str">
        <v/>
      </c>
      <c r="BB59" s="261" t="str">
        <v/>
      </c>
      <c r="BC59" s="261" t="str">
        <v/>
      </c>
      <c r="BD59" s="261" t="str">
        <v/>
      </c>
      <c r="BE59" s="261" t="str">
        <v/>
      </c>
      <c r="BF59" s="261" t="str">
        <v/>
      </c>
      <c r="BG59" s="261" t="str">
        <v/>
      </c>
      <c r="BH59" s="261" t="str">
        <v/>
      </c>
      <c r="BI59" s="261" t="str">
        <v/>
      </c>
      <c r="BJ59" s="261" t="str">
        <v/>
      </c>
      <c r="BK59" s="261" t="str">
        <v/>
      </c>
      <c r="BL59" s="261" t="str">
        <v/>
      </c>
      <c r="BM59" s="261" t="str">
        <v/>
      </c>
      <c r="BN59" s="261" t="str">
        <v/>
      </c>
      <c r="BO59" s="261" t="str">
        <v/>
      </c>
      <c r="BP59" s="261" t="str">
        <v/>
      </c>
      <c r="BQ59" s="261" t="str">
        <v/>
      </c>
      <c r="BR59" s="261" t="str">
        <v/>
      </c>
      <c r="BS59" s="261" t="str">
        <v/>
      </c>
      <c r="BT59" s="261" t="str">
        <v/>
      </c>
      <c r="BU59" s="261" t="str">
        <v/>
      </c>
      <c r="BV59" s="261" t="str">
        <v/>
      </c>
      <c r="BW59" s="261" t="str">
        <v/>
      </c>
      <c r="BX59" s="261" t="str">
        <v/>
      </c>
      <c r="BY59" s="261" t="str">
        <v/>
      </c>
      <c r="BZ59" s="261" t="str">
        <v/>
      </c>
      <c r="CA59" s="261" t="str">
        <v/>
      </c>
      <c r="CB59" s="261" t="str">
        <v/>
      </c>
      <c r="CC59" s="261" t="str">
        <v/>
      </c>
      <c r="CD59" s="261" t="str">
        <v/>
      </c>
      <c r="CE59" s="261" t="str">
        <v/>
      </c>
      <c r="CF59" s="261" t="str">
        <v/>
      </c>
      <c r="CG59" s="261" t="str">
        <v/>
      </c>
      <c r="CH59" s="261" t="str">
        <v/>
      </c>
      <c r="CI59" s="261" t="str">
        <v/>
      </c>
      <c r="CJ59" s="261" t="str">
        <v/>
      </c>
      <c r="CK59" s="261" t="str">
        <v/>
      </c>
      <c r="CL59" s="261" t="str">
        <v/>
      </c>
      <c r="CM59" s="261" t="str">
        <v/>
      </c>
      <c r="CN59" s="261" t="str">
        <v/>
      </c>
      <c r="CO59" s="261" t="str">
        <v/>
      </c>
      <c r="CP59" s="261" t="str">
        <v/>
      </c>
      <c r="CQ59" s="261" t="str">
        <v/>
      </c>
      <c r="CR59" s="261" t="str">
        <v/>
      </c>
      <c r="CS59" s="261" t="str">
        <v/>
      </c>
      <c r="CT59" s="261" t="str">
        <v/>
      </c>
      <c r="CU59" s="261" t="str">
        <v/>
      </c>
      <c r="CV59" s="261" t="str">
        <v/>
      </c>
      <c r="CW59" s="261" t="str">
        <v/>
      </c>
      <c r="CX59" s="261" t="str">
        <v/>
      </c>
      <c r="CY59" s="261" t="str">
        <v/>
      </c>
      <c r="CZ59" s="261" t="str">
        <v/>
      </c>
      <c r="DA59" s="261" t="str">
        <v/>
      </c>
      <c r="DB59" s="261" t="str">
        <v/>
      </c>
      <c r="DC59" s="261" t="str">
        <v/>
      </c>
      <c r="DD59" s="261" t="str">
        <v/>
      </c>
      <c r="DE59" s="261" t="str">
        <v/>
      </c>
      <c r="DF59" s="261" t="str">
        <v/>
      </c>
      <c r="DG59" s="261" t="str">
        <v/>
      </c>
      <c r="DH59" s="261" t="str">
        <v/>
      </c>
      <c r="DI59" s="261" t="str">
        <v/>
      </c>
      <c r="DJ59" s="261" t="str">
        <v/>
      </c>
      <c r="DK59" s="261" t="str">
        <v/>
      </c>
      <c r="DL59" s="261" t="str">
        <v/>
      </c>
      <c r="DM59" s="261" t="str">
        <v/>
      </c>
      <c r="DN59" s="261" t="str">
        <v/>
      </c>
      <c r="DO59" s="261" t="str">
        <v/>
      </c>
      <c r="DP59" s="261" t="str">
        <v/>
      </c>
      <c r="DQ59" s="261" t="str">
        <v/>
      </c>
      <c r="DR59" s="261" t="str">
        <v/>
      </c>
      <c r="DS59" s="261" t="str">
        <v/>
      </c>
      <c r="DT59" s="261" t="str">
        <v/>
      </c>
      <c r="DU59" s="261" t="str">
        <v/>
      </c>
      <c r="DV59" s="261" t="str">
        <v/>
      </c>
      <c r="DW59" s="261" t="str">
        <v/>
      </c>
      <c r="DX59" s="261" t="str">
        <v/>
      </c>
      <c r="DY59" s="261" t="str">
        <v/>
      </c>
      <c r="DZ59" t="str">
        <v/>
      </c>
      <c r="EA59" t="str">
        <v/>
      </c>
    </row>
    <row r="60" spans="10:131" x14ac:dyDescent="0.25">
      <c r="J60" t="str">
        <v>CNC CAPEX</v>
      </c>
      <c r="K60">
        <v>50000</v>
      </c>
      <c r="L60" s="261">
        <v>50000</v>
      </c>
      <c r="M60" s="261">
        <v>0</v>
      </c>
      <c r="N60" s="261">
        <v>0</v>
      </c>
      <c r="O60" s="261">
        <v>0</v>
      </c>
      <c r="P60" s="261">
        <v>0</v>
      </c>
      <c r="Q60" s="261">
        <v>0</v>
      </c>
      <c r="R60" s="261">
        <v>0</v>
      </c>
      <c r="S60" s="261">
        <v>0</v>
      </c>
      <c r="T60" s="261">
        <v>0</v>
      </c>
      <c r="U60" s="261">
        <v>0</v>
      </c>
      <c r="V60" s="261">
        <v>0</v>
      </c>
      <c r="W60" s="261">
        <v>0</v>
      </c>
      <c r="X60" s="261">
        <v>0</v>
      </c>
      <c r="Y60" s="261">
        <v>0</v>
      </c>
      <c r="Z60" s="261">
        <v>0</v>
      </c>
      <c r="AA60" s="261">
        <v>0</v>
      </c>
      <c r="AB60" s="261">
        <v>0</v>
      </c>
      <c r="AC60" s="261">
        <v>0</v>
      </c>
      <c r="AD60" s="261">
        <v>0</v>
      </c>
      <c r="AE60" s="261">
        <v>0</v>
      </c>
      <c r="AF60" s="261">
        <v>0</v>
      </c>
      <c r="AG60" s="261">
        <v>0</v>
      </c>
      <c r="AH60" s="261">
        <v>0</v>
      </c>
      <c r="AI60" s="261">
        <v>0</v>
      </c>
      <c r="AJ60" s="261">
        <v>0</v>
      </c>
      <c r="AK60" s="261">
        <v>0</v>
      </c>
      <c r="AL60" s="261">
        <v>0</v>
      </c>
      <c r="AM60" s="261">
        <v>0</v>
      </c>
      <c r="AN60" s="261">
        <v>0</v>
      </c>
      <c r="AO60" s="261">
        <v>0</v>
      </c>
      <c r="AP60" s="261">
        <v>0</v>
      </c>
      <c r="AQ60" s="261">
        <v>0</v>
      </c>
      <c r="AR60" s="261">
        <v>0</v>
      </c>
      <c r="AS60" s="261">
        <v>0</v>
      </c>
      <c r="AT60" s="261">
        <v>0</v>
      </c>
      <c r="AU60" s="261">
        <v>0</v>
      </c>
      <c r="AV60" s="261">
        <v>0</v>
      </c>
      <c r="AW60" s="261">
        <v>0</v>
      </c>
      <c r="AX60" s="261">
        <v>0</v>
      </c>
      <c r="AY60" s="261">
        <v>0</v>
      </c>
      <c r="AZ60" s="261">
        <v>0</v>
      </c>
      <c r="BA60" s="261">
        <v>0</v>
      </c>
      <c r="BB60" s="261">
        <v>0</v>
      </c>
      <c r="BC60" s="261">
        <v>0</v>
      </c>
      <c r="BD60" s="261">
        <v>0</v>
      </c>
      <c r="BE60" s="261">
        <v>0</v>
      </c>
      <c r="BF60" s="261">
        <v>0</v>
      </c>
      <c r="BG60" s="261">
        <v>0</v>
      </c>
      <c r="BH60" s="261">
        <v>0</v>
      </c>
      <c r="BI60" s="261">
        <v>0</v>
      </c>
      <c r="BJ60" s="261">
        <v>0</v>
      </c>
      <c r="BK60" s="261">
        <v>0</v>
      </c>
      <c r="BL60" s="261">
        <v>0</v>
      </c>
      <c r="BM60" s="261">
        <v>0</v>
      </c>
      <c r="BN60" s="261">
        <v>0</v>
      </c>
      <c r="BO60" s="261">
        <v>0</v>
      </c>
      <c r="BP60" s="261">
        <v>0</v>
      </c>
      <c r="BQ60" s="261">
        <v>0</v>
      </c>
      <c r="BR60" s="261">
        <v>0</v>
      </c>
      <c r="BS60" s="261">
        <v>0</v>
      </c>
      <c r="BT60" s="261">
        <v>0</v>
      </c>
      <c r="BU60" s="261">
        <v>0</v>
      </c>
      <c r="BV60" s="261">
        <v>0</v>
      </c>
      <c r="BW60" s="261">
        <v>0</v>
      </c>
      <c r="BX60" s="261">
        <v>0</v>
      </c>
      <c r="BY60" s="261">
        <v>0</v>
      </c>
      <c r="BZ60" s="261">
        <v>0</v>
      </c>
      <c r="CA60" s="261">
        <v>0</v>
      </c>
      <c r="CB60" s="261">
        <v>0</v>
      </c>
      <c r="CC60" s="261">
        <v>0</v>
      </c>
      <c r="CD60" s="261">
        <v>0</v>
      </c>
      <c r="CE60" s="261">
        <v>0</v>
      </c>
      <c r="CF60" s="261">
        <v>0</v>
      </c>
      <c r="CG60" s="261">
        <v>0</v>
      </c>
      <c r="CH60" s="261">
        <v>0</v>
      </c>
      <c r="CI60" s="261">
        <v>0</v>
      </c>
      <c r="CJ60" s="261">
        <v>0</v>
      </c>
      <c r="CK60" s="261">
        <v>0</v>
      </c>
      <c r="CL60" s="261">
        <v>0</v>
      </c>
      <c r="CM60" s="261">
        <v>0</v>
      </c>
      <c r="CN60" s="261">
        <v>0</v>
      </c>
      <c r="CO60" s="261">
        <v>0</v>
      </c>
      <c r="CP60" s="261">
        <v>0</v>
      </c>
      <c r="CQ60" s="261">
        <v>0</v>
      </c>
      <c r="CR60" s="261">
        <v>0</v>
      </c>
      <c r="CS60" s="261">
        <v>0</v>
      </c>
      <c r="CT60" s="261">
        <v>0</v>
      </c>
      <c r="CU60" s="261">
        <v>0</v>
      </c>
      <c r="CV60" s="261">
        <v>0</v>
      </c>
      <c r="CW60" s="261">
        <v>0</v>
      </c>
      <c r="CX60" s="261">
        <v>0</v>
      </c>
      <c r="CY60" s="261">
        <v>0</v>
      </c>
      <c r="CZ60" s="261">
        <v>0</v>
      </c>
      <c r="DA60" s="261">
        <v>0</v>
      </c>
      <c r="DB60" s="261">
        <v>0</v>
      </c>
      <c r="DC60" s="261">
        <v>0</v>
      </c>
      <c r="DD60" s="261">
        <v>0</v>
      </c>
      <c r="DE60" s="261">
        <v>0</v>
      </c>
      <c r="DF60" s="261">
        <v>0</v>
      </c>
      <c r="DG60" s="261">
        <v>0</v>
      </c>
      <c r="DH60" s="261">
        <v>0</v>
      </c>
      <c r="DI60" s="261">
        <v>0</v>
      </c>
      <c r="DJ60" s="261">
        <v>0</v>
      </c>
      <c r="DK60" s="261">
        <v>0</v>
      </c>
      <c r="DL60" s="261">
        <v>0</v>
      </c>
      <c r="DM60" s="261">
        <v>0</v>
      </c>
      <c r="DN60" s="261">
        <v>0</v>
      </c>
      <c r="DO60" s="261">
        <v>0</v>
      </c>
      <c r="DP60" s="261">
        <v>0</v>
      </c>
      <c r="DQ60" s="261">
        <v>0</v>
      </c>
      <c r="DR60" s="261">
        <v>0</v>
      </c>
      <c r="DS60" s="261">
        <v>0</v>
      </c>
      <c r="DT60" s="261">
        <v>0</v>
      </c>
      <c r="DU60" s="261">
        <v>0</v>
      </c>
      <c r="DV60" s="261">
        <v>0</v>
      </c>
      <c r="DW60" s="261">
        <v>0</v>
      </c>
      <c r="DX60" s="261">
        <v>0</v>
      </c>
      <c r="DY60" s="261">
        <v>0</v>
      </c>
      <c r="DZ60">
        <v>0</v>
      </c>
      <c r="EA60">
        <v>0</v>
      </c>
    </row>
    <row r="61" spans="10:131" x14ac:dyDescent="0.25">
      <c r="J61" t="str">
        <v>CNC Opening Value</v>
      </c>
      <c r="K61">
        <v>0</v>
      </c>
      <c r="L61" s="261">
        <v>50000</v>
      </c>
      <c r="M61" s="261">
        <v>48125</v>
      </c>
      <c r="N61" s="261">
        <v>44514.999999999978</v>
      </c>
      <c r="O61" s="261">
        <v>41174.999999999956</v>
      </c>
      <c r="P61" s="261">
        <v>38084.999999999956</v>
      </c>
      <c r="Q61" s="261">
        <v>35229.999999999978</v>
      </c>
      <c r="R61" s="261">
        <v>32584.999999999996</v>
      </c>
      <c r="S61" s="261">
        <v>30139.999999999996</v>
      </c>
      <c r="T61" s="261">
        <v>27879.999999999978</v>
      </c>
      <c r="U61" s="261">
        <v>25649.99999999996</v>
      </c>
      <c r="V61" s="261">
        <v>23419.999999999942</v>
      </c>
      <c r="W61" s="261">
        <v>21189.999999999924</v>
      </c>
      <c r="X61" s="261">
        <v>18959.999999999905</v>
      </c>
      <c r="Y61" s="261">
        <v>16729.999999999887</v>
      </c>
      <c r="Z61" s="261">
        <v>14499.999999999885</v>
      </c>
      <c r="AA61" s="261">
        <v>12269.999999999885</v>
      </c>
      <c r="AB61" s="261">
        <v>10039.999999999885</v>
      </c>
      <c r="AC61" s="261">
        <v>7809.9999999998854</v>
      </c>
      <c r="AD61" s="261">
        <v>6694.9999999998845</v>
      </c>
      <c r="AE61" s="261">
        <v>6694.9999999998845</v>
      </c>
      <c r="AF61" s="261">
        <v>6694.9999999998845</v>
      </c>
      <c r="AG61" s="261">
        <v>6694.9999999998845</v>
      </c>
      <c r="AH61" s="261">
        <v>0</v>
      </c>
      <c r="AI61" s="261">
        <v>0</v>
      </c>
      <c r="AJ61" s="261">
        <v>0</v>
      </c>
      <c r="AK61" s="261">
        <v>0</v>
      </c>
      <c r="AL61" s="261">
        <v>0</v>
      </c>
      <c r="AM61" s="261">
        <v>0</v>
      </c>
      <c r="AN61" s="261">
        <v>0</v>
      </c>
      <c r="AO61" s="261">
        <v>0</v>
      </c>
      <c r="AP61" s="261">
        <v>0</v>
      </c>
      <c r="AQ61" s="261">
        <v>0</v>
      </c>
      <c r="AR61" s="261">
        <v>0</v>
      </c>
      <c r="AS61" s="261">
        <v>0</v>
      </c>
      <c r="AT61" s="261">
        <v>0</v>
      </c>
      <c r="AU61" s="261">
        <v>0</v>
      </c>
      <c r="AV61" s="261">
        <v>0</v>
      </c>
      <c r="AW61" s="261">
        <v>0</v>
      </c>
      <c r="AX61" s="261">
        <v>0</v>
      </c>
      <c r="AY61" s="261">
        <v>0</v>
      </c>
      <c r="AZ61" s="261">
        <v>0</v>
      </c>
      <c r="BA61" s="261">
        <v>0</v>
      </c>
      <c r="BB61" s="261">
        <v>0</v>
      </c>
      <c r="BC61" s="261">
        <v>0</v>
      </c>
      <c r="BD61" s="261">
        <v>0</v>
      </c>
      <c r="BE61" s="261">
        <v>0</v>
      </c>
      <c r="BF61" s="261">
        <v>0</v>
      </c>
      <c r="BG61" s="261">
        <v>0</v>
      </c>
      <c r="BH61" s="261">
        <v>0</v>
      </c>
      <c r="BI61" s="261">
        <v>0</v>
      </c>
      <c r="BJ61" s="261">
        <v>0</v>
      </c>
      <c r="BK61" s="261">
        <v>0</v>
      </c>
      <c r="BL61" s="261">
        <v>0</v>
      </c>
      <c r="BM61" s="261">
        <v>0</v>
      </c>
      <c r="BN61" s="261">
        <v>0</v>
      </c>
      <c r="BO61" s="261">
        <v>0</v>
      </c>
      <c r="BP61" s="261">
        <v>0</v>
      </c>
      <c r="BQ61" s="261">
        <v>0</v>
      </c>
      <c r="BR61" s="261">
        <v>0</v>
      </c>
      <c r="BS61" s="261">
        <v>0</v>
      </c>
      <c r="BT61" s="261">
        <v>0</v>
      </c>
      <c r="BU61" s="261">
        <v>0</v>
      </c>
      <c r="BV61" s="261">
        <v>0</v>
      </c>
      <c r="BW61" s="261">
        <v>0</v>
      </c>
      <c r="BX61" s="261">
        <v>0</v>
      </c>
      <c r="BY61" s="261">
        <v>0</v>
      </c>
      <c r="BZ61" s="261">
        <v>0</v>
      </c>
      <c r="CA61" s="261">
        <v>0</v>
      </c>
      <c r="CB61" s="261">
        <v>0</v>
      </c>
      <c r="CC61" s="261">
        <v>0</v>
      </c>
      <c r="CD61" s="261">
        <v>0</v>
      </c>
      <c r="CE61" s="261">
        <v>0</v>
      </c>
      <c r="CF61" s="261">
        <v>0</v>
      </c>
      <c r="CG61" s="261">
        <v>0</v>
      </c>
      <c r="CH61" s="261">
        <v>0</v>
      </c>
      <c r="CI61" s="261">
        <v>0</v>
      </c>
      <c r="CJ61" s="261">
        <v>0</v>
      </c>
      <c r="CK61" s="261">
        <v>0</v>
      </c>
      <c r="CL61" s="261">
        <v>0</v>
      </c>
      <c r="CM61" s="261">
        <v>0</v>
      </c>
      <c r="CN61" s="261">
        <v>0</v>
      </c>
      <c r="CO61" s="261">
        <v>0</v>
      </c>
      <c r="CP61" s="261">
        <v>0</v>
      </c>
      <c r="CQ61" s="261">
        <v>0</v>
      </c>
      <c r="CR61" s="261">
        <v>0</v>
      </c>
      <c r="CS61" s="261">
        <v>0</v>
      </c>
      <c r="CT61" s="261">
        <v>0</v>
      </c>
      <c r="CU61" s="261">
        <v>0</v>
      </c>
      <c r="CV61" s="261">
        <v>0</v>
      </c>
      <c r="CW61" s="261">
        <v>0</v>
      </c>
      <c r="CX61" s="261">
        <v>0</v>
      </c>
      <c r="CY61" s="261">
        <v>0</v>
      </c>
      <c r="CZ61" s="261">
        <v>0</v>
      </c>
      <c r="DA61" s="261">
        <v>0</v>
      </c>
      <c r="DB61" s="261">
        <v>0</v>
      </c>
      <c r="DC61" s="261">
        <v>0</v>
      </c>
      <c r="DD61" s="261">
        <v>0</v>
      </c>
      <c r="DE61" s="261">
        <v>0</v>
      </c>
      <c r="DF61" s="261">
        <v>0</v>
      </c>
      <c r="DG61" s="261">
        <v>0</v>
      </c>
      <c r="DH61" s="261">
        <v>0</v>
      </c>
      <c r="DI61" s="261">
        <v>0</v>
      </c>
      <c r="DJ61" s="261">
        <v>0</v>
      </c>
      <c r="DK61" s="261">
        <v>0</v>
      </c>
      <c r="DL61" s="261">
        <v>0</v>
      </c>
      <c r="DM61" s="261">
        <v>0</v>
      </c>
      <c r="DN61" s="261">
        <v>0</v>
      </c>
      <c r="DO61" s="261">
        <v>0</v>
      </c>
      <c r="DP61" s="261">
        <v>0</v>
      </c>
      <c r="DQ61" s="261">
        <v>0</v>
      </c>
      <c r="DR61" s="261">
        <v>0</v>
      </c>
      <c r="DS61" s="261">
        <v>0</v>
      </c>
      <c r="DT61" s="261">
        <v>0</v>
      </c>
      <c r="DU61" s="261">
        <v>0</v>
      </c>
      <c r="DV61" s="261">
        <v>0</v>
      </c>
      <c r="DW61" s="261">
        <v>0</v>
      </c>
      <c r="DX61" s="261">
        <v>0</v>
      </c>
      <c r="DY61" s="261">
        <v>0</v>
      </c>
      <c r="DZ61">
        <v>0</v>
      </c>
      <c r="EA61">
        <v>0</v>
      </c>
    </row>
    <row r="62" spans="10:131" x14ac:dyDescent="0.25">
      <c r="J62" t="str">
        <v>CNC Depreciation</v>
      </c>
      <c r="K62">
        <v>43305</v>
      </c>
      <c r="L62" s="261">
        <v>1875</v>
      </c>
      <c r="M62" s="261">
        <v>3610</v>
      </c>
      <c r="N62" s="261">
        <v>3340</v>
      </c>
      <c r="O62" s="261">
        <v>3089.9999999999995</v>
      </c>
      <c r="P62" s="261">
        <v>2855</v>
      </c>
      <c r="Q62" s="261">
        <v>2645</v>
      </c>
      <c r="R62" s="261">
        <v>2445</v>
      </c>
      <c r="S62" s="261">
        <v>2260</v>
      </c>
      <c r="T62" s="261">
        <v>2230</v>
      </c>
      <c r="U62" s="261">
        <v>2230</v>
      </c>
      <c r="V62" s="261">
        <v>2230</v>
      </c>
      <c r="W62" s="261">
        <v>2230</v>
      </c>
      <c r="X62" s="261">
        <v>2230</v>
      </c>
      <c r="Y62" s="261">
        <v>2230</v>
      </c>
      <c r="Z62" s="261">
        <v>2230</v>
      </c>
      <c r="AA62" s="261">
        <v>2230</v>
      </c>
      <c r="AB62" s="261">
        <v>2230</v>
      </c>
      <c r="AC62" s="261">
        <v>1115</v>
      </c>
      <c r="AD62" s="261">
        <v>0</v>
      </c>
      <c r="AE62" s="261">
        <v>0</v>
      </c>
      <c r="AF62" s="261">
        <v>0</v>
      </c>
      <c r="AG62" s="261">
        <v>0</v>
      </c>
      <c r="AH62" s="261">
        <v>0</v>
      </c>
      <c r="AI62" s="261">
        <v>0</v>
      </c>
      <c r="AJ62" s="261">
        <v>0</v>
      </c>
      <c r="AK62" s="261">
        <v>0</v>
      </c>
      <c r="AL62" s="261">
        <v>0</v>
      </c>
      <c r="AM62" s="261">
        <v>0</v>
      </c>
      <c r="AN62" s="261">
        <v>0</v>
      </c>
      <c r="AO62" s="261">
        <v>0</v>
      </c>
      <c r="AP62" s="261">
        <v>0</v>
      </c>
      <c r="AQ62" s="261">
        <v>0</v>
      </c>
      <c r="AR62" s="261">
        <v>0</v>
      </c>
      <c r="AS62" s="261">
        <v>0</v>
      </c>
      <c r="AT62" s="261">
        <v>0</v>
      </c>
      <c r="AU62" s="261">
        <v>0</v>
      </c>
      <c r="AV62" s="261">
        <v>0</v>
      </c>
      <c r="AW62" s="261">
        <v>0</v>
      </c>
      <c r="AX62" s="261">
        <v>0</v>
      </c>
      <c r="AY62" s="261">
        <v>0</v>
      </c>
      <c r="AZ62" s="261">
        <v>0</v>
      </c>
      <c r="BA62" s="261">
        <v>0</v>
      </c>
      <c r="BB62" s="261">
        <v>0</v>
      </c>
      <c r="BC62" s="261">
        <v>0</v>
      </c>
      <c r="BD62" s="261">
        <v>0</v>
      </c>
      <c r="BE62" s="261">
        <v>0</v>
      </c>
      <c r="BF62" s="261">
        <v>0</v>
      </c>
      <c r="BG62" s="261">
        <v>0</v>
      </c>
      <c r="BH62" s="261">
        <v>0</v>
      </c>
      <c r="BI62" s="261">
        <v>0</v>
      </c>
      <c r="BJ62" s="261">
        <v>0</v>
      </c>
      <c r="BK62" s="261">
        <v>0</v>
      </c>
      <c r="BL62" s="261">
        <v>0</v>
      </c>
      <c r="BM62" s="261">
        <v>0</v>
      </c>
      <c r="BN62" s="261">
        <v>0</v>
      </c>
      <c r="BO62" s="261">
        <v>0</v>
      </c>
      <c r="BP62" s="261">
        <v>0</v>
      </c>
      <c r="BQ62" s="261">
        <v>0</v>
      </c>
      <c r="BR62" s="261">
        <v>0</v>
      </c>
      <c r="BS62" s="261">
        <v>0</v>
      </c>
      <c r="BT62" s="261">
        <v>0</v>
      </c>
      <c r="BU62" s="261">
        <v>0</v>
      </c>
      <c r="BV62" s="261">
        <v>0</v>
      </c>
      <c r="BW62" s="261">
        <v>0</v>
      </c>
      <c r="BX62" s="261">
        <v>0</v>
      </c>
      <c r="BY62" s="261">
        <v>0</v>
      </c>
      <c r="BZ62" s="261">
        <v>0</v>
      </c>
      <c r="CA62" s="261">
        <v>0</v>
      </c>
      <c r="CB62" s="261">
        <v>0</v>
      </c>
      <c r="CC62" s="261">
        <v>0</v>
      </c>
      <c r="CD62" s="261">
        <v>0</v>
      </c>
      <c r="CE62" s="261">
        <v>0</v>
      </c>
      <c r="CF62" s="261">
        <v>0</v>
      </c>
      <c r="CG62" s="261">
        <v>0</v>
      </c>
      <c r="CH62" s="261">
        <v>0</v>
      </c>
      <c r="CI62" s="261">
        <v>0</v>
      </c>
      <c r="CJ62" s="261">
        <v>0</v>
      </c>
      <c r="CK62" s="261">
        <v>0</v>
      </c>
      <c r="CL62" s="261">
        <v>0</v>
      </c>
      <c r="CM62" s="261">
        <v>0</v>
      </c>
      <c r="CN62" s="261">
        <v>0</v>
      </c>
      <c r="CO62" s="261">
        <v>0</v>
      </c>
      <c r="CP62" s="261">
        <v>0</v>
      </c>
      <c r="CQ62" s="261">
        <v>0</v>
      </c>
      <c r="CR62" s="261">
        <v>0</v>
      </c>
      <c r="CS62" s="261">
        <v>0</v>
      </c>
      <c r="CT62" s="261">
        <v>0</v>
      </c>
      <c r="CU62" s="261">
        <v>0</v>
      </c>
      <c r="CV62" s="261">
        <v>0</v>
      </c>
      <c r="CW62" s="261">
        <v>0</v>
      </c>
      <c r="CX62" s="261">
        <v>0</v>
      </c>
      <c r="CY62" s="261">
        <v>0</v>
      </c>
      <c r="CZ62" s="261">
        <v>0</v>
      </c>
      <c r="DA62" s="261">
        <v>0</v>
      </c>
      <c r="DB62" s="261">
        <v>0</v>
      </c>
      <c r="DC62" s="261">
        <v>0</v>
      </c>
      <c r="DD62" s="261">
        <v>0</v>
      </c>
      <c r="DE62" s="261">
        <v>0</v>
      </c>
      <c r="DF62" s="261">
        <v>0</v>
      </c>
      <c r="DG62" s="261">
        <v>0</v>
      </c>
      <c r="DH62" s="261">
        <v>0</v>
      </c>
      <c r="DI62" s="261">
        <v>0</v>
      </c>
      <c r="DJ62" s="261">
        <v>0</v>
      </c>
      <c r="DK62" s="261">
        <v>0</v>
      </c>
      <c r="DL62" s="261">
        <v>0</v>
      </c>
      <c r="DM62" s="261">
        <v>0</v>
      </c>
      <c r="DN62" s="261">
        <v>0</v>
      </c>
      <c r="DO62" s="261">
        <v>0</v>
      </c>
      <c r="DP62" s="261">
        <v>0</v>
      </c>
      <c r="DQ62" s="261">
        <v>0</v>
      </c>
      <c r="DR62" s="261">
        <v>0</v>
      </c>
      <c r="DS62" s="261">
        <v>0</v>
      </c>
      <c r="DT62" s="261">
        <v>0</v>
      </c>
      <c r="DU62" s="261">
        <v>0</v>
      </c>
      <c r="DV62" s="261">
        <v>0</v>
      </c>
      <c r="DW62" s="261">
        <v>0</v>
      </c>
      <c r="DX62" s="261">
        <v>0</v>
      </c>
      <c r="DY62" s="261">
        <v>0</v>
      </c>
      <c r="DZ62">
        <v>0</v>
      </c>
      <c r="EA62">
        <v>0</v>
      </c>
    </row>
    <row r="63" spans="10:131" x14ac:dyDescent="0.25">
      <c r="J63" t="str">
        <v>CNC Book Value</v>
      </c>
      <c r="K63">
        <v>0</v>
      </c>
      <c r="L63" s="261">
        <v>48125</v>
      </c>
      <c r="M63" s="261">
        <v>44515</v>
      </c>
      <c r="N63" s="261">
        <v>41174.999999999978</v>
      </c>
      <c r="O63" s="261">
        <v>38084.999999999956</v>
      </c>
      <c r="P63" s="261">
        <v>35229.999999999956</v>
      </c>
      <c r="Q63" s="261">
        <v>32584.999999999978</v>
      </c>
      <c r="R63" s="261">
        <v>30139.999999999996</v>
      </c>
      <c r="S63" s="261">
        <v>27879.999999999996</v>
      </c>
      <c r="T63" s="261">
        <v>25649.999999999978</v>
      </c>
      <c r="U63" s="261">
        <v>23419.99999999996</v>
      </c>
      <c r="V63" s="261">
        <v>21189.999999999942</v>
      </c>
      <c r="W63" s="261">
        <v>18959.999999999924</v>
      </c>
      <c r="X63" s="261">
        <v>16729.999999999905</v>
      </c>
      <c r="Y63" s="261">
        <v>14499.999999999887</v>
      </c>
      <c r="Z63" s="261">
        <v>12269.999999999885</v>
      </c>
      <c r="AA63" s="261">
        <v>10039.999999999885</v>
      </c>
      <c r="AB63" s="261">
        <v>7809.9999999998854</v>
      </c>
      <c r="AC63" s="261">
        <v>6694.9999999998854</v>
      </c>
      <c r="AD63" s="261">
        <v>6694.9999999998845</v>
      </c>
      <c r="AE63" s="261">
        <v>6694.9999999998845</v>
      </c>
      <c r="AF63" s="261">
        <v>6694.9999999998845</v>
      </c>
      <c r="AG63" s="261">
        <v>6694.9999999998845</v>
      </c>
      <c r="AH63" s="261">
        <v>0</v>
      </c>
      <c r="AI63" s="261">
        <v>0</v>
      </c>
      <c r="AJ63" s="261">
        <v>0</v>
      </c>
      <c r="AK63" s="261">
        <v>0</v>
      </c>
      <c r="AL63" s="261">
        <v>0</v>
      </c>
      <c r="AM63" s="261">
        <v>0</v>
      </c>
      <c r="AN63" s="261">
        <v>0</v>
      </c>
      <c r="AO63" s="261">
        <v>0</v>
      </c>
      <c r="AP63" s="261">
        <v>0</v>
      </c>
      <c r="AQ63" s="261">
        <v>0</v>
      </c>
      <c r="AR63" s="261">
        <v>0</v>
      </c>
      <c r="AS63" s="261">
        <v>0</v>
      </c>
      <c r="AT63" s="261">
        <v>0</v>
      </c>
      <c r="AU63" s="261">
        <v>0</v>
      </c>
      <c r="AV63" s="261">
        <v>0</v>
      </c>
      <c r="AW63" s="261">
        <v>0</v>
      </c>
      <c r="AX63" s="261">
        <v>0</v>
      </c>
      <c r="AY63" s="261">
        <v>0</v>
      </c>
      <c r="AZ63" s="261">
        <v>0</v>
      </c>
      <c r="BA63" s="261">
        <v>0</v>
      </c>
      <c r="BB63" s="261">
        <v>0</v>
      </c>
      <c r="BC63" s="261">
        <v>0</v>
      </c>
      <c r="BD63" s="261">
        <v>0</v>
      </c>
      <c r="BE63" s="261">
        <v>0</v>
      </c>
      <c r="BF63" s="261">
        <v>0</v>
      </c>
      <c r="BG63" s="261">
        <v>0</v>
      </c>
      <c r="BH63" s="261">
        <v>0</v>
      </c>
      <c r="BI63" s="261">
        <v>0</v>
      </c>
      <c r="BJ63" s="261">
        <v>0</v>
      </c>
      <c r="BK63" s="261">
        <v>0</v>
      </c>
      <c r="BL63" s="261">
        <v>0</v>
      </c>
      <c r="BM63" s="261">
        <v>0</v>
      </c>
      <c r="BN63" s="261">
        <v>0</v>
      </c>
      <c r="BO63" s="261">
        <v>0</v>
      </c>
      <c r="BP63" s="261">
        <v>0</v>
      </c>
      <c r="BQ63" s="261">
        <v>0</v>
      </c>
      <c r="BR63" s="261">
        <v>0</v>
      </c>
      <c r="BS63" s="261">
        <v>0</v>
      </c>
      <c r="BT63" s="261">
        <v>0</v>
      </c>
      <c r="BU63" s="261">
        <v>0</v>
      </c>
      <c r="BV63" s="261">
        <v>0</v>
      </c>
      <c r="BW63" s="261">
        <v>0</v>
      </c>
      <c r="BX63" s="261">
        <v>0</v>
      </c>
      <c r="BY63" s="261">
        <v>0</v>
      </c>
      <c r="BZ63" s="261">
        <v>0</v>
      </c>
      <c r="CA63" s="261">
        <v>0</v>
      </c>
      <c r="CB63" s="261">
        <v>0</v>
      </c>
      <c r="CC63" s="261">
        <v>0</v>
      </c>
      <c r="CD63" s="261">
        <v>0</v>
      </c>
      <c r="CE63" s="261">
        <v>0</v>
      </c>
      <c r="CF63" s="261">
        <v>0</v>
      </c>
      <c r="CG63" s="261">
        <v>0</v>
      </c>
      <c r="CH63" s="261">
        <v>0</v>
      </c>
      <c r="CI63" s="261">
        <v>0</v>
      </c>
      <c r="CJ63" s="261">
        <v>0</v>
      </c>
      <c r="CK63" s="261">
        <v>0</v>
      </c>
      <c r="CL63" s="261">
        <v>0</v>
      </c>
      <c r="CM63" s="261">
        <v>0</v>
      </c>
      <c r="CN63" s="261">
        <v>0</v>
      </c>
      <c r="CO63" s="261">
        <v>0</v>
      </c>
      <c r="CP63" s="261">
        <v>0</v>
      </c>
      <c r="CQ63" s="261">
        <v>0</v>
      </c>
      <c r="CR63" s="261">
        <v>0</v>
      </c>
      <c r="CS63" s="261">
        <v>0</v>
      </c>
      <c r="CT63" s="261">
        <v>0</v>
      </c>
      <c r="CU63" s="261">
        <v>0</v>
      </c>
      <c r="CV63" s="261">
        <v>0</v>
      </c>
      <c r="CW63" s="261">
        <v>0</v>
      </c>
      <c r="CX63" s="261">
        <v>0</v>
      </c>
      <c r="CY63" s="261">
        <v>0</v>
      </c>
      <c r="CZ63" s="261">
        <v>0</v>
      </c>
      <c r="DA63" s="261">
        <v>0</v>
      </c>
      <c r="DB63" s="261">
        <v>0</v>
      </c>
      <c r="DC63" s="261">
        <v>0</v>
      </c>
      <c r="DD63" s="261">
        <v>0</v>
      </c>
      <c r="DE63" s="261">
        <v>0</v>
      </c>
      <c r="DF63" s="261">
        <v>0</v>
      </c>
      <c r="DG63" s="261">
        <v>0</v>
      </c>
      <c r="DH63" s="261">
        <v>0</v>
      </c>
      <c r="DI63" s="261">
        <v>0</v>
      </c>
      <c r="DJ63" s="261">
        <v>0</v>
      </c>
      <c r="DK63" s="261">
        <v>0</v>
      </c>
      <c r="DL63" s="261">
        <v>0</v>
      </c>
      <c r="DM63" s="261">
        <v>0</v>
      </c>
      <c r="DN63" s="261">
        <v>0</v>
      </c>
      <c r="DO63" s="261">
        <v>0</v>
      </c>
      <c r="DP63" s="261">
        <v>0</v>
      </c>
      <c r="DQ63" s="261">
        <v>0</v>
      </c>
      <c r="DR63" s="261">
        <v>0</v>
      </c>
      <c r="DS63" s="261">
        <v>0</v>
      </c>
      <c r="DT63" s="261">
        <v>0</v>
      </c>
      <c r="DU63" s="261">
        <v>0</v>
      </c>
      <c r="DV63" s="261">
        <v>0</v>
      </c>
      <c r="DW63" s="261">
        <v>0</v>
      </c>
      <c r="DX63" s="261">
        <v>0</v>
      </c>
      <c r="DY63" s="261">
        <v>0</v>
      </c>
      <c r="DZ63">
        <v>0</v>
      </c>
      <c r="EA63">
        <v>0</v>
      </c>
    </row>
    <row r="64" spans="10:131" x14ac:dyDescent="0.25">
      <c r="J64" t="str">
        <v>CNC Revenue from Sale</v>
      </c>
      <c r="K64">
        <v>0</v>
      </c>
      <c r="L64" s="261">
        <v>0</v>
      </c>
      <c r="M64" s="261">
        <v>0</v>
      </c>
      <c r="N64" s="261">
        <v>0</v>
      </c>
      <c r="O64" s="261">
        <v>0</v>
      </c>
      <c r="P64" s="261">
        <v>0</v>
      </c>
      <c r="Q64" s="261">
        <v>0</v>
      </c>
      <c r="R64" s="261">
        <v>0</v>
      </c>
      <c r="S64" s="261">
        <v>0</v>
      </c>
      <c r="T64" s="261">
        <v>0</v>
      </c>
      <c r="U64" s="261">
        <v>0</v>
      </c>
      <c r="V64" s="261">
        <v>0</v>
      </c>
      <c r="W64" s="261">
        <v>0</v>
      </c>
      <c r="X64" s="261">
        <v>0</v>
      </c>
      <c r="Y64" s="261">
        <v>0</v>
      </c>
      <c r="Z64" s="261">
        <v>0</v>
      </c>
      <c r="AA64" s="261">
        <v>0</v>
      </c>
      <c r="AB64" s="261">
        <v>0</v>
      </c>
      <c r="AC64" s="261">
        <v>0</v>
      </c>
      <c r="AD64" s="261">
        <v>0</v>
      </c>
      <c r="AE64" s="261">
        <v>0</v>
      </c>
      <c r="AF64" s="261">
        <v>0</v>
      </c>
      <c r="AG64" s="261">
        <v>0</v>
      </c>
      <c r="AH64" s="261">
        <v>0</v>
      </c>
      <c r="AI64" s="261">
        <v>0</v>
      </c>
      <c r="AJ64" s="261">
        <v>0</v>
      </c>
      <c r="AK64" s="261">
        <v>0</v>
      </c>
      <c r="AL64" s="261">
        <v>0</v>
      </c>
      <c r="AM64" s="261">
        <v>0</v>
      </c>
      <c r="AN64" s="261">
        <v>0</v>
      </c>
      <c r="AO64" s="261">
        <v>0</v>
      </c>
      <c r="AP64" s="261">
        <v>0</v>
      </c>
      <c r="AQ64" s="261">
        <v>0</v>
      </c>
      <c r="AR64" s="261">
        <v>0</v>
      </c>
      <c r="AS64" s="261">
        <v>0</v>
      </c>
      <c r="AT64" s="261">
        <v>0</v>
      </c>
      <c r="AU64" s="261">
        <v>0</v>
      </c>
      <c r="AV64" s="261">
        <v>0</v>
      </c>
      <c r="AW64" s="261">
        <v>0</v>
      </c>
      <c r="AX64" s="261">
        <v>0</v>
      </c>
      <c r="AY64" s="261">
        <v>0</v>
      </c>
      <c r="AZ64" s="261">
        <v>0</v>
      </c>
      <c r="BA64" s="261">
        <v>0</v>
      </c>
      <c r="BB64" s="261">
        <v>0</v>
      </c>
      <c r="BC64" s="261">
        <v>0</v>
      </c>
      <c r="BD64" s="261">
        <v>0</v>
      </c>
      <c r="BE64" s="261">
        <v>0</v>
      </c>
      <c r="BF64" s="261">
        <v>0</v>
      </c>
      <c r="BG64" s="261">
        <v>0</v>
      </c>
      <c r="BH64" s="261">
        <v>0</v>
      </c>
      <c r="BI64" s="261">
        <v>0</v>
      </c>
      <c r="BJ64" s="261">
        <v>0</v>
      </c>
      <c r="BK64" s="261">
        <v>0</v>
      </c>
      <c r="BL64" s="261">
        <v>0</v>
      </c>
      <c r="BM64" s="261">
        <v>0</v>
      </c>
      <c r="BN64" s="261">
        <v>0</v>
      </c>
      <c r="BO64" s="261">
        <v>0</v>
      </c>
      <c r="BP64" s="261">
        <v>0</v>
      </c>
      <c r="BQ64" s="261">
        <v>0</v>
      </c>
      <c r="BR64" s="261">
        <v>0</v>
      </c>
      <c r="BS64" s="261">
        <v>0</v>
      </c>
      <c r="BT64" s="261">
        <v>0</v>
      </c>
      <c r="BU64" s="261">
        <v>0</v>
      </c>
      <c r="BV64" s="261">
        <v>0</v>
      </c>
      <c r="BW64" s="261">
        <v>0</v>
      </c>
      <c r="BX64" s="261">
        <v>0</v>
      </c>
      <c r="BY64" s="261">
        <v>0</v>
      </c>
      <c r="BZ64" s="261">
        <v>0</v>
      </c>
      <c r="CA64" s="261">
        <v>0</v>
      </c>
      <c r="CB64" s="261">
        <v>0</v>
      </c>
      <c r="CC64" s="261">
        <v>0</v>
      </c>
      <c r="CD64" s="261">
        <v>0</v>
      </c>
      <c r="CE64" s="261">
        <v>0</v>
      </c>
      <c r="CF64" s="261">
        <v>0</v>
      </c>
      <c r="CG64" s="261">
        <v>0</v>
      </c>
      <c r="CH64" s="261">
        <v>0</v>
      </c>
      <c r="CI64" s="261">
        <v>0</v>
      </c>
      <c r="CJ64" s="261">
        <v>0</v>
      </c>
      <c r="CK64" s="261">
        <v>0</v>
      </c>
      <c r="CL64" s="261">
        <v>0</v>
      </c>
      <c r="CM64" s="261">
        <v>0</v>
      </c>
      <c r="CN64" s="261">
        <v>0</v>
      </c>
      <c r="CO64" s="261">
        <v>0</v>
      </c>
      <c r="CP64" s="261">
        <v>0</v>
      </c>
      <c r="CQ64" s="261">
        <v>0</v>
      </c>
      <c r="CR64" s="261">
        <v>0</v>
      </c>
      <c r="CS64" s="261">
        <v>0</v>
      </c>
      <c r="CT64" s="261">
        <v>0</v>
      </c>
      <c r="CU64" s="261">
        <v>0</v>
      </c>
      <c r="CV64" s="261">
        <v>0</v>
      </c>
      <c r="CW64" s="261">
        <v>0</v>
      </c>
      <c r="CX64" s="261">
        <v>0</v>
      </c>
      <c r="CY64" s="261">
        <v>0</v>
      </c>
      <c r="CZ64" s="261">
        <v>0</v>
      </c>
      <c r="DA64" s="261">
        <v>0</v>
      </c>
      <c r="DB64" s="261">
        <v>0</v>
      </c>
      <c r="DC64" s="261">
        <v>0</v>
      </c>
      <c r="DD64" s="261">
        <v>0</v>
      </c>
      <c r="DE64" s="261">
        <v>0</v>
      </c>
      <c r="DF64" s="261">
        <v>0</v>
      </c>
      <c r="DG64" s="261">
        <v>0</v>
      </c>
      <c r="DH64" s="261">
        <v>0</v>
      </c>
      <c r="DI64" s="261">
        <v>0</v>
      </c>
      <c r="DJ64" s="261">
        <v>0</v>
      </c>
      <c r="DK64" s="261">
        <v>0</v>
      </c>
      <c r="DL64" s="261">
        <v>0</v>
      </c>
      <c r="DM64" s="261">
        <v>0</v>
      </c>
      <c r="DN64" s="261">
        <v>0</v>
      </c>
      <c r="DO64" s="261">
        <v>0</v>
      </c>
      <c r="DP64" s="261">
        <v>0</v>
      </c>
      <c r="DQ64" s="261">
        <v>0</v>
      </c>
      <c r="DR64" s="261">
        <v>0</v>
      </c>
      <c r="DS64" s="261">
        <v>0</v>
      </c>
      <c r="DT64" s="261">
        <v>0</v>
      </c>
      <c r="DU64" s="261">
        <v>0</v>
      </c>
      <c r="DV64" s="261">
        <v>0</v>
      </c>
      <c r="DW64" s="261">
        <v>0</v>
      </c>
      <c r="DX64" s="261">
        <v>0</v>
      </c>
      <c r="DY64" s="261">
        <v>0</v>
      </c>
      <c r="DZ64">
        <v>0</v>
      </c>
      <c r="EA64">
        <v>0</v>
      </c>
    </row>
    <row r="65" spans="10:131" x14ac:dyDescent="0.25">
      <c r="J65" t="str">
        <v>CNC Disposal Costs</v>
      </c>
      <c r="K65">
        <v>250</v>
      </c>
      <c r="L65" s="261">
        <v>0</v>
      </c>
      <c r="M65" s="261">
        <v>0</v>
      </c>
      <c r="N65" s="261">
        <v>0</v>
      </c>
      <c r="O65" s="261">
        <v>0</v>
      </c>
      <c r="P65" s="261">
        <v>0</v>
      </c>
      <c r="Q65" s="261">
        <v>0</v>
      </c>
      <c r="R65" s="261">
        <v>0</v>
      </c>
      <c r="S65" s="261">
        <v>0</v>
      </c>
      <c r="T65" s="261">
        <v>0</v>
      </c>
      <c r="U65" s="261">
        <v>0</v>
      </c>
      <c r="V65" s="261">
        <v>0</v>
      </c>
      <c r="W65" s="261">
        <v>0</v>
      </c>
      <c r="X65" s="261">
        <v>0</v>
      </c>
      <c r="Y65" s="261">
        <v>0</v>
      </c>
      <c r="Z65" s="261">
        <v>0</v>
      </c>
      <c r="AA65" s="261">
        <v>0</v>
      </c>
      <c r="AB65" s="261">
        <v>0</v>
      </c>
      <c r="AC65" s="261">
        <v>0</v>
      </c>
      <c r="AD65" s="261">
        <v>0</v>
      </c>
      <c r="AE65" s="261">
        <v>0</v>
      </c>
      <c r="AF65" s="261">
        <v>0</v>
      </c>
      <c r="AG65" s="261">
        <v>250</v>
      </c>
      <c r="AH65" s="261">
        <v>0</v>
      </c>
      <c r="AI65" s="261">
        <v>0</v>
      </c>
      <c r="AJ65" s="261">
        <v>0</v>
      </c>
      <c r="AK65" s="261">
        <v>0</v>
      </c>
      <c r="AL65" s="261">
        <v>0</v>
      </c>
      <c r="AM65" s="261">
        <v>0</v>
      </c>
      <c r="AN65" s="261">
        <v>0</v>
      </c>
      <c r="AO65" s="261">
        <v>0</v>
      </c>
      <c r="AP65" s="261">
        <v>0</v>
      </c>
      <c r="AQ65" s="261">
        <v>0</v>
      </c>
      <c r="AR65" s="261">
        <v>0</v>
      </c>
      <c r="AS65" s="261">
        <v>0</v>
      </c>
      <c r="AT65" s="261">
        <v>0</v>
      </c>
      <c r="AU65" s="261">
        <v>0</v>
      </c>
      <c r="AV65" s="261">
        <v>0</v>
      </c>
      <c r="AW65" s="261">
        <v>0</v>
      </c>
      <c r="AX65" s="261">
        <v>0</v>
      </c>
      <c r="AY65" s="261">
        <v>0</v>
      </c>
      <c r="AZ65" s="261">
        <v>0</v>
      </c>
      <c r="BA65" s="261">
        <v>0</v>
      </c>
      <c r="BB65" s="261">
        <v>0</v>
      </c>
      <c r="BC65" s="261">
        <v>0</v>
      </c>
      <c r="BD65" s="261">
        <v>0</v>
      </c>
      <c r="BE65" s="261">
        <v>0</v>
      </c>
      <c r="BF65" s="261">
        <v>0</v>
      </c>
      <c r="BG65" s="261">
        <v>0</v>
      </c>
      <c r="BH65" s="261">
        <v>0</v>
      </c>
      <c r="BI65" s="261">
        <v>0</v>
      </c>
      <c r="BJ65" s="261">
        <v>0</v>
      </c>
      <c r="BK65" s="261">
        <v>0</v>
      </c>
      <c r="BL65" s="261">
        <v>0</v>
      </c>
      <c r="BM65" s="261">
        <v>0</v>
      </c>
      <c r="BN65" s="261">
        <v>0</v>
      </c>
      <c r="BO65" s="261">
        <v>0</v>
      </c>
      <c r="BP65" s="261">
        <v>0</v>
      </c>
      <c r="BQ65" s="261">
        <v>0</v>
      </c>
      <c r="BR65" s="261">
        <v>0</v>
      </c>
      <c r="BS65" s="261">
        <v>0</v>
      </c>
      <c r="BT65" s="261">
        <v>0</v>
      </c>
      <c r="BU65" s="261">
        <v>0</v>
      </c>
      <c r="BV65" s="261">
        <v>0</v>
      </c>
      <c r="BW65" s="261">
        <v>0</v>
      </c>
      <c r="BX65" s="261">
        <v>0</v>
      </c>
      <c r="BY65" s="261">
        <v>0</v>
      </c>
      <c r="BZ65" s="261">
        <v>0</v>
      </c>
      <c r="CA65" s="261">
        <v>0</v>
      </c>
      <c r="CB65" s="261">
        <v>0</v>
      </c>
      <c r="CC65" s="261">
        <v>0</v>
      </c>
      <c r="CD65" s="261">
        <v>0</v>
      </c>
      <c r="CE65" s="261">
        <v>0</v>
      </c>
      <c r="CF65" s="261">
        <v>0</v>
      </c>
      <c r="CG65" s="261">
        <v>0</v>
      </c>
      <c r="CH65" s="261">
        <v>0</v>
      </c>
      <c r="CI65" s="261">
        <v>0</v>
      </c>
      <c r="CJ65" s="261">
        <v>0</v>
      </c>
      <c r="CK65" s="261">
        <v>0</v>
      </c>
      <c r="CL65" s="261">
        <v>0</v>
      </c>
      <c r="CM65" s="261">
        <v>0</v>
      </c>
      <c r="CN65" s="261">
        <v>0</v>
      </c>
      <c r="CO65" s="261">
        <v>0</v>
      </c>
      <c r="CP65" s="261">
        <v>0</v>
      </c>
      <c r="CQ65" s="261">
        <v>0</v>
      </c>
      <c r="CR65" s="261">
        <v>0</v>
      </c>
      <c r="CS65" s="261">
        <v>0</v>
      </c>
      <c r="CT65" s="261">
        <v>0</v>
      </c>
      <c r="CU65" s="261">
        <v>0</v>
      </c>
      <c r="CV65" s="261">
        <v>0</v>
      </c>
      <c r="CW65" s="261">
        <v>0</v>
      </c>
      <c r="CX65" s="261">
        <v>0</v>
      </c>
      <c r="CY65" s="261">
        <v>0</v>
      </c>
      <c r="CZ65" s="261">
        <v>0</v>
      </c>
      <c r="DA65" s="261">
        <v>0</v>
      </c>
      <c r="DB65" s="261">
        <v>0</v>
      </c>
      <c r="DC65" s="261">
        <v>0</v>
      </c>
      <c r="DD65" s="261">
        <v>0</v>
      </c>
      <c r="DE65" s="261">
        <v>0</v>
      </c>
      <c r="DF65" s="261">
        <v>0</v>
      </c>
      <c r="DG65" s="261">
        <v>0</v>
      </c>
      <c r="DH65" s="261">
        <v>0</v>
      </c>
      <c r="DI65" s="261">
        <v>0</v>
      </c>
      <c r="DJ65" s="261">
        <v>0</v>
      </c>
      <c r="DK65" s="261">
        <v>0</v>
      </c>
      <c r="DL65" s="261">
        <v>0</v>
      </c>
      <c r="DM65" s="261">
        <v>0</v>
      </c>
      <c r="DN65" s="261">
        <v>0</v>
      </c>
      <c r="DO65" s="261">
        <v>0</v>
      </c>
      <c r="DP65" s="261">
        <v>0</v>
      </c>
      <c r="DQ65" s="261">
        <v>0</v>
      </c>
      <c r="DR65" s="261">
        <v>0</v>
      </c>
      <c r="DS65" s="261">
        <v>0</v>
      </c>
      <c r="DT65" s="261">
        <v>0</v>
      </c>
      <c r="DU65" s="261">
        <v>0</v>
      </c>
      <c r="DV65" s="261">
        <v>0</v>
      </c>
      <c r="DW65" s="261">
        <v>0</v>
      </c>
      <c r="DX65" s="261">
        <v>0</v>
      </c>
      <c r="DY65" s="261">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customProperties>
    <customPr name="Description" r:id="rId1"/>
  </customProperties>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nabla.f.LabelDepreciateλ</v>
      </c>
      <c r="B1" s="270"/>
      <c r="C1" s="270"/>
      <c r="D1" s="270"/>
      <c r="E1" s="270"/>
      <c r="F1" s="270"/>
      <c r="G1" s="270"/>
      <c r="H1" s="270"/>
      <c r="I1" s="270"/>
      <c r="J1" s="270"/>
      <c r="K1" s="270"/>
      <c r="L1" s="270"/>
      <c r="M1" s="270"/>
      <c r="N1" s="270"/>
      <c r="O1" s="270"/>
      <c r="P1" s="270"/>
      <c r="Q1" s="270"/>
    </row>
    <row r="2" spans="1:20" x14ac:dyDescent="0.25">
      <c r="A2" s="273" t="s">
        <v>216</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nabla.f.LabelDepreciateλ()</f>
        <v>FUNCTION:</v>
      </c>
      <c r="B4" t="str">
        <v>LabelDepreciateλ( AssetNames)</v>
      </c>
      <c r="M4" s="316"/>
      <c r="N4" s="316"/>
      <c r="O4" s="316"/>
      <c r="P4" s="316"/>
      <c r="Q4" s="316"/>
      <c r="R4" s="316"/>
      <c r="S4" s="316"/>
      <c r="T4" s="316"/>
    </row>
    <row r="5" spans="1:20" x14ac:dyDescent="0.25">
      <c r="A5" t="str">
        <v>DESCRIPTION:</v>
      </c>
      <c r="B5" t="str">
        <v>Create row labels for the depreciation schedule array produced by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AssetNames</v>
      </c>
      <c r="B9" t="str">
        <v>(Required) The names or descriptions of each asset in teh depreciation schedule produced by Depreciateλ</v>
      </c>
      <c r="K9" s="233"/>
      <c r="L9" s="233"/>
      <c r="M9" s="316"/>
      <c r="N9" s="316"/>
      <c r="O9" s="316"/>
      <c r="P9" s="316"/>
      <c r="Q9" s="316"/>
      <c r="R9" s="316"/>
      <c r="S9" s="316"/>
      <c r="T9" s="316"/>
    </row>
    <row r="10" spans="1:20" x14ac:dyDescent="0.25">
      <c r="A10" t="str">
        <v>EXAMPLES:</v>
      </c>
      <c r="B10" t="str">
        <v/>
      </c>
      <c r="K10" s="233"/>
      <c r="L10" s="233"/>
      <c r="M10" s="316"/>
      <c r="N10" s="316"/>
      <c r="O10" s="316"/>
      <c r="P10" s="316"/>
      <c r="Q10" s="316"/>
      <c r="R10" s="316"/>
      <c r="S10" s="316"/>
      <c r="T10" s="316"/>
    </row>
    <row r="11" spans="1:20" x14ac:dyDescent="0.25">
      <c r="A11" t="str">
        <v>Result</v>
      </c>
      <c r="B11" t="str">
        <v>Formula (nabla.f is assumed to be the module's name)</v>
      </c>
      <c r="K11" s="233"/>
      <c r="L11" s="233"/>
      <c r="M11" s="316"/>
      <c r="N11" s="316"/>
      <c r="O11" s="316"/>
      <c r="P11" s="316"/>
      <c r="Q11" s="316"/>
      <c r="R11" s="316"/>
      <c r="S11" s="316"/>
      <c r="T11" s="316"/>
    </row>
    <row r="12" spans="1:20" x14ac:dyDescent="0.25">
      <c r="A12" t="str">
        <v/>
      </c>
      <c r="B12" t="str">
        <v>=nabla.f.LabelDepreciateλ(tblAssets[Asset Name])</v>
      </c>
      <c r="K12" s="233"/>
      <c r="L12" s="233"/>
      <c r="M12" s="316"/>
      <c r="N12" s="316"/>
      <c r="O12" s="316"/>
      <c r="P12" s="316"/>
      <c r="Q12" s="316"/>
      <c r="R12" s="316"/>
      <c r="S12" s="316"/>
      <c r="T12" s="316"/>
    </row>
    <row r="13" spans="1:20" x14ac:dyDescent="0.25">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62" t="str" cm="1">
        <f t="array" ref="J26:J45">nabla.f.LabelDepreciateλ(tblAssets11[Asset])</f>
        <v>Cutter CAPEX</v>
      </c>
      <c r="K26" cm="1">
        <f t="array" ref="K26:K45">nabla.f.SumDepreciateλ(_xlfn.ANCHORARRAY(L26))</f>
        <v>0</v>
      </c>
      <c r="L26" s="192" cm="1">
        <f t="array" ref="L26:W45">nabla.f.Depreciateλ(tblAssets11[Amount],tblAssets11[Acquired],tblAssets11[Life],_xlfn.ANCHORARRAY(L25),tblAssets11[Salvage],tblAssets11[Date],tblAssets11[Cost],tblAssets11[Method])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customProperties>
    <customPr name="Description" r:id="rId1"/>
  </customProperties>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157A5F"/>
  </sheetPr>
  <dimension ref="A1:W45"/>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nabla.f.SumDepreciateλ</v>
      </c>
      <c r="B1" s="270"/>
      <c r="C1" s="270"/>
      <c r="D1" s="270"/>
      <c r="E1" s="270"/>
      <c r="F1" s="270"/>
      <c r="G1" s="270"/>
      <c r="H1" s="270"/>
      <c r="I1" s="270"/>
      <c r="J1" s="270"/>
      <c r="K1" s="270"/>
      <c r="L1" s="270"/>
      <c r="M1" s="270"/>
      <c r="N1" s="270"/>
      <c r="O1" s="270"/>
      <c r="P1" s="270"/>
      <c r="Q1" s="270"/>
    </row>
    <row r="2" spans="1:20" x14ac:dyDescent="0.25">
      <c r="A2" s="273" t="s">
        <v>368</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nabla.f.SumDepreciateλ()</f>
        <v>FUNCTION:</v>
      </c>
      <c r="B4" t="str">
        <v>SumDepreciateλ(DepreciationSchedule)</v>
      </c>
      <c r="M4" s="316"/>
      <c r="N4" s="316"/>
      <c r="O4" s="316"/>
      <c r="P4" s="316"/>
      <c r="Q4" s="316"/>
      <c r="R4" s="316"/>
      <c r="S4" s="316"/>
      <c r="T4" s="316"/>
    </row>
    <row r="5" spans="1:20" x14ac:dyDescent="0.25">
      <c r="A5" t="str">
        <v>DESCRIPTION:</v>
      </c>
      <c r="B5" t="str">
        <v>Create row totals for Depreciateλ</v>
      </c>
      <c r="M5" s="316"/>
      <c r="N5" s="316"/>
      <c r="O5" s="316"/>
      <c r="P5" s="316"/>
      <c r="Q5" s="316"/>
      <c r="R5" s="316"/>
      <c r="S5" s="316"/>
      <c r="T5" s="316"/>
    </row>
    <row r="6" spans="1:20" x14ac:dyDescent="0.25">
      <c r="A6" t="str">
        <v>WEBPAGE:</v>
      </c>
      <c r="B6" t="str">
        <v>https://github.com/ryanduguid/Nabla</v>
      </c>
      <c r="M6" s="316"/>
      <c r="N6" s="316"/>
      <c r="O6" s="316"/>
      <c r="P6" s="316"/>
      <c r="Q6" s="316"/>
      <c r="R6" s="316"/>
      <c r="S6" s="316"/>
      <c r="T6" s="316"/>
    </row>
    <row r="7" spans="1:20" x14ac:dyDescent="0.25">
      <c r="A7" t="str">
        <v>VERSION:</v>
      </c>
      <c r="B7" t="str">
        <v>18 Aug 2026</v>
      </c>
      <c r="K7" s="233"/>
      <c r="L7" s="233"/>
      <c r="M7" s="316"/>
      <c r="N7" s="316"/>
      <c r="O7" s="316"/>
      <c r="P7" s="316"/>
      <c r="Q7" s="316"/>
      <c r="R7" s="316"/>
      <c r="S7" s="316"/>
      <c r="T7" s="316"/>
    </row>
    <row r="8" spans="1:20" x14ac:dyDescent="0.25">
      <c r="A8" t="str">
        <v>PARAMETERS:</v>
      </c>
      <c r="B8" t="str">
        <v/>
      </c>
      <c r="K8" s="233"/>
      <c r="L8" s="233"/>
      <c r="M8" s="316"/>
      <c r="N8" s="316"/>
      <c r="O8" s="316"/>
      <c r="P8" s="316"/>
      <c r="Q8" s="316"/>
      <c r="R8" s="316"/>
      <c r="S8" s="316"/>
      <c r="T8" s="316"/>
    </row>
    <row r="9" spans="1:20" x14ac:dyDescent="0.25">
      <c r="A9" t="str">
        <v>DepreciationSchedule</v>
      </c>
      <c r="B9" t="str">
        <v>(Required) An array produced by Depreciateλ</v>
      </c>
      <c r="K9" s="233"/>
      <c r="L9" s="233"/>
      <c r="M9" s="316"/>
      <c r="N9" s="316"/>
      <c r="O9" s="316"/>
      <c r="P9" s="316"/>
      <c r="Q9" s="316"/>
      <c r="R9" s="316"/>
      <c r="S9" s="316"/>
      <c r="T9" s="316"/>
    </row>
    <row r="10" spans="1:20" x14ac:dyDescent="0.25">
      <c r="A10" t="str">
        <v/>
      </c>
      <c r="B10" t="str">
        <v/>
      </c>
      <c r="K10" s="233"/>
      <c r="L10" s="233"/>
      <c r="M10" s="316"/>
      <c r="N10" s="316"/>
      <c r="O10" s="316"/>
      <c r="P10" s="316"/>
      <c r="Q10" s="316"/>
      <c r="R10" s="316"/>
      <c r="S10" s="316"/>
      <c r="T10" s="316"/>
    </row>
    <row r="11" spans="1:20" x14ac:dyDescent="0.25">
      <c r="A11" t="str">
        <v>EXAMPLES:</v>
      </c>
      <c r="B11" t="str">
        <v/>
      </c>
      <c r="K11" s="233"/>
      <c r="L11" s="233"/>
      <c r="M11" s="316"/>
      <c r="N11" s="316"/>
      <c r="O11" s="316"/>
      <c r="P11" s="316"/>
      <c r="Q11" s="316"/>
      <c r="R11" s="316"/>
      <c r="S11" s="316"/>
      <c r="T11" s="316"/>
    </row>
    <row r="12" spans="1:20" x14ac:dyDescent="0.25">
      <c r="A12" t="str">
        <v>Result</v>
      </c>
      <c r="B12" t="str">
        <v>Formula (nabla.f is assumed to be the module's name)</v>
      </c>
      <c r="K12" s="233"/>
      <c r="L12" s="233"/>
      <c r="M12" s="316"/>
      <c r="N12" s="316"/>
      <c r="O12" s="316"/>
      <c r="P12" s="316"/>
      <c r="Q12" s="316"/>
      <c r="R12" s="316"/>
      <c r="S12" s="316"/>
      <c r="T12" s="316"/>
    </row>
    <row r="13" spans="1:20" x14ac:dyDescent="0.25">
      <c r="A13" t="str">
        <v/>
      </c>
      <c r="B13" t="str">
        <v>=nabla.f.SumDepreciateλ(DepreciationSchedule)</v>
      </c>
      <c r="K13" s="233"/>
      <c r="L13" s="233"/>
      <c r="M13" s="316"/>
      <c r="N13" s="316"/>
      <c r="O13" s="316"/>
      <c r="P13" s="316"/>
      <c r="Q13" s="316"/>
      <c r="R13" s="316"/>
      <c r="S13" s="316"/>
      <c r="T13" s="316"/>
    </row>
    <row r="15" spans="1:20" ht="20.25" x14ac:dyDescent="0.3">
      <c r="A15" s="302" t="s">
        <v>272</v>
      </c>
      <c r="B15" s="302"/>
      <c r="C15" s="302"/>
      <c r="J15" s="2" t="s">
        <v>289</v>
      </c>
    </row>
    <row r="17" spans="1:23" x14ac:dyDescent="0.25">
      <c r="A17" s="161" t="s">
        <v>273</v>
      </c>
      <c r="B17" s="161" t="s">
        <v>138</v>
      </c>
      <c r="C17" s="161" t="s">
        <v>139</v>
      </c>
      <c r="J17" s="190" t="s">
        <v>131</v>
      </c>
      <c r="K17" s="190" t="s">
        <v>276</v>
      </c>
      <c r="L17" s="1" cm="1">
        <f t="array" ref="L17:W17">nabla.d.Timelineλ($B$18, $B$19, $B$20)</f>
        <v>45292</v>
      </c>
      <c r="M17" s="1">
        <v>46388</v>
      </c>
      <c r="N17" s="1">
        <v>46753</v>
      </c>
      <c r="O17" s="1">
        <v>47119</v>
      </c>
      <c r="P17" s="1">
        <v>47484</v>
      </c>
      <c r="Q17" s="1">
        <v>47849</v>
      </c>
      <c r="R17" s="1">
        <v>48214</v>
      </c>
      <c r="S17" s="1">
        <v>48580</v>
      </c>
      <c r="T17" s="1">
        <v>48945</v>
      </c>
      <c r="U17" s="1">
        <v>49310</v>
      </c>
      <c r="V17" s="1">
        <v>49675</v>
      </c>
      <c r="W17" s="1">
        <v>50041</v>
      </c>
    </row>
    <row r="18" spans="1:23" x14ac:dyDescent="0.25">
      <c r="A18" t="s">
        <v>236</v>
      </c>
      <c r="B18" s="141">
        <v>46023</v>
      </c>
      <c r="C18" t="s">
        <v>145</v>
      </c>
      <c r="J18" t="s">
        <v>343</v>
      </c>
      <c r="L18" cm="1">
        <f t="array" ref="L18:W18">nabla.f.SumContainsλ(_xlfn.ANCHORARRAY($L$26),_xlfn.ANCHORARRAY($J$26),J18)</f>
        <v>10000</v>
      </c>
      <c r="M18">
        <v>0</v>
      </c>
      <c r="N18">
        <v>50000</v>
      </c>
      <c r="O18">
        <v>0</v>
      </c>
      <c r="P18">
        <v>0</v>
      </c>
      <c r="Q18">
        <v>0</v>
      </c>
      <c r="R18">
        <v>0</v>
      </c>
      <c r="S18">
        <v>0</v>
      </c>
      <c r="T18">
        <v>0</v>
      </c>
      <c r="U18">
        <v>0</v>
      </c>
      <c r="V18">
        <v>0</v>
      </c>
      <c r="W18">
        <v>0</v>
      </c>
    </row>
    <row r="19" spans="1:23" x14ac:dyDescent="0.25">
      <c r="A19" t="s">
        <v>141</v>
      </c>
      <c r="B19">
        <v>12</v>
      </c>
      <c r="C19" t="s">
        <v>146</v>
      </c>
      <c r="J19" t="s">
        <v>344</v>
      </c>
      <c r="L19" cm="1">
        <f t="array" ref="L19:W19">nabla.f.SumContainsλ(_xlfn.ANCHORARRAY($L$26),_xlfn.ANCHORARRAY($J$26),J19)</f>
        <v>4500.03</v>
      </c>
      <c r="M19">
        <v>4699.9399999999996</v>
      </c>
      <c r="N19">
        <v>5297.56</v>
      </c>
      <c r="O19">
        <v>6830.42</v>
      </c>
      <c r="P19">
        <v>7345.46</v>
      </c>
      <c r="Q19">
        <v>6911.2800000000007</v>
      </c>
      <c r="R19">
        <v>6529.6</v>
      </c>
      <c r="S19">
        <v>4195.6280000000006</v>
      </c>
      <c r="T19">
        <v>2901.5003999999999</v>
      </c>
      <c r="U19">
        <v>3068.00432</v>
      </c>
      <c r="V19">
        <v>2955.5572799999959</v>
      </c>
      <c r="W19">
        <v>2230</v>
      </c>
    </row>
    <row r="20" spans="1:23" x14ac:dyDescent="0.25">
      <c r="A20" t="s">
        <v>142</v>
      </c>
      <c r="B20" t="s">
        <v>24</v>
      </c>
      <c r="J20" t="s">
        <v>345</v>
      </c>
      <c r="L20" cm="1">
        <f t="array" ref="L20:W20">nabla.f.SumContainsλ(_xlfn.ANCHORARRAY($L$26),_xlfn.ANCHORARRAY($J$26),J20)</f>
        <v>27499.97</v>
      </c>
      <c r="M20">
        <v>22800.03</v>
      </c>
      <c r="N20">
        <v>67502.47</v>
      </c>
      <c r="O20">
        <v>60672.05</v>
      </c>
      <c r="P20">
        <v>53326.589999999989</v>
      </c>
      <c r="Q20">
        <v>46415.309999999969</v>
      </c>
      <c r="R20">
        <v>39885.709999999955</v>
      </c>
      <c r="S20">
        <v>35690.081999999966</v>
      </c>
      <c r="T20">
        <v>32788.581599999983</v>
      </c>
      <c r="U20">
        <v>29720.57727999999</v>
      </c>
      <c r="V20">
        <v>26765.019999999986</v>
      </c>
      <c r="W20">
        <v>24535.019999999968</v>
      </c>
    </row>
    <row r="21" spans="1:23" x14ac:dyDescent="0.25">
      <c r="J21" t="s">
        <v>346</v>
      </c>
      <c r="L21" cm="1">
        <f t="array" ref="L21:W21">nabla.f.SumContainsλ(_xlfn.ANCHORARRAY($L$26),_xlfn.ANCHORARRAY($J$26),J21)</f>
        <v>0</v>
      </c>
      <c r="M21">
        <v>0</v>
      </c>
      <c r="N21">
        <v>0</v>
      </c>
      <c r="O21">
        <v>0</v>
      </c>
      <c r="P21">
        <v>0</v>
      </c>
      <c r="Q21">
        <v>0</v>
      </c>
      <c r="R21">
        <v>0</v>
      </c>
      <c r="S21">
        <v>1000</v>
      </c>
      <c r="T21">
        <v>0</v>
      </c>
      <c r="U21">
        <v>0</v>
      </c>
      <c r="V21">
        <v>500</v>
      </c>
      <c r="W21">
        <v>0</v>
      </c>
    </row>
    <row r="22" spans="1:23" x14ac:dyDescent="0.25">
      <c r="J22" t="s">
        <v>347</v>
      </c>
      <c r="L22" cm="1">
        <f t="array" ref="L22:W22">nabla.f.SumContainsλ(_xlfn.ANCHORARRAY($L$26),_xlfn.ANCHORARRAY($J$26),J22)</f>
        <v>0</v>
      </c>
      <c r="M22">
        <v>0</v>
      </c>
      <c r="N22">
        <v>0</v>
      </c>
      <c r="O22">
        <v>0</v>
      </c>
      <c r="P22">
        <v>0</v>
      </c>
      <c r="Q22">
        <v>0</v>
      </c>
      <c r="R22">
        <v>0</v>
      </c>
      <c r="S22">
        <v>500</v>
      </c>
      <c r="T22">
        <v>0</v>
      </c>
      <c r="U22">
        <v>0</v>
      </c>
      <c r="V22">
        <v>100</v>
      </c>
      <c r="W22">
        <v>0</v>
      </c>
    </row>
    <row r="23" spans="1:23" ht="20.25" x14ac:dyDescent="0.3">
      <c r="A23" s="295" t="s">
        <v>295</v>
      </c>
      <c r="B23" s="296"/>
      <c r="C23" s="296"/>
      <c r="D23" s="296"/>
      <c r="E23" s="296"/>
      <c r="F23" s="296"/>
      <c r="G23" s="296"/>
      <c r="H23" s="313"/>
    </row>
    <row r="24" spans="1:23" x14ac:dyDescent="0.25">
      <c r="A24" s="309"/>
      <c r="B24" s="310"/>
      <c r="C24" s="310"/>
      <c r="D24" s="310"/>
      <c r="E24" s="310"/>
      <c r="F24" s="310"/>
      <c r="G24" s="310"/>
      <c r="H24" s="310"/>
    </row>
    <row r="25" spans="1:23" ht="30"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nabla.d.Timelineλ($B$18, $B$19, $B$20)</f>
        <v>45292</v>
      </c>
      <c r="M25" s="1">
        <v>46388</v>
      </c>
      <c r="N25" s="1">
        <v>46753</v>
      </c>
      <c r="O25" s="1">
        <v>47119</v>
      </c>
      <c r="P25" s="1">
        <v>47484</v>
      </c>
      <c r="Q25" s="1">
        <v>47849</v>
      </c>
      <c r="R25" s="1">
        <v>48214</v>
      </c>
      <c r="S25" s="1">
        <v>48580</v>
      </c>
      <c r="T25" s="1">
        <v>48945</v>
      </c>
      <c r="U25" s="1">
        <v>49310</v>
      </c>
      <c r="V25" s="1">
        <v>49675</v>
      </c>
      <c r="W25" s="1">
        <v>50041</v>
      </c>
    </row>
    <row r="26" spans="1:23" x14ac:dyDescent="0.25">
      <c r="A26" t="s">
        <v>303</v>
      </c>
      <c r="B26" s="195">
        <v>25000</v>
      </c>
      <c r="C26" s="120">
        <v>45658</v>
      </c>
      <c r="D26" s="195">
        <v>8</v>
      </c>
      <c r="E26" s="195">
        <v>1000</v>
      </c>
      <c r="F26" s="120"/>
      <c r="G26" s="195">
        <v>500</v>
      </c>
      <c r="H26" s="120" t="s">
        <v>300</v>
      </c>
      <c r="J26" s="192" t="str" cm="1">
        <f t="array" ref="J26:J45">nabla.f.LabelDepreciateλ(tblAssets1112[Asset])</f>
        <v>Cutter CAPEX</v>
      </c>
      <c r="K26" s="162" cm="1">
        <f t="array" ref="K26:K45">nabla.f.SumDepreciateλ(_xlfn.ANCHORARRAY(L26))</f>
        <v>0</v>
      </c>
      <c r="L26" s="192" cm="1">
        <f t="array" ref="L26:W45">nabla.f.Depreciateλ(tblAssets1112[Amount],tblAssets1112[Acquired],tblAssets1112[Life],_xlfn.ANCHORARRAY(L25),tblAssets1112[Salvage],tblAssets1112[Date],tblAssets1112[Cost],tblAssets1112[Method])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46113</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50000</v>
      </c>
      <c r="C28" s="196">
        <v>46935</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50000</v>
      </c>
      <c r="L40">
        <v>0</v>
      </c>
      <c r="M40">
        <v>0</v>
      </c>
      <c r="N40">
        <v>50000</v>
      </c>
      <c r="O40">
        <v>0</v>
      </c>
      <c r="P40">
        <v>0</v>
      </c>
      <c r="Q40">
        <v>0</v>
      </c>
      <c r="R40">
        <v>0</v>
      </c>
      <c r="S40">
        <v>0</v>
      </c>
      <c r="T40">
        <v>0</v>
      </c>
      <c r="U40">
        <v>0</v>
      </c>
      <c r="V40">
        <v>0</v>
      </c>
      <c r="W40">
        <v>0</v>
      </c>
    </row>
    <row r="41" spans="10:23" x14ac:dyDescent="0.25">
      <c r="J41" t="str">
        <v>CNC Opening Value</v>
      </c>
      <c r="K41">
        <v>0</v>
      </c>
      <c r="L41">
        <v>0</v>
      </c>
      <c r="M41">
        <v>0</v>
      </c>
      <c r="N41">
        <v>50000</v>
      </c>
      <c r="O41">
        <v>49062.5</v>
      </c>
      <c r="P41">
        <v>46320.01999999999</v>
      </c>
      <c r="Q41">
        <v>42845.019999999968</v>
      </c>
      <c r="R41">
        <v>39629.999999999956</v>
      </c>
      <c r="S41">
        <v>36657.479999999967</v>
      </c>
      <c r="T41">
        <v>33907.479999999989</v>
      </c>
      <c r="U41">
        <v>31362.499999999996</v>
      </c>
      <c r="V41">
        <v>29010.019999999986</v>
      </c>
      <c r="W41">
        <v>26765.019999999968</v>
      </c>
    </row>
    <row r="42" spans="10:23" x14ac:dyDescent="0.25">
      <c r="J42" t="str">
        <v>CNC Depreciation</v>
      </c>
      <c r="K42">
        <v>25464.98</v>
      </c>
      <c r="L42">
        <v>0</v>
      </c>
      <c r="M42">
        <v>0</v>
      </c>
      <c r="N42">
        <v>937.5</v>
      </c>
      <c r="O42">
        <v>2742.4799999999996</v>
      </c>
      <c r="P42">
        <v>3475</v>
      </c>
      <c r="Q42">
        <v>3215.0200000000004</v>
      </c>
      <c r="R42">
        <v>2972.52</v>
      </c>
      <c r="S42">
        <v>2750</v>
      </c>
      <c r="T42">
        <v>2544.9799999999996</v>
      </c>
      <c r="U42">
        <v>2352.4799999999996</v>
      </c>
      <c r="V42">
        <v>2245</v>
      </c>
      <c r="W42">
        <v>2230</v>
      </c>
    </row>
    <row r="43" spans="10:23" x14ac:dyDescent="0.25">
      <c r="J43" t="str">
        <v>CNC Book Value</v>
      </c>
      <c r="K43">
        <v>0</v>
      </c>
      <c r="L43">
        <v>0</v>
      </c>
      <c r="M43">
        <v>0</v>
      </c>
      <c r="N43">
        <v>49062.5</v>
      </c>
      <c r="O43">
        <v>46320.020000000004</v>
      </c>
      <c r="P43">
        <v>42845.01999999999</v>
      </c>
      <c r="Q43">
        <v>39629.999999999971</v>
      </c>
      <c r="R43">
        <v>36657.47999999996</v>
      </c>
      <c r="S43">
        <v>33907.479999999967</v>
      </c>
      <c r="T43">
        <v>31362.499999999989</v>
      </c>
      <c r="U43">
        <v>29010.019999999997</v>
      </c>
      <c r="V43">
        <v>26765.019999999986</v>
      </c>
      <c r="W43">
        <v>24535.019999999968</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customProperties>
    <customPr name="Description" r:id="rId1"/>
  </customProperties>
  <drawing r:id="rId2"/>
  <tableParts count="1">
    <tablePart r:id="rId3"/>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157A5F"/>
  </sheetPr>
  <dimension ref="A1:W48"/>
  <sheetViews>
    <sheetView showGridLines="0" workbookViewId="0">
      <selection activeCell="A1" sqref="A1"/>
    </sheetView>
  </sheetViews>
  <sheetFormatPr defaultRowHeight="15" x14ac:dyDescent="0.25"/>
  <cols>
    <col min="1" max="1" width="13.140625" bestFit="1" customWidth="1"/>
    <col min="2" max="2" width="10.42578125" customWidth="1"/>
    <col min="6" max="6" width="4.85546875" bestFit="1" customWidth="1"/>
    <col min="7" max="7" width="4.7109375" bestFit="1" customWidth="1"/>
    <col min="10" max="10" width="22.140625" bestFit="1" customWidth="1"/>
    <col min="11" max="11" width="15.7109375" customWidth="1"/>
    <col min="12" max="12" width="10.140625" bestFit="1" customWidth="1"/>
    <col min="13" max="13" width="10.28515625" bestFit="1" customWidth="1"/>
    <col min="14" max="14" width="10.7109375" bestFit="1" customWidth="1"/>
    <col min="15" max="15" width="10.28515625" bestFit="1" customWidth="1"/>
    <col min="16" max="16" width="11.140625" bestFit="1" customWidth="1"/>
    <col min="17" max="17" width="10.28515625" bestFit="1" customWidth="1"/>
    <col min="18" max="18" width="10.140625" bestFit="1" customWidth="1"/>
    <col min="19" max="19" width="10.7109375" bestFit="1" customWidth="1"/>
    <col min="20" max="20" width="10.42578125" bestFit="1" customWidth="1"/>
    <col min="21" max="21" width="10.28515625" bestFit="1" customWidth="1"/>
    <col min="22" max="22" width="10.7109375" bestFit="1" customWidth="1"/>
    <col min="23" max="23" width="10.42578125" bestFit="1" customWidth="1"/>
  </cols>
  <sheetData>
    <row r="1" spans="1:20" ht="45.75" x14ac:dyDescent="0.65">
      <c r="A1" s="270" t="str">
        <f>_xlfn.TEXTAFTER(CELL("filename",A1),"]")</f>
        <v>nabla.f.SumContains</v>
      </c>
      <c r="B1" s="270"/>
      <c r="C1" s="270"/>
      <c r="D1" s="270"/>
      <c r="E1" s="270"/>
      <c r="F1" s="270"/>
      <c r="G1" s="270"/>
      <c r="H1" s="270"/>
      <c r="I1" s="270"/>
      <c r="J1" s="270"/>
      <c r="K1" s="270"/>
      <c r="L1" s="270"/>
      <c r="M1" s="270"/>
      <c r="N1" s="270"/>
      <c r="O1" s="270"/>
      <c r="P1" s="270"/>
      <c r="Q1" s="270"/>
    </row>
    <row r="2" spans="1:20" x14ac:dyDescent="0.25">
      <c r="A2" s="273" t="s">
        <v>369</v>
      </c>
      <c r="B2" s="311"/>
      <c r="C2" s="311"/>
      <c r="D2" s="311"/>
      <c r="E2" s="311"/>
      <c r="F2" s="311"/>
      <c r="G2" s="311"/>
      <c r="H2" s="311"/>
      <c r="I2" s="311"/>
      <c r="J2" s="311"/>
      <c r="K2" s="311"/>
      <c r="L2" s="311"/>
      <c r="M2" s="311"/>
      <c r="N2" s="311"/>
      <c r="O2" s="311"/>
      <c r="P2" s="311"/>
      <c r="Q2" s="312"/>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6">nabla.f.SumContainsλ()</f>
        <v>FUNCTION:</v>
      </c>
      <c r="B4" t="str">
        <v>SumContainsλ(ValuesToFilter, ValueLabels, FilterByText, [IgnoreCase?])</v>
      </c>
      <c r="M4" s="316"/>
      <c r="N4" s="316"/>
      <c r="O4" s="316"/>
      <c r="P4" s="316"/>
      <c r="Q4" s="316"/>
      <c r="R4" s="316"/>
      <c r="S4" s="316"/>
      <c r="T4" s="316"/>
    </row>
    <row r="5" spans="1:20" x14ac:dyDescent="0.25">
      <c r="A5" t="str">
        <v>DESCRIPTION:</v>
      </c>
      <c r="B5" t="str">
        <v>Creates a row of column totals for each row in an array where</v>
      </c>
      <c r="M5" s="316"/>
      <c r="N5" s="316"/>
      <c r="O5" s="316"/>
      <c r="P5" s="316"/>
      <c r="Q5" s="316"/>
      <c r="R5" s="316"/>
      <c r="S5" s="316"/>
      <c r="T5" s="316"/>
    </row>
    <row r="6" spans="1:20" x14ac:dyDescent="0.25">
      <c r="A6" t="str">
        <v/>
      </c>
      <c r="B6" t="str">
        <v>its labels contain a unique letter, word, or phrase.</v>
      </c>
      <c r="M6" s="316"/>
      <c r="N6" s="316"/>
      <c r="O6" s="316"/>
      <c r="P6" s="316"/>
      <c r="Q6" s="316"/>
      <c r="R6" s="316"/>
      <c r="S6" s="316"/>
      <c r="T6" s="316"/>
    </row>
    <row r="7" spans="1:20" x14ac:dyDescent="0.25">
      <c r="A7" t="str">
        <v>WEBPAGE:</v>
      </c>
      <c r="B7" t="str">
        <v>https://github.com/ryanduguid/Nabla</v>
      </c>
      <c r="K7" s="233"/>
      <c r="L7" s="233"/>
      <c r="M7" s="316"/>
      <c r="N7" s="316"/>
      <c r="O7" s="316"/>
      <c r="P7" s="316"/>
      <c r="Q7" s="316"/>
      <c r="R7" s="316"/>
      <c r="S7" s="316"/>
      <c r="T7" s="316"/>
    </row>
    <row r="8" spans="1:20" x14ac:dyDescent="0.25">
      <c r="A8" t="str">
        <v>VERSION:</v>
      </c>
      <c r="B8" t="str">
        <v>18 Aug 2026</v>
      </c>
      <c r="K8" s="233"/>
      <c r="L8" s="233"/>
      <c r="M8" s="316"/>
      <c r="N8" s="316"/>
      <c r="O8" s="316"/>
      <c r="P8" s="316"/>
      <c r="Q8" s="316"/>
      <c r="R8" s="316"/>
      <c r="S8" s="316"/>
      <c r="T8" s="316"/>
    </row>
    <row r="9" spans="1:20" x14ac:dyDescent="0.25">
      <c r="A9" t="str">
        <v>PARAMETERS:</v>
      </c>
      <c r="B9" t="str">
        <v/>
      </c>
      <c r="K9" s="233"/>
      <c r="L9" s="233"/>
      <c r="M9" s="316"/>
      <c r="N9" s="316"/>
      <c r="O9" s="316"/>
      <c r="P9" s="316"/>
      <c r="Q9" s="316"/>
      <c r="R9" s="316"/>
      <c r="S9" s="316"/>
      <c r="T9" s="316"/>
    </row>
    <row r="10" spans="1:20" x14ac:dyDescent="0.25">
      <c r="A10" t="str">
        <v>ValuesToFilter</v>
      </c>
      <c r="B10" t="str">
        <v>(Required) An array of values to be filtered</v>
      </c>
      <c r="K10" s="233"/>
      <c r="L10" s="233"/>
      <c r="M10" s="316"/>
      <c r="N10" s="316"/>
      <c r="O10" s="316"/>
      <c r="P10" s="316"/>
      <c r="Q10" s="316"/>
      <c r="R10" s="316"/>
      <c r="S10" s="316"/>
      <c r="T10" s="316"/>
    </row>
    <row r="11" spans="1:20" x14ac:dyDescent="0.25">
      <c r="A11" t="str">
        <v>ValueLabels</v>
      </c>
      <c r="B11" t="str">
        <v>(Required) An array containing the values' labels</v>
      </c>
      <c r="K11" s="233"/>
      <c r="L11" s="233"/>
      <c r="M11" s="316"/>
      <c r="N11" s="316"/>
      <c r="O11" s="316"/>
      <c r="P11" s="316"/>
      <c r="Q11" s="316"/>
      <c r="R11" s="316"/>
      <c r="S11" s="316"/>
      <c r="T11" s="316"/>
    </row>
    <row r="12" spans="1:20" x14ac:dyDescent="0.25">
      <c r="A12" t="str">
        <v>FilterByText</v>
      </c>
      <c r="B12" t="str">
        <v>(Required) A unique letter, word or phrase to find contained in ValueLabels</v>
      </c>
      <c r="K12" s="233"/>
      <c r="L12" s="233"/>
      <c r="M12" s="316"/>
      <c r="N12" s="316"/>
      <c r="O12" s="316"/>
      <c r="P12" s="316"/>
      <c r="Q12" s="316"/>
      <c r="R12" s="316"/>
      <c r="S12" s="316"/>
      <c r="T12" s="316"/>
    </row>
    <row r="13" spans="1:20" x14ac:dyDescent="0.25">
      <c r="A13" t="str">
        <v>IgnoreCase?</v>
      </c>
      <c r="B13" t="str">
        <v>(Optional) A flag to determine if Text's case is important. Default is TRUE</v>
      </c>
      <c r="K13" s="233"/>
      <c r="L13" s="233"/>
      <c r="M13" s="316"/>
      <c r="N13" s="316"/>
      <c r="O13" s="316"/>
      <c r="P13" s="316"/>
      <c r="Q13" s="316"/>
      <c r="R13" s="316"/>
      <c r="S13" s="316"/>
      <c r="T13" s="316"/>
    </row>
    <row r="14" spans="1:20" x14ac:dyDescent="0.25">
      <c r="A14" t="str">
        <v>EXAMPLES:</v>
      </c>
      <c r="B14" t="str">
        <v/>
      </c>
      <c r="K14" s="233"/>
      <c r="L14" s="233"/>
      <c r="M14" s="234"/>
      <c r="N14" s="234"/>
      <c r="O14" s="234"/>
      <c r="P14" s="234"/>
      <c r="Q14" s="234"/>
      <c r="R14" s="234"/>
      <c r="S14" s="234"/>
      <c r="T14" s="234"/>
    </row>
    <row r="15" spans="1:20" x14ac:dyDescent="0.25">
      <c r="A15" t="str">
        <v>Result</v>
      </c>
      <c r="B15" t="str">
        <v>Formula (nabla.f is assumed to be the module's name)</v>
      </c>
      <c r="K15" s="233"/>
      <c r="L15" s="233"/>
      <c r="M15" s="234"/>
      <c r="N15" s="234"/>
      <c r="O15" s="234"/>
      <c r="P15" s="234"/>
      <c r="Q15" s="234"/>
      <c r="R15" s="234"/>
      <c r="S15" s="234"/>
      <c r="T15" s="234"/>
    </row>
    <row r="16" spans="1:20" x14ac:dyDescent="0.25">
      <c r="A16" t="str">
        <v/>
      </c>
      <c r="B16" t="str">
        <v>=nabla.f.SumContainsλ( Array, Labels, "CAPEX" )</v>
      </c>
      <c r="K16" s="233"/>
      <c r="L16" s="233"/>
      <c r="M16" s="234"/>
      <c r="N16" s="234"/>
      <c r="O16" s="234"/>
      <c r="P16" s="234"/>
      <c r="Q16" s="234"/>
      <c r="R16" s="234"/>
      <c r="S16" s="234"/>
      <c r="T16" s="234"/>
    </row>
    <row r="18" spans="1:23" ht="20.25" x14ac:dyDescent="0.3">
      <c r="A18" s="302" t="s">
        <v>272</v>
      </c>
      <c r="B18" s="302"/>
      <c r="C18" s="302"/>
      <c r="J18" s="2" t="s">
        <v>289</v>
      </c>
    </row>
    <row r="20" spans="1:23" x14ac:dyDescent="0.25">
      <c r="A20" s="161" t="s">
        <v>273</v>
      </c>
      <c r="B20" s="161" t="s">
        <v>138</v>
      </c>
      <c r="C20" s="161" t="s">
        <v>139</v>
      </c>
      <c r="J20" s="190" t="s">
        <v>131</v>
      </c>
      <c r="K20" s="190" t="s">
        <v>276</v>
      </c>
      <c r="L20" s="1" cm="1">
        <f t="array" ref="L20:W20">nabla.d.Timelineλ($B$21, $B$22, $B$23)</f>
        <v>45292</v>
      </c>
      <c r="M20" s="1">
        <v>46388</v>
      </c>
      <c r="N20" s="1">
        <v>46753</v>
      </c>
      <c r="O20" s="1">
        <v>47119</v>
      </c>
      <c r="P20" s="1">
        <v>47484</v>
      </c>
      <c r="Q20" s="1">
        <v>47849</v>
      </c>
      <c r="R20" s="1">
        <v>48214</v>
      </c>
      <c r="S20" s="1">
        <v>48580</v>
      </c>
      <c r="T20" s="1">
        <v>48945</v>
      </c>
      <c r="U20" s="1">
        <v>49310</v>
      </c>
      <c r="V20" s="1">
        <v>49675</v>
      </c>
      <c r="W20" s="1">
        <v>50041</v>
      </c>
    </row>
    <row r="21" spans="1:23" x14ac:dyDescent="0.25">
      <c r="A21" t="s">
        <v>236</v>
      </c>
      <c r="B21" s="141">
        <v>46023</v>
      </c>
      <c r="C21" t="s">
        <v>145</v>
      </c>
      <c r="J21" t="s">
        <v>343</v>
      </c>
      <c r="L21" s="162" cm="1">
        <f t="array" ref="L21:W21">nabla.f.SumContainsλ(_xlfn.ANCHORARRAY($L$29),_xlfn.ANCHORARRAY($J$29),J21)</f>
        <v>10000</v>
      </c>
      <c r="M21">
        <v>0</v>
      </c>
      <c r="N21">
        <v>50000</v>
      </c>
      <c r="O21">
        <v>0</v>
      </c>
      <c r="P21">
        <v>0</v>
      </c>
      <c r="Q21">
        <v>0</v>
      </c>
      <c r="R21">
        <v>0</v>
      </c>
      <c r="S21">
        <v>0</v>
      </c>
      <c r="T21">
        <v>0</v>
      </c>
      <c r="U21">
        <v>0</v>
      </c>
      <c r="V21">
        <v>0</v>
      </c>
      <c r="W21">
        <v>0</v>
      </c>
    </row>
    <row r="22" spans="1:23" x14ac:dyDescent="0.25">
      <c r="A22" t="s">
        <v>141</v>
      </c>
      <c r="B22">
        <v>12</v>
      </c>
      <c r="C22" t="s">
        <v>146</v>
      </c>
      <c r="J22" t="s">
        <v>344</v>
      </c>
      <c r="L22" s="162" cm="1">
        <f t="array" ref="L22:W22">nabla.f.SumContainsλ(_xlfn.ANCHORARRAY($L$29),_xlfn.ANCHORARRAY($J$29),J22)</f>
        <v>4500.03</v>
      </c>
      <c r="M22">
        <v>4699.9399999999996</v>
      </c>
      <c r="N22">
        <v>5297.56</v>
      </c>
      <c r="O22">
        <v>6830.42</v>
      </c>
      <c r="P22">
        <v>7345.46</v>
      </c>
      <c r="Q22">
        <v>6911.2800000000007</v>
      </c>
      <c r="R22">
        <v>6529.6</v>
      </c>
      <c r="S22">
        <v>4195.6280000000006</v>
      </c>
      <c r="T22">
        <v>2901.5003999999999</v>
      </c>
      <c r="U22">
        <v>3068.00432</v>
      </c>
      <c r="V22">
        <v>2955.5572799999959</v>
      </c>
      <c r="W22">
        <v>2230</v>
      </c>
    </row>
    <row r="23" spans="1:23" x14ac:dyDescent="0.25">
      <c r="A23" t="s">
        <v>142</v>
      </c>
      <c r="B23" t="s">
        <v>24</v>
      </c>
      <c r="J23" t="s">
        <v>345</v>
      </c>
      <c r="L23" s="162" cm="1">
        <f t="array" ref="L23:W23">nabla.f.SumContainsλ(_xlfn.ANCHORARRAY($L$29),_xlfn.ANCHORARRAY($J$29),J23)</f>
        <v>27499.97</v>
      </c>
      <c r="M23">
        <v>22800.03</v>
      </c>
      <c r="N23">
        <v>67502.47</v>
      </c>
      <c r="O23">
        <v>60672.05</v>
      </c>
      <c r="P23">
        <v>53326.589999999989</v>
      </c>
      <c r="Q23">
        <v>46415.309999999969</v>
      </c>
      <c r="R23">
        <v>39885.709999999955</v>
      </c>
      <c r="S23">
        <v>35690.081999999966</v>
      </c>
      <c r="T23">
        <v>32788.581599999983</v>
      </c>
      <c r="U23">
        <v>29720.57727999999</v>
      </c>
      <c r="V23">
        <v>26765.019999999986</v>
      </c>
      <c r="W23">
        <v>24535.019999999968</v>
      </c>
    </row>
    <row r="24" spans="1:23" x14ac:dyDescent="0.25">
      <c r="J24" t="s">
        <v>346</v>
      </c>
      <c r="L24" s="162" cm="1">
        <f t="array" ref="L24:W24">nabla.f.SumContainsλ(_xlfn.ANCHORARRAY($L$29),_xlfn.ANCHORARRAY($J$29),J24)</f>
        <v>0</v>
      </c>
      <c r="M24">
        <v>0</v>
      </c>
      <c r="N24">
        <v>0</v>
      </c>
      <c r="O24">
        <v>0</v>
      </c>
      <c r="P24">
        <v>0</v>
      </c>
      <c r="Q24">
        <v>0</v>
      </c>
      <c r="R24">
        <v>0</v>
      </c>
      <c r="S24">
        <v>1000</v>
      </c>
      <c r="T24">
        <v>0</v>
      </c>
      <c r="U24">
        <v>0</v>
      </c>
      <c r="V24">
        <v>500</v>
      </c>
      <c r="W24">
        <v>0</v>
      </c>
    </row>
    <row r="25" spans="1:23" x14ac:dyDescent="0.25">
      <c r="J25" t="s">
        <v>347</v>
      </c>
      <c r="L25" s="162" cm="1">
        <f t="array" ref="L25:W25">nabla.f.SumContainsλ(_xlfn.ANCHORARRAY($L$29),_xlfn.ANCHORARRAY($J$29),J25)</f>
        <v>0</v>
      </c>
      <c r="M25">
        <v>0</v>
      </c>
      <c r="N25">
        <v>0</v>
      </c>
      <c r="O25">
        <v>0</v>
      </c>
      <c r="P25">
        <v>0</v>
      </c>
      <c r="Q25">
        <v>0</v>
      </c>
      <c r="R25">
        <v>0</v>
      </c>
      <c r="S25">
        <v>500</v>
      </c>
      <c r="T25">
        <v>0</v>
      </c>
      <c r="U25">
        <v>0</v>
      </c>
      <c r="V25">
        <v>100</v>
      </c>
      <c r="W25">
        <v>0</v>
      </c>
    </row>
    <row r="26" spans="1:23" ht="20.25" x14ac:dyDescent="0.3">
      <c r="A26" s="295" t="s">
        <v>295</v>
      </c>
      <c r="B26" s="296"/>
      <c r="C26" s="296"/>
      <c r="D26" s="296"/>
      <c r="E26" s="296"/>
      <c r="F26" s="296"/>
      <c r="G26" s="296"/>
      <c r="H26" s="313"/>
    </row>
    <row r="27" spans="1:23" x14ac:dyDescent="0.25">
      <c r="A27" s="309"/>
      <c r="B27" s="310"/>
      <c r="C27" s="310"/>
      <c r="D27" s="310"/>
      <c r="E27" s="310"/>
      <c r="F27" s="310"/>
      <c r="G27" s="310"/>
      <c r="H27" s="310"/>
    </row>
    <row r="28" spans="1:23" ht="30"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nabla.d.Timelineλ($B$21, $B$22, $B$23)</f>
        <v>45292</v>
      </c>
      <c r="M28" s="1">
        <v>46388</v>
      </c>
      <c r="N28" s="1">
        <v>46753</v>
      </c>
      <c r="O28" s="1">
        <v>47119</v>
      </c>
      <c r="P28" s="1">
        <v>47484</v>
      </c>
      <c r="Q28" s="1">
        <v>47849</v>
      </c>
      <c r="R28" s="1">
        <v>48214</v>
      </c>
      <c r="S28" s="1">
        <v>48580</v>
      </c>
      <c r="T28" s="1">
        <v>48945</v>
      </c>
      <c r="U28" s="1">
        <v>49310</v>
      </c>
      <c r="V28" s="1">
        <v>49675</v>
      </c>
      <c r="W28" s="1">
        <v>50041</v>
      </c>
    </row>
    <row r="29" spans="1:23" x14ac:dyDescent="0.25">
      <c r="A29" t="s">
        <v>303</v>
      </c>
      <c r="B29" s="195">
        <v>25000</v>
      </c>
      <c r="C29" s="120">
        <v>45658</v>
      </c>
      <c r="D29" s="195">
        <v>8</v>
      </c>
      <c r="E29" s="195">
        <v>1000</v>
      </c>
      <c r="F29" s="120"/>
      <c r="G29" s="195">
        <v>500</v>
      </c>
      <c r="H29" s="120" t="s">
        <v>300</v>
      </c>
      <c r="J29" s="192" t="str" cm="1">
        <f t="array" ref="J29:J48">nabla.f.LabelDepreciateλ(tblAssets111214[Asset])</f>
        <v>Cutter CAPEX</v>
      </c>
      <c r="K29" s="192" cm="1">
        <f t="array" ref="K29:K48">nabla.f.SumDepreciateλ(_xlfn.ANCHORARRAY(L29))</f>
        <v>0</v>
      </c>
      <c r="L29" s="192" cm="1">
        <f t="array" ref="L29:W48">nabla.f.Depreciateλ(tblAssets111214[Amount],tblAssets111214[Acquired],tblAssets111214[Life],_xlfn.ANCHORARRAY(L28),tblAssets111214[Salvage],tblAssets111214[Date],tblAssets111214[Cost],tblAssets111214[Method])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46113</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50000</v>
      </c>
      <c r="C31" s="196">
        <v>46935</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50000</v>
      </c>
      <c r="L43">
        <v>0</v>
      </c>
      <c r="M43">
        <v>0</v>
      </c>
      <c r="N43">
        <v>50000</v>
      </c>
      <c r="O43">
        <v>0</v>
      </c>
      <c r="P43">
        <v>0</v>
      </c>
      <c r="Q43">
        <v>0</v>
      </c>
      <c r="R43">
        <v>0</v>
      </c>
      <c r="S43">
        <v>0</v>
      </c>
      <c r="T43">
        <v>0</v>
      </c>
      <c r="U43">
        <v>0</v>
      </c>
      <c r="V43">
        <v>0</v>
      </c>
      <c r="W43">
        <v>0</v>
      </c>
    </row>
    <row r="44" spans="10:23" x14ac:dyDescent="0.25">
      <c r="J44" t="str">
        <v>CNC Opening Value</v>
      </c>
      <c r="K44">
        <v>0</v>
      </c>
      <c r="L44">
        <v>0</v>
      </c>
      <c r="M44">
        <v>0</v>
      </c>
      <c r="N44">
        <v>50000</v>
      </c>
      <c r="O44">
        <v>49062.5</v>
      </c>
      <c r="P44">
        <v>46320.01999999999</v>
      </c>
      <c r="Q44">
        <v>42845.019999999968</v>
      </c>
      <c r="R44">
        <v>39629.999999999956</v>
      </c>
      <c r="S44">
        <v>36657.479999999967</v>
      </c>
      <c r="T44">
        <v>33907.479999999989</v>
      </c>
      <c r="U44">
        <v>31362.499999999996</v>
      </c>
      <c r="V44">
        <v>29010.019999999986</v>
      </c>
      <c r="W44">
        <v>26765.019999999968</v>
      </c>
    </row>
    <row r="45" spans="10:23" x14ac:dyDescent="0.25">
      <c r="J45" t="str">
        <v>CNC Depreciation</v>
      </c>
      <c r="K45">
        <v>25464.98</v>
      </c>
      <c r="L45">
        <v>0</v>
      </c>
      <c r="M45">
        <v>0</v>
      </c>
      <c r="N45">
        <v>937.5</v>
      </c>
      <c r="O45">
        <v>2742.4799999999996</v>
      </c>
      <c r="P45">
        <v>3475</v>
      </c>
      <c r="Q45">
        <v>3215.0200000000004</v>
      </c>
      <c r="R45">
        <v>2972.52</v>
      </c>
      <c r="S45">
        <v>2750</v>
      </c>
      <c r="T45">
        <v>2544.9799999999996</v>
      </c>
      <c r="U45">
        <v>2352.4799999999996</v>
      </c>
      <c r="V45">
        <v>2245</v>
      </c>
      <c r="W45">
        <v>2230</v>
      </c>
    </row>
    <row r="46" spans="10:23" x14ac:dyDescent="0.25">
      <c r="J46" t="str">
        <v>CNC Book Value</v>
      </c>
      <c r="K46">
        <v>0</v>
      </c>
      <c r="L46">
        <v>0</v>
      </c>
      <c r="M46">
        <v>0</v>
      </c>
      <c r="N46">
        <v>49062.5</v>
      </c>
      <c r="O46">
        <v>46320.020000000004</v>
      </c>
      <c r="P46">
        <v>42845.01999999999</v>
      </c>
      <c r="Q46">
        <v>39629.999999999971</v>
      </c>
      <c r="R46">
        <v>36657.47999999996</v>
      </c>
      <c r="S46">
        <v>33907.479999999967</v>
      </c>
      <c r="T46">
        <v>31362.499999999989</v>
      </c>
      <c r="U46">
        <v>29010.019999999997</v>
      </c>
      <c r="V46">
        <v>26765.019999999986</v>
      </c>
      <c r="W46">
        <v>24535.019999999968</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customProperties>
    <customPr name="Description" r:id="rId1"/>
  </customProperties>
  <drawing r:id="rId2"/>
  <tableParts count="1">
    <tablePart r:id="rId3"/>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157A5F"/>
  </sheetPr>
  <dimension ref="A1:U39"/>
  <sheetViews>
    <sheetView showGridLines="0" workbookViewId="0">
      <selection activeCell="A1" sqref="A1"/>
    </sheetView>
  </sheetViews>
  <sheetFormatPr defaultRowHeight="15" x14ac:dyDescent="0.25"/>
  <cols>
    <col min="1" max="1" width="12.7109375" bestFit="1" customWidth="1"/>
    <col min="2" max="2" width="11.28515625" customWidth="1"/>
    <col min="3" max="3" width="10" bestFit="1" customWidth="1"/>
    <col min="7" max="7" width="10" bestFit="1" customWidth="1"/>
    <col min="8" max="8" width="11.28515625" bestFit="1" customWidth="1"/>
    <col min="9" max="9" width="11.7109375" bestFit="1" customWidth="1"/>
    <col min="10" max="21" width="11.42578125" bestFit="1" customWidth="1"/>
  </cols>
  <sheetData>
    <row r="1" spans="1:17" ht="45.75" x14ac:dyDescent="0.65">
      <c r="A1" s="270" t="str">
        <f>_xlfn.TEXTAFTER(CELL("filename",A1),"]")</f>
        <v>nabla.f.IntOnIntλ</v>
      </c>
      <c r="B1" s="270"/>
      <c r="C1" s="270"/>
      <c r="D1" s="270"/>
      <c r="E1" s="270"/>
      <c r="F1" s="270"/>
      <c r="G1" s="270"/>
      <c r="H1" s="270"/>
      <c r="I1" s="270"/>
      <c r="J1" s="270"/>
      <c r="K1" s="270"/>
      <c r="L1" s="270"/>
      <c r="M1" s="270"/>
      <c r="N1" s="270"/>
      <c r="O1" s="270"/>
      <c r="P1" s="270"/>
    </row>
    <row r="2" spans="1:17" x14ac:dyDescent="0.25">
      <c r="A2" s="273" t="s">
        <v>209</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nabla.f.IntOnIntλ()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https://github.com/ryanduguid/Nabla</v>
      </c>
    </row>
    <row r="8" spans="1:17" x14ac:dyDescent="0.25">
      <c r="A8" t="str">
        <v>VERSION:</v>
      </c>
      <c r="B8" t="str">
        <v>18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(nabla.f is assumed to be the module's name)</v>
      </c>
    </row>
    <row r="14" spans="1:17" x14ac:dyDescent="0.25">
      <c r="A14" t="str">
        <v>52.63</v>
      </c>
      <c r="B14" t="str">
        <v>=nabla.f.IntOnIntλ( 1000, 5%)</v>
      </c>
    </row>
    <row r="17" spans="1:21" ht="20.25" x14ac:dyDescent="0.3">
      <c r="A17" s="302" t="s">
        <v>272</v>
      </c>
      <c r="B17" s="302"/>
      <c r="C17" s="302"/>
    </row>
    <row r="18" spans="1:21" x14ac:dyDescent="0.25">
      <c r="I18" s="191" t="s">
        <v>279</v>
      </c>
      <c r="J18" s="165" cm="1">
        <f t="array" ref="J18:U18">nabla.d.Timelineλ($B$20, $B$21, $B$22, FALSE)</f>
        <v>45291</v>
      </c>
      <c r="K18" s="165">
        <v>46387</v>
      </c>
      <c r="L18" s="165">
        <v>46752</v>
      </c>
      <c r="M18" s="165">
        <v>47118</v>
      </c>
      <c r="N18" s="165">
        <v>47483</v>
      </c>
      <c r="O18" s="165">
        <v>47848</v>
      </c>
      <c r="P18" s="165">
        <v>48213</v>
      </c>
      <c r="Q18" s="165">
        <v>48579</v>
      </c>
      <c r="R18" s="165">
        <v>48944</v>
      </c>
      <c r="S18" s="165">
        <v>49309</v>
      </c>
      <c r="T18" s="165">
        <v>49674</v>
      </c>
      <c r="U18" s="165">
        <v>50040</v>
      </c>
    </row>
    <row r="19" spans="1:21" x14ac:dyDescent="0.25">
      <c r="A19" s="161" t="s">
        <v>273</v>
      </c>
      <c r="B19" s="161" t="s">
        <v>138</v>
      </c>
      <c r="C19" s="161" t="s">
        <v>139</v>
      </c>
      <c r="F19" s="199" t="s">
        <v>258</v>
      </c>
      <c r="G19" s="200" t="s">
        <v>138</v>
      </c>
      <c r="H19" s="199" t="s">
        <v>139</v>
      </c>
      <c r="I19" s="190" t="s">
        <v>276</v>
      </c>
      <c r="J19" s="1" cm="1">
        <f t="array" ref="J19:U19">nabla.d.Timelineλ($B$20, $B$21, $B$22)</f>
        <v>44927</v>
      </c>
      <c r="K19" s="1">
        <v>46023</v>
      </c>
      <c r="L19" s="1">
        <v>46388</v>
      </c>
      <c r="M19" s="1">
        <v>46753</v>
      </c>
      <c r="N19" s="1">
        <v>47119</v>
      </c>
      <c r="O19" s="1">
        <v>47484</v>
      </c>
      <c r="P19" s="1">
        <v>47849</v>
      </c>
      <c r="Q19" s="1">
        <v>48214</v>
      </c>
      <c r="R19" s="1">
        <v>48580</v>
      </c>
      <c r="S19" s="1">
        <v>48945</v>
      </c>
      <c r="T19" s="1">
        <v>49310</v>
      </c>
      <c r="U19" s="1">
        <v>49675</v>
      </c>
    </row>
    <row r="20" spans="1:21" x14ac:dyDescent="0.25">
      <c r="A20" t="s">
        <v>236</v>
      </c>
      <c r="B20" s="141">
        <v>45658</v>
      </c>
      <c r="C20" t="s">
        <v>145</v>
      </c>
      <c r="F20" s="2" t="s">
        <v>310</v>
      </c>
    </row>
    <row r="21" spans="1:21" x14ac:dyDescent="0.25">
      <c r="A21" t="s">
        <v>141</v>
      </c>
      <c r="B21">
        <v>12</v>
      </c>
      <c r="C21" t="s">
        <v>146</v>
      </c>
      <c r="F21" s="121" t="s">
        <v>236</v>
      </c>
      <c r="G21" s="141">
        <f>_xlfn.XLOOKUP(F20, tblPhases[Description], tblPhases[Start])</f>
        <v>44927</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50000</v>
      </c>
      <c r="H23" t="s">
        <v>161</v>
      </c>
      <c r="J23" cm="1">
        <f t="array" ref="J23:U23">nabla.d.IsBetweenλ(G21,_xlfn.ANCHORARRAY( $J$19),_xlfn.ANCHORARRAY( $J$18), TRUE) * G23</f>
        <v>50000</v>
      </c>
      <c r="K23">
        <v>0</v>
      </c>
      <c r="L23">
        <v>0</v>
      </c>
      <c r="M23">
        <v>0</v>
      </c>
      <c r="N23">
        <v>0</v>
      </c>
      <c r="O23">
        <v>0</v>
      </c>
      <c r="P23">
        <v>0</v>
      </c>
      <c r="Q23">
        <v>0</v>
      </c>
      <c r="R23">
        <v>0</v>
      </c>
      <c r="S23">
        <v>0</v>
      </c>
      <c r="T23">
        <v>0</v>
      </c>
      <c r="U23">
        <v>0</v>
      </c>
    </row>
    <row r="24" spans="1:21" x14ac:dyDescent="0.25">
      <c r="A24" s="317"/>
      <c r="B24" s="317"/>
      <c r="C24" s="317"/>
      <c r="D24" s="317"/>
      <c r="F24" s="121" t="s">
        <v>313</v>
      </c>
      <c r="J24" s="162" cm="1">
        <f t="array" ref="J24:U24">nabla.f.IntOnIntλ(_xlfn.ANCHORARRAY(J23),G22)</f>
        <v>3763.4408602150579</v>
      </c>
      <c r="K24">
        <v>0</v>
      </c>
      <c r="L24">
        <v>0</v>
      </c>
      <c r="M24">
        <v>0</v>
      </c>
      <c r="N24">
        <v>0</v>
      </c>
      <c r="O24">
        <v>0</v>
      </c>
      <c r="P24">
        <v>0</v>
      </c>
      <c r="Q24">
        <v>0</v>
      </c>
      <c r="R24">
        <v>0</v>
      </c>
      <c r="S24">
        <v>0</v>
      </c>
      <c r="T24">
        <v>0</v>
      </c>
      <c r="U24">
        <v>0</v>
      </c>
    </row>
    <row r="25" spans="1:21" ht="20.25" x14ac:dyDescent="0.3">
      <c r="A25" s="299" t="s">
        <v>315</v>
      </c>
      <c r="B25" s="303"/>
      <c r="C25" s="303"/>
      <c r="D25" s="303"/>
      <c r="F25" s="2" t="s">
        <v>314</v>
      </c>
      <c r="J25" s="167" cm="1">
        <f t="array" ref="J25:U25">_xlfn.ANCHORARRAY(J23)+_xlfn.ANCHORARRAY(J24)</f>
        <v>53763.440860215058</v>
      </c>
      <c r="K25" s="167">
        <v>0</v>
      </c>
      <c r="L25" s="167">
        <v>0</v>
      </c>
      <c r="M25" s="167">
        <v>0</v>
      </c>
      <c r="N25" s="167">
        <v>0</v>
      </c>
      <c r="O25" s="167">
        <v>0</v>
      </c>
      <c r="P25" s="167">
        <v>0</v>
      </c>
      <c r="Q25" s="167">
        <v>0</v>
      </c>
      <c r="R25" s="167">
        <v>0</v>
      </c>
      <c r="S25" s="167">
        <v>0</v>
      </c>
      <c r="T25" s="167">
        <v>0</v>
      </c>
      <c r="U25" s="167">
        <v>0</v>
      </c>
    </row>
    <row r="26" spans="1:21" x14ac:dyDescent="0.25">
      <c r="A26" s="301"/>
      <c r="B26" s="300"/>
      <c r="C26" s="300"/>
      <c r="D26" s="300"/>
    </row>
    <row r="27" spans="1:21" x14ac:dyDescent="0.25">
      <c r="A27" s="172" t="s">
        <v>131</v>
      </c>
      <c r="B27" s="173" t="s">
        <v>285</v>
      </c>
      <c r="C27" s="173" t="s">
        <v>236</v>
      </c>
      <c r="D27" s="173" t="s">
        <v>286</v>
      </c>
      <c r="F27" s="2" t="s">
        <v>311</v>
      </c>
    </row>
    <row r="28" spans="1:21" x14ac:dyDescent="0.25">
      <c r="A28" s="177" t="s">
        <v>310</v>
      </c>
      <c r="B28" s="178">
        <v>50000</v>
      </c>
      <c r="C28" s="181">
        <v>45658</v>
      </c>
      <c r="D28" s="179">
        <v>7.0000000000000007E-2</v>
      </c>
      <c r="F28" s="121" t="s">
        <v>236</v>
      </c>
      <c r="G28" s="141">
        <f>_xlfn.XLOOKUP(F27,tblPhases[Description],tblPhases[Start])</f>
        <v>45292</v>
      </c>
      <c r="H28" t="s">
        <v>66</v>
      </c>
    </row>
    <row r="29" spans="1:21" x14ac:dyDescent="0.25">
      <c r="A29" s="177" t="s">
        <v>311</v>
      </c>
      <c r="B29" s="178">
        <v>500000</v>
      </c>
      <c r="C29" s="181">
        <v>46023</v>
      </c>
      <c r="D29" s="179">
        <v>6.5000000000000002E-2</v>
      </c>
      <c r="F29" s="121" t="s">
        <v>286</v>
      </c>
      <c r="G29" s="198">
        <f>_xlfn.XLOOKUP(F27,tblPhases[Description],tblPhases[APR])</f>
        <v>6.5000000000000002E-2</v>
      </c>
      <c r="H29" t="s">
        <v>257</v>
      </c>
    </row>
    <row r="30" spans="1:21" x14ac:dyDescent="0.25">
      <c r="A30" s="177" t="s">
        <v>312</v>
      </c>
      <c r="B30" s="178">
        <v>450000</v>
      </c>
      <c r="C30" s="181">
        <v>46388</v>
      </c>
      <c r="D30" s="179">
        <v>0.08</v>
      </c>
      <c r="F30" s="121" t="s">
        <v>285</v>
      </c>
      <c r="G30">
        <f>_xlfn.XLOOKUP(F27,tblPhases[Description],tblPhases[Principal])</f>
        <v>500000</v>
      </c>
      <c r="H30" t="s">
        <v>161</v>
      </c>
      <c r="J30" cm="1">
        <f t="array" ref="J30:U30">nabla.d.IsBetweenλ(G28,_xlfn.ANCHORARRAY(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nabla.f.IntOnIntλ(_xlfn.ANCHORARRAY(J30),G29)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45658</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nabla.d.IsBetweenλ(G35,_xlfn.ANCHORARRAY(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nabla.f.IntOnIntλ(_xlfn.ANCHORARRAY(J37),G36)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customProperties>
    <customPr name="Description" r:id="rId1"/>
  </customProperties>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157A5F"/>
  </sheetPr>
  <dimension ref="A1:R28"/>
  <sheetViews>
    <sheetView showGridLines="0" workbookViewId="0">
      <selection activeCell="A1" sqref="A1"/>
    </sheetView>
  </sheetViews>
  <sheetFormatPr defaultRowHeight="15" x14ac:dyDescent="0.25"/>
  <cols>
    <col min="1" max="1" width="12.7109375" bestFit="1" customWidth="1"/>
    <col min="2" max="2" width="10.85546875" customWidth="1"/>
    <col min="5" max="5" width="15.5703125" bestFit="1" customWidth="1"/>
    <col min="6" max="17" width="10.140625" bestFit="1" customWidth="1"/>
  </cols>
  <sheetData>
    <row r="1" spans="1:18" ht="45.75" x14ac:dyDescent="0.65">
      <c r="A1" s="270" t="str">
        <f>_xlfn.TEXTAFTER(CELL("filename",A1),"]")</f>
        <v>nabla.f.IRRλ</v>
      </c>
      <c r="B1" s="270"/>
      <c r="C1" s="270"/>
      <c r="D1" s="270"/>
      <c r="E1" s="270"/>
      <c r="F1" s="270"/>
      <c r="G1" s="270"/>
      <c r="H1" s="270"/>
      <c r="I1" s="270"/>
      <c r="J1" s="270"/>
    </row>
    <row r="2" spans="1:18" x14ac:dyDescent="0.25">
      <c r="A2" s="273" t="s">
        <v>210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row>
    <row r="4" spans="1:18" x14ac:dyDescent="0.25">
      <c r="A4" s="162" t="str" cm="1">
        <f t="array" ref="A4:B21">nabla.f.IRRλ()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https://github.com/ryanduguid/Nabla</v>
      </c>
    </row>
    <row r="7" spans="1:18" x14ac:dyDescent="0.25">
      <c r="A7" t="str">
        <v>VERSION:</v>
      </c>
      <c r="B7" t="str">
        <v>18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(nabla.f is assumed to be the module's name)</v>
      </c>
    </row>
    <row r="17" spans="1:17" x14ac:dyDescent="0.25">
      <c r="A17" t="str">
        <v>Dates</v>
      </c>
      <c r="B17" t="str">
        <v>=EDATE("1/1/2025",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24%</v>
      </c>
      <c r="B21" t="str">
        <v>=nabla.f.IRRλ( Values, Dates)</v>
      </c>
    </row>
    <row r="23" spans="1:17" ht="20.25" x14ac:dyDescent="0.3">
      <c r="A23" s="302" t="s">
        <v>272</v>
      </c>
      <c r="B23" s="302"/>
      <c r="C23" s="302"/>
    </row>
    <row r="25" spans="1:17" x14ac:dyDescent="0.25">
      <c r="A25" s="161" t="s">
        <v>273</v>
      </c>
      <c r="B25" s="161" t="s">
        <v>138</v>
      </c>
      <c r="C25" s="161" t="s">
        <v>139</v>
      </c>
      <c r="E25" s="190" t="s">
        <v>316</v>
      </c>
      <c r="F25" s="1" cm="1">
        <f t="array" ref="F25:Q25">nabla.d.Timelineλ($B$26, $B$27, $B$28)</f>
        <v>45292</v>
      </c>
      <c r="G25" s="1">
        <v>46388</v>
      </c>
      <c r="H25" s="1">
        <v>46753</v>
      </c>
      <c r="I25" s="1">
        <v>47119</v>
      </c>
      <c r="J25" s="1">
        <v>47484</v>
      </c>
      <c r="K25" s="1">
        <v>47849</v>
      </c>
      <c r="L25" s="1">
        <v>48214</v>
      </c>
      <c r="M25" s="1">
        <v>48580</v>
      </c>
      <c r="N25" s="1">
        <v>48945</v>
      </c>
      <c r="O25" s="1">
        <v>49310</v>
      </c>
      <c r="P25" s="1">
        <v>49675</v>
      </c>
      <c r="Q25" s="1">
        <v>50041</v>
      </c>
    </row>
    <row r="26" spans="1:17" x14ac:dyDescent="0.25">
      <c r="A26" t="s">
        <v>236</v>
      </c>
      <c r="B26" s="141">
        <v>46023</v>
      </c>
      <c r="C26" t="s">
        <v>145</v>
      </c>
      <c r="E26" s="201" cm="1">
        <f t="array" ref="E26">nabla.f.IRRλ(_xlfn.ANCHORARRAY(F26),_xlfn.ANCHORARRAY( F25))</f>
        <v>0.28036729693412787</v>
      </c>
      <c r="F26" cm="1">
        <f t="array" ref="F26:Q26">_xlfn.LET(_xlpm.Pad,2,
     _xlpm.Returns, _xlfn.MAKEARRAY(1, 11-_xlpm.Pad, _xlfn.LAMBDA(_xlpm.R,_xlpm.C, 1000 + _xlpm.C * 100)),
     _xlfn.HSTACK(_xlfn.SEQUENCE(,_xlpm.Pad,0,0),-5000, _xlpm.Returns))</f>
        <v>0</v>
      </c>
      <c r="G26">
        <f/>
        <v>0</v>
      </c>
      <c r="H26">
        <f/>
        <v>-4956</v>
      </c>
      <c r="I26">
        <f/>
        <v>1293</v>
      </c>
      <c r="J26">
        <f/>
        <v>1878</v>
      </c>
      <c r="K26">
        <f/>
        <v>1432</v>
      </c>
      <c r="L26">
        <f/>
        <v>1935</v>
      </c>
      <c r="M26">
        <f/>
        <v>1181</v>
      </c>
      <c r="N26">
        <f/>
        <v>1422</v>
      </c>
      <c r="O26">
        <f/>
        <v>1630</v>
      </c>
      <c r="P26">
        <f/>
        <v>2000</v>
      </c>
      <c r="Q26">
        <f/>
        <v>1561</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customProperties>
    <customPr name="Description" r:id="rId1"/>
  </customProperties>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nabla.f.Reversalλ</v>
      </c>
      <c r="B1" s="270"/>
      <c r="C1" s="270"/>
      <c r="D1" s="270"/>
      <c r="E1" s="270"/>
      <c r="F1" s="270"/>
      <c r="G1" s="270"/>
      <c r="H1" s="270"/>
      <c r="I1" s="270"/>
      <c r="J1" s="270"/>
      <c r="K1" s="270"/>
      <c r="L1" s="270"/>
      <c r="M1" s="270"/>
      <c r="N1" s="270"/>
      <c r="O1" s="270"/>
      <c r="P1" s="270"/>
    </row>
    <row r="2" spans="1:18" x14ac:dyDescent="0.25">
      <c r="A2" s="273" t="s">
        <v>434</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nabla.f.Reversalλ()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(nabla.f is assumed to be the module's name)</v>
      </c>
    </row>
    <row r="13" spans="1:18" x14ac:dyDescent="0.25">
      <c r="A13" t="str">
        <v>-100,-110,-130</v>
      </c>
      <c r="B13" t="str">
        <v>=nabla.f.Reversalλ( , {100,110,130})</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7142.9241912123325</v>
      </c>
      <c r="H20" s="192" cm="1">
        <f t="array" ref="H20:S20">_xlfn.MAKEARRAY(COUNTA(_xlfn.ANCHORARRAY(F20)), COUNTA(_xlfn.ANCHORARRAY(H19)), _xlfn.LAMBDA(_xlpm.r,_xlpm.c, 100 + MOD(_xlpm.r * 7 + _xlpm.c * 13, 1000 - 100 + 1)))</f>
        <v>732.20768619107571</v>
      </c>
      <c r="I20">
        <f/>
        <v>664.81291274991247</v>
      </c>
      <c r="J20">
        <f/>
        <v>678.54499095513825</v>
      </c>
      <c r="K20">
        <f/>
        <v>420.05172808471036</v>
      </c>
      <c r="L20">
        <f/>
        <v>315.03509282477467</v>
      </c>
      <c r="M20">
        <f/>
        <v>845.59984272891234</v>
      </c>
      <c r="N20">
        <f/>
        <v>928.23774282094814</v>
      </c>
      <c r="O20">
        <f/>
        <v>281.67400586116889</v>
      </c>
      <c r="P20">
        <f/>
        <v>260.64487231521093</v>
      </c>
      <c r="Q20">
        <f/>
        <v>660.11154686372652</v>
      </c>
      <c r="R20">
        <f/>
        <v>510.60847716856097</v>
      </c>
      <c r="S20">
        <f/>
        <v>845.39529264819339</v>
      </c>
    </row>
    <row r="21" spans="1:19" x14ac:dyDescent="0.25">
      <c r="A21" t="s">
        <v>141</v>
      </c>
      <c r="B21" s="232">
        <v>12</v>
      </c>
      <c r="C21" t="s">
        <v>146</v>
      </c>
      <c r="F21" s="2" t="s">
        <v>435</v>
      </c>
      <c r="G21" cm="1">
        <f t="array" ref="G21">nabla.e.SumRowsλ(_xlfn.ANCHORARRAY(H21))</f>
        <v>-6297.5288985641391</v>
      </c>
      <c r="H21" s="162" cm="1">
        <f t="array" ref="H21:S21">nabla.f.Reversalλ( ,_xlfn.ANCHORARRAY( H20))</f>
        <v>0</v>
      </c>
      <c r="I21">
        <f/>
        <v>-732.20768619107571</v>
      </c>
      <c r="J21">
        <f/>
        <v>-664.81291274991247</v>
      </c>
      <c r="K21">
        <f/>
        <v>-678.54499095513825</v>
      </c>
      <c r="L21">
        <f/>
        <v>-420.05172808471036</v>
      </c>
      <c r="M21">
        <f/>
        <v>-315.03509282477467</v>
      </c>
      <c r="N21">
        <f/>
        <v>-845.59984272891234</v>
      </c>
      <c r="O21">
        <f/>
        <v>-928.23774282094814</v>
      </c>
      <c r="P21">
        <f/>
        <v>-281.67400586116889</v>
      </c>
      <c r="Q21">
        <f/>
        <v>-260.64487231521093</v>
      </c>
      <c r="R21">
        <f/>
        <v>-660.11154686372652</v>
      </c>
      <c r="S21">
        <f/>
        <v>-510.60847716856097</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157A5F"/>
  </sheetPr>
  <dimension ref="A1:R20"/>
  <sheetViews>
    <sheetView showGridLines="0" workbookViewId="0">
      <selection activeCell="A1" sqref="A1"/>
    </sheetView>
  </sheetViews>
  <sheetFormatPr defaultRowHeight="15" x14ac:dyDescent="0.25"/>
  <cols>
    <col min="1" max="1" width="13.85546875" customWidth="1"/>
    <col min="2" max="2" width="11.7109375" customWidth="1"/>
    <col min="5" max="5" width="14.140625" bestFit="1" customWidth="1"/>
    <col min="6" max="6" width="15.5703125" bestFit="1" customWidth="1"/>
    <col min="7" max="7" width="11.140625" bestFit="1" customWidth="1"/>
    <col min="8" max="8" width="11.28515625" bestFit="1" customWidth="1"/>
    <col min="9" max="9" width="11.7109375" bestFit="1" customWidth="1"/>
    <col min="10" max="10" width="11.28515625" bestFit="1" customWidth="1"/>
    <col min="11" max="11" width="12.140625" bestFit="1" customWidth="1"/>
    <col min="12" max="12" width="11.28515625" bestFit="1" customWidth="1"/>
    <col min="13" max="13" width="10.5703125" bestFit="1" customWidth="1"/>
    <col min="14" max="14" width="11.7109375" bestFit="1" customWidth="1"/>
    <col min="15" max="15" width="11.42578125" bestFit="1" customWidth="1"/>
    <col min="16" max="16" width="11.28515625" bestFit="1" customWidth="1"/>
    <col min="17" max="17" width="11.7109375" bestFit="1" customWidth="1"/>
    <col min="18" max="18" width="11.42578125" bestFit="1" customWidth="1"/>
  </cols>
  <sheetData>
    <row r="1" spans="1:16" ht="45.75" x14ac:dyDescent="0.65">
      <c r="A1" s="270" t="str">
        <f>_xlfn.TEXTAFTER(CELL("filename",A1),"]")</f>
        <v>nabla.f.Movementλ</v>
      </c>
      <c r="B1" s="270"/>
      <c r="C1" s="270"/>
      <c r="D1" s="270"/>
      <c r="E1" s="270"/>
      <c r="F1" s="270"/>
      <c r="G1" s="270"/>
      <c r="H1" s="270"/>
      <c r="I1" s="270"/>
      <c r="J1" s="270"/>
      <c r="K1" s="270"/>
      <c r="L1" s="270"/>
      <c r="M1" s="270"/>
      <c r="N1" s="270"/>
      <c r="O1" s="270"/>
      <c r="P1" s="270"/>
    </row>
    <row r="2" spans="1:16" x14ac:dyDescent="0.25">
      <c r="A2" s="273" t="s">
        <v>211</v>
      </c>
      <c r="B2" s="287"/>
      <c r="C2" s="287"/>
      <c r="D2" s="287"/>
      <c r="E2" s="287"/>
      <c r="F2" s="287"/>
      <c r="G2" s="287"/>
      <c r="H2" s="287"/>
      <c r="I2" s="287"/>
      <c r="J2" s="287"/>
      <c r="K2" s="287"/>
      <c r="L2" s="287"/>
      <c r="M2" s="287"/>
      <c r="N2" s="287"/>
      <c r="O2" s="287"/>
      <c r="P2" s="288"/>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nabla.f.Movementλ()</f>
        <v>FUNCTION:</v>
      </c>
      <c r="B4" t="str">
        <v>Movementλ( [BeginningValue], Values)</v>
      </c>
    </row>
    <row r="5" spans="1:16" x14ac:dyDescent="0.25">
      <c r="A5" t="str">
        <v>DESCRIPTION:</v>
      </c>
      <c r="B5" t="str">
        <v>Create a row of differences from column to column</v>
      </c>
    </row>
    <row r="6" spans="1:16" x14ac:dyDescent="0.25">
      <c r="A6" t="str">
        <v>WEBPAGE:</v>
      </c>
      <c r="B6" t="str">
        <v>https://github.com/ryanduguid/Nabla</v>
      </c>
      <c r="G6" s="2"/>
    </row>
    <row r="7" spans="1:16" x14ac:dyDescent="0.25">
      <c r="A7" t="str">
        <v>VERSION:</v>
      </c>
      <c r="B7" t="str">
        <v>18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(nabla.f is assumed to be the module's name)</v>
      </c>
    </row>
    <row r="13" spans="1:16" x14ac:dyDescent="0.25">
      <c r="A13" t="str">
        <v>100,10,20,-30</v>
      </c>
      <c r="B13" t="str">
        <v>=nabla.f.Movementλ(,{100,110,130,100}, 4)</v>
      </c>
    </row>
    <row r="15" spans="1:16" ht="20.25" x14ac:dyDescent="0.3">
      <c r="A15" s="302" t="s">
        <v>272</v>
      </c>
      <c r="B15" s="302"/>
      <c r="C15" s="302"/>
    </row>
    <row r="17" spans="1:18" x14ac:dyDescent="0.25">
      <c r="A17" s="161" t="s">
        <v>273</v>
      </c>
      <c r="B17" s="161" t="s">
        <v>138</v>
      </c>
      <c r="C17" s="161" t="s">
        <v>139</v>
      </c>
      <c r="E17" s="161" t="s">
        <v>131</v>
      </c>
      <c r="F17" s="155" t="s">
        <v>276</v>
      </c>
      <c r="G17" s="156" cm="1">
        <f t="array" ref="G17:R17">nabla.d.Timelineλ($B$18, $B$19, $B$20)</f>
        <v>45292</v>
      </c>
      <c r="H17" s="1">
        <v>46054</v>
      </c>
      <c r="I17" s="1">
        <v>46082</v>
      </c>
      <c r="J17" s="1">
        <v>46113</v>
      </c>
      <c r="K17" s="1">
        <v>46143</v>
      </c>
      <c r="L17" s="1">
        <v>46174</v>
      </c>
      <c r="M17" s="1">
        <v>46204</v>
      </c>
      <c r="N17" s="1">
        <v>46235</v>
      </c>
      <c r="O17" s="1">
        <v>46266</v>
      </c>
      <c r="P17" s="1">
        <v>46296</v>
      </c>
      <c r="Q17" s="1">
        <v>46327</v>
      </c>
      <c r="R17" s="1">
        <v>46357</v>
      </c>
    </row>
    <row r="18" spans="1:18" x14ac:dyDescent="0.25">
      <c r="A18" t="s">
        <v>236</v>
      </c>
      <c r="B18" s="141">
        <v>46023</v>
      </c>
      <c r="C18" t="s">
        <v>145</v>
      </c>
      <c r="E18" t="s">
        <v>63</v>
      </c>
      <c r="F18" cm="1">
        <f t="array" ref="F18">nabla.e.SumRowsλ(_xlfn.ANCHORARRAY(G18))</f>
        <v>-8</v>
      </c>
      <c r="G18" s="192" cm="1">
        <f t="array" ref="G18:R18">_xlfn.MAKEARRAY(COUNTA(_xlfn.ANCHORARRAY(E18)), COUNTA(_xlfn.ANCHORARRAY(G17)), _xlfn.LAMBDA(_xlpm.r,_xlpm.c, -5 + MOD(_xlpm.r * 7 + _xlpm.c * 13, 5 - -5 + 1)))</f>
        <v>0</v>
      </c>
      <c r="H18">
        <f/>
        <v>0</v>
      </c>
      <c r="I18">
        <f/>
        <v>3</v>
      </c>
      <c r="J18">
        <f/>
        <v>-4</v>
      </c>
      <c r="K18">
        <f/>
        <v>-2</v>
      </c>
      <c r="L18">
        <f/>
        <v>0</v>
      </c>
      <c r="M18">
        <f/>
        <v>-5</v>
      </c>
      <c r="N18">
        <f/>
        <v>4</v>
      </c>
      <c r="O18">
        <f/>
        <v>3</v>
      </c>
      <c r="P18">
        <f/>
        <v>-1</v>
      </c>
      <c r="Q18">
        <f/>
        <v>-3</v>
      </c>
      <c r="R18">
        <f/>
        <v>-3</v>
      </c>
    </row>
    <row r="19" spans="1:18" x14ac:dyDescent="0.25">
      <c r="A19" t="s">
        <v>141</v>
      </c>
      <c r="B19">
        <v>12</v>
      </c>
      <c r="C19" t="s">
        <v>146</v>
      </c>
      <c r="E19" s="2" t="s">
        <v>349</v>
      </c>
      <c r="G19" s="162" cm="1">
        <f t="array" ref="G19:R19">nabla.f.Movementλ(F18,_xlfn.ANCHORARRAY(  G18))</f>
        <v>8</v>
      </c>
      <c r="H19">
        <f/>
        <v>0</v>
      </c>
      <c r="I19">
        <f/>
        <v>3</v>
      </c>
      <c r="J19">
        <f/>
        <v>-7</v>
      </c>
      <c r="K19">
        <f/>
        <v>2</v>
      </c>
      <c r="L19">
        <f/>
        <v>2</v>
      </c>
      <c r="M19">
        <f/>
        <v>-5</v>
      </c>
      <c r="N19">
        <f/>
        <v>9</v>
      </c>
      <c r="O19">
        <f/>
        <v>-1</v>
      </c>
      <c r="P19">
        <f/>
        <v>-4</v>
      </c>
      <c r="Q19">
        <f/>
        <v>-2</v>
      </c>
      <c r="R19">
        <f/>
        <v>0</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customProperties>
    <customPr name="Description" r:id="rId1"/>
  </customProperties>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157A5F"/>
  </sheetPr>
  <dimension ref="A1:S34"/>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8" ht="45.75" x14ac:dyDescent="0.65">
      <c r="A1" s="270" t="str">
        <f>_xlfn.TEXTAFTER(CELL("filename",A1),"]")</f>
        <v>nabla.f.RollingSumλ</v>
      </c>
      <c r="B1" s="270"/>
      <c r="C1" s="270"/>
      <c r="D1" s="270"/>
      <c r="E1" s="270"/>
      <c r="F1" s="270"/>
      <c r="G1" s="270"/>
      <c r="H1" s="270"/>
      <c r="I1" s="270"/>
      <c r="J1" s="270"/>
      <c r="K1" s="270"/>
      <c r="L1" s="270"/>
      <c r="M1" s="270"/>
      <c r="N1" s="270"/>
      <c r="O1" s="270"/>
      <c r="P1" s="270"/>
    </row>
    <row r="2" spans="1:18" x14ac:dyDescent="0.25">
      <c r="A2" s="273" t="s">
        <v>370</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nabla.f.RollingSumλ()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(nabla.f is assumed to be the module's name)</v>
      </c>
    </row>
    <row r="15" spans="1:18" x14ac:dyDescent="0.25">
      <c r="A15" t="str">
        <v>1,3,6,9,12</v>
      </c>
      <c r="B15" t="str">
        <v>=nabla.f.RollingMinλ(SEQUENCE(, 5), 3)</v>
      </c>
    </row>
    <row r="17" spans="1:19" ht="20.25" x14ac:dyDescent="0.3">
      <c r="A17" s="302" t="s">
        <v>272</v>
      </c>
      <c r="B17" s="302"/>
      <c r="C17" s="302"/>
    </row>
    <row r="19" spans="1:19" x14ac:dyDescent="0.25">
      <c r="A19" s="161" t="s">
        <v>273</v>
      </c>
      <c r="B19" s="161" t="s">
        <v>138</v>
      </c>
      <c r="C19" s="161" t="s">
        <v>139</v>
      </c>
      <c r="F19" s="161" t="s">
        <v>131</v>
      </c>
      <c r="G19" s="155" t="s">
        <v>276</v>
      </c>
      <c r="H19" s="156" cm="1">
        <f t="array" ref="H19:S19">nabla.d.Timelineλ($B$20, $B$21, $B$22)</f>
        <v>45292</v>
      </c>
      <c r="I19" s="1">
        <v>46054</v>
      </c>
      <c r="J19" s="1">
        <v>46082</v>
      </c>
      <c r="K19" s="1">
        <v>46113</v>
      </c>
      <c r="L19" s="1">
        <v>46143</v>
      </c>
      <c r="M19" s="1">
        <v>46174</v>
      </c>
      <c r="N19" s="1">
        <v>46204</v>
      </c>
      <c r="O19" s="1">
        <v>46235</v>
      </c>
      <c r="P19" s="1">
        <v>46266</v>
      </c>
      <c r="Q19" s="1">
        <v>46296</v>
      </c>
      <c r="R19" s="1">
        <v>46327</v>
      </c>
      <c r="S19" s="1">
        <v>46357</v>
      </c>
    </row>
    <row r="20" spans="1:19" x14ac:dyDescent="0.25">
      <c r="A20" t="s">
        <v>236</v>
      </c>
      <c r="B20" s="231">
        <v>46023</v>
      </c>
      <c r="C20" t="s">
        <v>145</v>
      </c>
      <c r="F20" t="s">
        <v>63</v>
      </c>
      <c r="G20" cm="1">
        <f t="array" ref="G20">nabla.e.SumRowsλ(_xlfn.ANCHORARRAY(H20))</f>
        <v>6.0281960697663513</v>
      </c>
      <c r="H20" s="192" cm="1">
        <f t="array" ref="H20:S20">_xlfn.MAKEARRAY(COUNTA(_xlfn.ANCHORARRAY(F20)), COUNTA(_xlfn.ANCHORARRAY(H19)), _xlfn.LAMBDA(_xlpm.r,_xlpm.c, MOD(_xlpm.r * 7 + _xlpm.c * 13, 100) / 100))</f>
        <v>0.43683807434428656</v>
      </c>
      <c r="I20">
        <f/>
        <v>0.28715954643504515</v>
      </c>
      <c r="J20">
        <f/>
        <v>1.9980972229231231E-2</v>
      </c>
      <c r="K20">
        <f/>
        <v>0.82063092129802206</v>
      </c>
      <c r="L20">
        <f/>
        <v>0.8376637221940586</v>
      </c>
      <c r="M20">
        <f/>
        <v>0.57283282421417003</v>
      </c>
      <c r="N20">
        <f/>
        <v>0.73231633620089398</v>
      </c>
      <c r="O20">
        <f/>
        <v>0.36322445324777664</v>
      </c>
      <c r="P20">
        <f/>
        <v>0.63056039404886</v>
      </c>
      <c r="Q20">
        <f/>
        <v>0.13250320658546388</v>
      </c>
      <c r="R20">
        <f/>
        <v>0.93176878919579065</v>
      </c>
      <c r="S20">
        <f/>
        <v>0.26271682977275179</v>
      </c>
    </row>
    <row r="21" spans="1:19" x14ac:dyDescent="0.25">
      <c r="A21" t="s">
        <v>141</v>
      </c>
      <c r="B21" s="232">
        <v>12</v>
      </c>
      <c r="C21" t="s">
        <v>146</v>
      </c>
      <c r="F21" s="2" t="s">
        <v>348</v>
      </c>
      <c r="H21" s="162" cm="1">
        <f t="array" ref="H21:S21">nabla.f.RollingSumλ(_xlfn.ANCHORARRAY(H20), 4)</f>
        <v>0.43683807434428656</v>
      </c>
      <c r="I21">
        <f/>
        <v>0.72399762077933172</v>
      </c>
      <c r="J21">
        <f/>
        <v>0.74397859300856295</v>
      </c>
      <c r="K21">
        <f/>
        <v>1.564609514306585</v>
      </c>
      <c r="L21">
        <f/>
        <v>1.9654351621563571</v>
      </c>
      <c r="M21">
        <f/>
        <v>2.2511084399354822</v>
      </c>
      <c r="N21">
        <f/>
        <v>2.9634438039071442</v>
      </c>
      <c r="O21">
        <f/>
        <v>2.5060373358568997</v>
      </c>
      <c r="P21">
        <f/>
        <v>2.2989340077117006</v>
      </c>
      <c r="Q21">
        <f/>
        <v>1.8586043900829945</v>
      </c>
      <c r="R21">
        <f/>
        <v>2.0580568430778912</v>
      </c>
      <c r="S21">
        <f/>
        <v>1.9575492196028663</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customProperties>
    <customPr name="Description" r:id="rId1"/>
  </customProperties>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157A5F"/>
  </sheetPr>
  <dimension ref="A1:NI38"/>
  <sheetViews>
    <sheetView showGridLines="0" workbookViewId="0">
      <selection activeCell="A1" sqref="A1"/>
    </sheetView>
  </sheetViews>
  <sheetFormatPr defaultRowHeight="15" x14ac:dyDescent="0.25"/>
  <cols>
    <col min="1" max="1" width="24" bestFit="1" customWidth="1"/>
    <col min="3" max="3" width="8.7109375" bestFit="1" customWidth="1"/>
    <col min="4" max="5" width="10.5703125" bestFit="1" customWidth="1"/>
    <col min="7" max="7" width="21.140625" bestFit="1" customWidth="1"/>
    <col min="8" max="8" width="14.42578125" bestFit="1" customWidth="1"/>
    <col min="9" max="9" width="10.140625" bestFit="1" customWidth="1"/>
    <col min="10" max="10" width="10.28515625" bestFit="1" customWidth="1"/>
    <col min="11" max="11" width="10.7109375" bestFit="1" customWidth="1"/>
    <col min="12" max="12" width="10.28515625" bestFit="1" customWidth="1"/>
    <col min="13" max="13" width="11.140625" bestFit="1" customWidth="1"/>
    <col min="14" max="14" width="10.28515625" bestFit="1" customWidth="1"/>
    <col min="15" max="15" width="10.140625" bestFit="1" customWidth="1"/>
    <col min="16" max="16" width="10.7109375" bestFit="1" customWidth="1"/>
    <col min="17" max="17" width="10.42578125" bestFit="1" customWidth="1"/>
    <col min="18" max="39" width="11.140625" bestFit="1" customWidth="1"/>
    <col min="40" max="48" width="10.28515625" bestFit="1" customWidth="1"/>
    <col min="49" max="68" width="11.28515625" bestFit="1" customWidth="1"/>
    <col min="69" max="77" width="10.7109375" bestFit="1" customWidth="1"/>
    <col min="78" max="99" width="11.7109375" bestFit="1" customWidth="1"/>
    <col min="100" max="108" width="10.28515625" bestFit="1" customWidth="1"/>
    <col min="109" max="129" width="11.28515625" bestFit="1" customWidth="1"/>
    <col min="130" max="138" width="11.140625" bestFit="1" customWidth="1"/>
    <col min="139" max="160" width="12.140625" bestFit="1" customWidth="1"/>
    <col min="161" max="169" width="10.28515625" bestFit="1" customWidth="1"/>
    <col min="170" max="190" width="11.28515625" bestFit="1" customWidth="1"/>
    <col min="191" max="199" width="9.5703125" bestFit="1" customWidth="1"/>
    <col min="200" max="221" width="10.5703125" bestFit="1" customWidth="1"/>
    <col min="222" max="230" width="10.7109375" bestFit="1" customWidth="1"/>
    <col min="231" max="252" width="11.7109375" bestFit="1" customWidth="1"/>
    <col min="253" max="261" width="10.42578125" bestFit="1" customWidth="1"/>
    <col min="262" max="282" width="11.42578125" bestFit="1" customWidth="1"/>
    <col min="283" max="291" width="10.28515625" bestFit="1" customWidth="1"/>
    <col min="292" max="313" width="11.28515625" bestFit="1" customWidth="1"/>
    <col min="314" max="322" width="10.7109375" bestFit="1" customWidth="1"/>
    <col min="323" max="343" width="11.7109375" bestFit="1" customWidth="1"/>
    <col min="344" max="352" width="10.42578125" bestFit="1" customWidth="1"/>
    <col min="353" max="373" width="11.42578125" bestFit="1" customWidth="1"/>
  </cols>
  <sheetData>
    <row r="1" spans="1:17" ht="45.75" x14ac:dyDescent="0.65">
      <c r="A1" s="270" t="str">
        <f>_xlfn.TEXTAFTER(CELL("filename",A1),"]")</f>
        <v>nabla.f.SumPeriodsλ</v>
      </c>
      <c r="B1" s="270"/>
      <c r="C1" s="270"/>
      <c r="D1" s="270"/>
      <c r="E1" s="270"/>
      <c r="F1" s="270"/>
      <c r="G1" s="270"/>
      <c r="H1" s="270"/>
      <c r="I1" s="270"/>
      <c r="J1" s="270"/>
      <c r="K1" s="270"/>
      <c r="L1" s="270"/>
      <c r="M1" s="270"/>
      <c r="N1" s="270"/>
      <c r="O1" s="270"/>
      <c r="P1" s="270"/>
      <c r="Q1" s="270"/>
    </row>
    <row r="2" spans="1:17" x14ac:dyDescent="0.25">
      <c r="A2" s="273" t="s">
        <v>214</v>
      </c>
      <c r="B2" s="287"/>
      <c r="C2" s="287"/>
      <c r="D2" s="287"/>
      <c r="E2" s="287"/>
      <c r="F2" s="287"/>
      <c r="G2" s="287"/>
      <c r="H2" s="287"/>
      <c r="I2" s="287"/>
      <c r="J2" s="287"/>
      <c r="K2" s="287"/>
      <c r="L2" s="287"/>
      <c r="M2" s="287"/>
      <c r="N2" s="287"/>
      <c r="O2" s="288"/>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7">nabla.f.SumPeriodsλ()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VERSION:</v>
      </c>
      <c r="B7" t="str">
        <v>18 Aug 2026</v>
      </c>
    </row>
    <row r="8" spans="1:17" x14ac:dyDescent="0.25">
      <c r="A8" t="str">
        <v>WEBPAGE:</v>
      </c>
      <c r="B8" t="str">
        <v>https://github.com/ryanduguid/Nabla</v>
      </c>
    </row>
    <row r="9" spans="1:17" x14ac:dyDescent="0.25">
      <c r="A9" t="str">
        <v>PARAMETERS:</v>
      </c>
      <c r="B9" t="str">
        <v/>
      </c>
    </row>
    <row r="10" spans="1:17" x14ac:dyDescent="0.25">
      <c r="A10" t="str">
        <v>Values</v>
      </c>
      <c r="B10" t="str">
        <v>(Required) A two dimensional array/range containing values to be summed whereeach column is for a specific day</v>
      </c>
    </row>
    <row r="11" spans="1:17" x14ac:dyDescent="0.25">
      <c r="A11" t="str">
        <v>Dates</v>
      </c>
      <c r="B11" t="str">
        <v>(Required) A row of dates providing the date for each Values column</v>
      </c>
    </row>
    <row r="12" spans="1:17" x14ac:dyDescent="0.25">
      <c r="A12" t="str">
        <v>PeriodStarts</v>
      </c>
      <c r="B12" t="str">
        <v>(Required) A row of period start dates</v>
      </c>
    </row>
    <row r="13" spans="1:17" x14ac:dyDescent="0.25">
      <c r="A13" t="str">
        <v>EXAMPLES:</v>
      </c>
      <c r="B13" t="str">
        <v/>
      </c>
    </row>
    <row r="14" spans="1:17" x14ac:dyDescent="0.25">
      <c r="A14" t="str">
        <v>Result</v>
      </c>
      <c r="B14" t="str">
        <v>Formula (nabla.f is assumed to be the module's name)</v>
      </c>
    </row>
    <row r="15" spans="1:17" x14ac:dyDescent="0.25">
      <c r="A15" t="str">
        <v>03, 07</v>
      </c>
      <c r="B15" t="str">
        <v>=nabla.f.SumPeriodsλ({1,2,3,4;4,3,2,1;10,20,30,40}, {1,2,3,4}, {1,3})</v>
      </c>
    </row>
    <row r="16" spans="1:17" x14ac:dyDescent="0.25">
      <c r="A16" t="str">
        <v>07, 03</v>
      </c>
      <c r="B16" t="str">
        <v/>
      </c>
    </row>
    <row r="17" spans="1:373" x14ac:dyDescent="0.25">
      <c r="A17" t="str">
        <v>30, 70</v>
      </c>
      <c r="B17"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18" t="s">
        <v>221</v>
      </c>
      <c r="B21" s="318"/>
      <c r="C21" s="318"/>
      <c r="D21" s="318"/>
      <c r="E21" s="318"/>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nabla.d.Timelineλ("1/1/2026", 365, "D")</f>
        <v>45292</v>
      </c>
      <c r="J22" s="156">
        <v>46024</v>
      </c>
      <c r="K22" s="156">
        <v>46025</v>
      </c>
      <c r="L22" s="156">
        <v>46026</v>
      </c>
      <c r="M22" s="156">
        <v>46027</v>
      </c>
      <c r="N22" s="156">
        <v>46028</v>
      </c>
      <c r="O22" s="156">
        <v>46029</v>
      </c>
      <c r="P22" s="156">
        <v>46030</v>
      </c>
      <c r="Q22" s="156">
        <v>46031</v>
      </c>
      <c r="R22" s="156">
        <v>46032</v>
      </c>
      <c r="S22" s="156">
        <v>46033</v>
      </c>
      <c r="T22" s="156">
        <v>46034</v>
      </c>
      <c r="U22" s="156">
        <v>46035</v>
      </c>
      <c r="V22" s="156">
        <v>46036</v>
      </c>
      <c r="W22" s="156">
        <v>46037</v>
      </c>
      <c r="X22" s="156">
        <v>46038</v>
      </c>
      <c r="Y22" s="156">
        <v>46039</v>
      </c>
      <c r="Z22" s="156">
        <v>46040</v>
      </c>
      <c r="AA22" s="156">
        <v>46041</v>
      </c>
      <c r="AB22" s="156">
        <v>46042</v>
      </c>
      <c r="AC22" s="156">
        <v>46043</v>
      </c>
      <c r="AD22" s="156">
        <v>46044</v>
      </c>
      <c r="AE22" s="156">
        <v>46045</v>
      </c>
      <c r="AF22" s="156">
        <v>46046</v>
      </c>
      <c r="AG22" s="156">
        <v>46047</v>
      </c>
      <c r="AH22" s="156">
        <v>46048</v>
      </c>
      <c r="AI22" s="156">
        <v>46049</v>
      </c>
      <c r="AJ22" s="156">
        <v>46050</v>
      </c>
      <c r="AK22" s="156">
        <v>46051</v>
      </c>
      <c r="AL22" s="156">
        <v>46052</v>
      </c>
      <c r="AM22" s="156">
        <v>46053</v>
      </c>
      <c r="AN22" s="156">
        <v>46054</v>
      </c>
      <c r="AO22" s="156">
        <v>46055</v>
      </c>
      <c r="AP22" s="156">
        <v>46056</v>
      </c>
      <c r="AQ22" s="156">
        <v>46057</v>
      </c>
      <c r="AR22" s="156">
        <v>46058</v>
      </c>
      <c r="AS22" s="156">
        <v>46059</v>
      </c>
      <c r="AT22" s="156">
        <v>46060</v>
      </c>
      <c r="AU22" s="156">
        <v>46061</v>
      </c>
      <c r="AV22" s="156">
        <v>46062</v>
      </c>
      <c r="AW22" s="156">
        <v>46063</v>
      </c>
      <c r="AX22" s="156">
        <v>46064</v>
      </c>
      <c r="AY22" s="156">
        <v>46065</v>
      </c>
      <c r="AZ22" s="156">
        <v>46066</v>
      </c>
      <c r="BA22" s="156">
        <v>46067</v>
      </c>
      <c r="BB22" s="156">
        <v>46068</v>
      </c>
      <c r="BC22" s="156">
        <v>46069</v>
      </c>
      <c r="BD22" s="156">
        <v>46070</v>
      </c>
      <c r="BE22" s="156">
        <v>46071</v>
      </c>
      <c r="BF22" s="156">
        <v>46072</v>
      </c>
      <c r="BG22" s="156">
        <v>46073</v>
      </c>
      <c r="BH22" s="156">
        <v>46074</v>
      </c>
      <c r="BI22" s="156">
        <v>46075</v>
      </c>
      <c r="BJ22" s="156">
        <v>46076</v>
      </c>
      <c r="BK22" s="156">
        <v>46077</v>
      </c>
      <c r="BL22" s="156">
        <v>46078</v>
      </c>
      <c r="BM22" s="156">
        <v>46079</v>
      </c>
      <c r="BN22" s="156">
        <v>46080</v>
      </c>
      <c r="BO22" s="156">
        <v>46081</v>
      </c>
      <c r="BP22" s="156">
        <v>46081</v>
      </c>
      <c r="BQ22" s="156">
        <v>46082</v>
      </c>
      <c r="BR22" s="156">
        <v>46083</v>
      </c>
      <c r="BS22" s="156">
        <v>46084</v>
      </c>
      <c r="BT22" s="156">
        <v>46085</v>
      </c>
      <c r="BU22" s="156">
        <v>46086</v>
      </c>
      <c r="BV22" s="156">
        <v>46087</v>
      </c>
      <c r="BW22" s="156">
        <v>46088</v>
      </c>
      <c r="BX22" s="156">
        <v>46089</v>
      </c>
      <c r="BY22" s="156">
        <v>46090</v>
      </c>
      <c r="BZ22" s="156">
        <v>46091</v>
      </c>
      <c r="CA22" s="156">
        <v>46092</v>
      </c>
      <c r="CB22" s="156">
        <v>46093</v>
      </c>
      <c r="CC22" s="156">
        <v>46094</v>
      </c>
      <c r="CD22" s="156">
        <v>46095</v>
      </c>
      <c r="CE22" s="156">
        <v>46096</v>
      </c>
      <c r="CF22" s="156">
        <v>46097</v>
      </c>
      <c r="CG22" s="156">
        <v>46098</v>
      </c>
      <c r="CH22" s="156">
        <v>46099</v>
      </c>
      <c r="CI22" s="156">
        <v>46100</v>
      </c>
      <c r="CJ22" s="156">
        <v>46101</v>
      </c>
      <c r="CK22" s="156">
        <v>46102</v>
      </c>
      <c r="CL22" s="156">
        <v>46103</v>
      </c>
      <c r="CM22" s="156">
        <v>46104</v>
      </c>
      <c r="CN22" s="156">
        <v>46105</v>
      </c>
      <c r="CO22" s="156">
        <v>46106</v>
      </c>
      <c r="CP22" s="156">
        <v>46107</v>
      </c>
      <c r="CQ22" s="156">
        <v>46108</v>
      </c>
      <c r="CR22" s="156">
        <v>46109</v>
      </c>
      <c r="CS22" s="156">
        <v>46110</v>
      </c>
      <c r="CT22" s="156">
        <v>46111</v>
      </c>
      <c r="CU22" s="156">
        <v>46112</v>
      </c>
      <c r="CV22" s="156">
        <v>46113</v>
      </c>
      <c r="CW22" s="156">
        <v>46114</v>
      </c>
      <c r="CX22" s="156">
        <v>46115</v>
      </c>
      <c r="CY22" s="156">
        <v>46116</v>
      </c>
      <c r="CZ22" s="156">
        <v>46117</v>
      </c>
      <c r="DA22" s="156">
        <v>46118</v>
      </c>
      <c r="DB22" s="156">
        <v>46119</v>
      </c>
      <c r="DC22" s="156">
        <v>46120</v>
      </c>
      <c r="DD22" s="156">
        <v>46121</v>
      </c>
      <c r="DE22" s="156">
        <v>46122</v>
      </c>
      <c r="DF22" s="156">
        <v>46123</v>
      </c>
      <c r="DG22" s="156">
        <v>46124</v>
      </c>
      <c r="DH22" s="156">
        <v>46125</v>
      </c>
      <c r="DI22" s="156">
        <v>46126</v>
      </c>
      <c r="DJ22" s="156">
        <v>46127</v>
      </c>
      <c r="DK22" s="156">
        <v>46128</v>
      </c>
      <c r="DL22" s="156">
        <v>46129</v>
      </c>
      <c r="DM22" s="156">
        <v>46130</v>
      </c>
      <c r="DN22" s="156">
        <v>46131</v>
      </c>
      <c r="DO22" s="156">
        <v>46132</v>
      </c>
      <c r="DP22" s="156">
        <v>46133</v>
      </c>
      <c r="DQ22" s="156">
        <v>46134</v>
      </c>
      <c r="DR22" s="156">
        <v>46135</v>
      </c>
      <c r="DS22" s="156">
        <v>46136</v>
      </c>
      <c r="DT22" s="156">
        <v>46137</v>
      </c>
      <c r="DU22" s="156">
        <v>46138</v>
      </c>
      <c r="DV22" s="156">
        <v>46139</v>
      </c>
      <c r="DW22" s="156">
        <v>46140</v>
      </c>
      <c r="DX22" s="156">
        <v>46141</v>
      </c>
      <c r="DY22" s="156">
        <v>46142</v>
      </c>
      <c r="DZ22" s="156">
        <v>46143</v>
      </c>
      <c r="EA22" s="156">
        <v>46144</v>
      </c>
      <c r="EB22" s="156">
        <v>46145</v>
      </c>
      <c r="EC22" s="156">
        <v>46146</v>
      </c>
      <c r="ED22" s="156">
        <v>46147</v>
      </c>
      <c r="EE22" s="156">
        <v>46148</v>
      </c>
      <c r="EF22" s="156">
        <v>46149</v>
      </c>
      <c r="EG22" s="156">
        <v>46150</v>
      </c>
      <c r="EH22" s="156">
        <v>46151</v>
      </c>
      <c r="EI22" s="156">
        <v>46152</v>
      </c>
      <c r="EJ22" s="156">
        <v>46153</v>
      </c>
      <c r="EK22" s="156">
        <v>46154</v>
      </c>
      <c r="EL22" s="156">
        <v>46155</v>
      </c>
      <c r="EM22" s="156">
        <v>46156</v>
      </c>
      <c r="EN22" s="156">
        <v>46157</v>
      </c>
      <c r="EO22" s="156">
        <v>46158</v>
      </c>
      <c r="EP22" s="156">
        <v>46159</v>
      </c>
      <c r="EQ22" s="156">
        <v>46160</v>
      </c>
      <c r="ER22" s="156">
        <v>46161</v>
      </c>
      <c r="ES22" s="156">
        <v>46162</v>
      </c>
      <c r="ET22" s="156">
        <v>46163</v>
      </c>
      <c r="EU22" s="156">
        <v>46164</v>
      </c>
      <c r="EV22" s="156">
        <v>46165</v>
      </c>
      <c r="EW22" s="156">
        <v>46166</v>
      </c>
      <c r="EX22" s="156">
        <v>46167</v>
      </c>
      <c r="EY22" s="156">
        <v>46168</v>
      </c>
      <c r="EZ22" s="156">
        <v>46169</v>
      </c>
      <c r="FA22" s="156">
        <v>46170</v>
      </c>
      <c r="FB22" s="156">
        <v>46171</v>
      </c>
      <c r="FC22" s="156">
        <v>46172</v>
      </c>
      <c r="FD22" s="156">
        <v>46173</v>
      </c>
      <c r="FE22" s="156">
        <v>46174</v>
      </c>
      <c r="FF22" s="156">
        <v>46175</v>
      </c>
      <c r="FG22" s="156">
        <v>46176</v>
      </c>
      <c r="FH22" s="156">
        <v>46177</v>
      </c>
      <c r="FI22" s="156">
        <v>46178</v>
      </c>
      <c r="FJ22" s="156">
        <v>46179</v>
      </c>
      <c r="FK22" s="156">
        <v>46180</v>
      </c>
      <c r="FL22" s="156">
        <v>46181</v>
      </c>
      <c r="FM22" s="156">
        <v>46182</v>
      </c>
      <c r="FN22" s="156">
        <v>46183</v>
      </c>
      <c r="FO22" s="156">
        <v>46184</v>
      </c>
      <c r="FP22" s="156">
        <v>46185</v>
      </c>
      <c r="FQ22" s="156">
        <v>46186</v>
      </c>
      <c r="FR22" s="156">
        <v>46187</v>
      </c>
      <c r="FS22" s="156">
        <v>46188</v>
      </c>
      <c r="FT22" s="156">
        <v>46189</v>
      </c>
      <c r="FU22" s="156">
        <v>46190</v>
      </c>
      <c r="FV22" s="156">
        <v>46191</v>
      </c>
      <c r="FW22" s="156">
        <v>46192</v>
      </c>
      <c r="FX22" s="156">
        <v>46193</v>
      </c>
      <c r="FY22" s="156">
        <v>46194</v>
      </c>
      <c r="FZ22" s="156">
        <v>46195</v>
      </c>
      <c r="GA22" s="156">
        <v>46196</v>
      </c>
      <c r="GB22" s="156">
        <v>46197</v>
      </c>
      <c r="GC22" s="156">
        <v>46198</v>
      </c>
      <c r="GD22" s="156">
        <v>46199</v>
      </c>
      <c r="GE22" s="156">
        <v>46200</v>
      </c>
      <c r="GF22" s="156">
        <v>46201</v>
      </c>
      <c r="GG22" s="156">
        <v>46202</v>
      </c>
      <c r="GH22" s="156">
        <v>46203</v>
      </c>
      <c r="GI22" s="156">
        <v>46204</v>
      </c>
      <c r="GJ22" s="156">
        <v>46205</v>
      </c>
      <c r="GK22" s="156">
        <v>46206</v>
      </c>
      <c r="GL22" s="156">
        <v>46207</v>
      </c>
      <c r="GM22" s="156">
        <v>46208</v>
      </c>
      <c r="GN22" s="156">
        <v>46209</v>
      </c>
      <c r="GO22" s="156">
        <v>46210</v>
      </c>
      <c r="GP22" s="156">
        <v>46211</v>
      </c>
      <c r="GQ22" s="156">
        <v>46212</v>
      </c>
      <c r="GR22" s="156">
        <v>46213</v>
      </c>
      <c r="GS22" s="156">
        <v>46214</v>
      </c>
      <c r="GT22" s="156">
        <v>46215</v>
      </c>
      <c r="GU22" s="156">
        <v>46216</v>
      </c>
      <c r="GV22" s="156">
        <v>46217</v>
      </c>
      <c r="GW22" s="156">
        <v>46218</v>
      </c>
      <c r="GX22" s="156">
        <v>46219</v>
      </c>
      <c r="GY22" s="156">
        <v>46220</v>
      </c>
      <c r="GZ22" s="156">
        <v>46221</v>
      </c>
      <c r="HA22" s="156">
        <v>46222</v>
      </c>
      <c r="HB22" s="156">
        <v>46223</v>
      </c>
      <c r="HC22" s="156">
        <v>46224</v>
      </c>
      <c r="HD22" s="156">
        <v>46225</v>
      </c>
      <c r="HE22" s="156">
        <v>46226</v>
      </c>
      <c r="HF22" s="156">
        <v>46227</v>
      </c>
      <c r="HG22" s="156">
        <v>46228</v>
      </c>
      <c r="HH22" s="156">
        <v>46229</v>
      </c>
      <c r="HI22" s="156">
        <v>46230</v>
      </c>
      <c r="HJ22" s="156">
        <v>46231</v>
      </c>
      <c r="HK22" s="156">
        <v>46232</v>
      </c>
      <c r="HL22" s="156">
        <v>46233</v>
      </c>
      <c r="HM22" s="156">
        <v>46234</v>
      </c>
      <c r="HN22" s="156">
        <v>46235</v>
      </c>
      <c r="HO22" s="156">
        <v>46236</v>
      </c>
      <c r="HP22" s="156">
        <v>46237</v>
      </c>
      <c r="HQ22" s="156">
        <v>46238</v>
      </c>
      <c r="HR22" s="156">
        <v>46239</v>
      </c>
      <c r="HS22" s="156">
        <v>46240</v>
      </c>
      <c r="HT22" s="156">
        <v>46241</v>
      </c>
      <c r="HU22" s="156">
        <v>46242</v>
      </c>
      <c r="HV22" s="156">
        <v>46243</v>
      </c>
      <c r="HW22" s="156">
        <v>46244</v>
      </c>
      <c r="HX22" s="156">
        <v>46245</v>
      </c>
      <c r="HY22" s="156">
        <v>46246</v>
      </c>
      <c r="HZ22" s="156">
        <v>46247</v>
      </c>
      <c r="IA22" s="156">
        <v>46248</v>
      </c>
      <c r="IB22" s="156">
        <v>46249</v>
      </c>
      <c r="IC22" s="156">
        <v>46250</v>
      </c>
      <c r="ID22" s="156">
        <v>46251</v>
      </c>
      <c r="IE22" s="156">
        <v>46252</v>
      </c>
      <c r="IF22" s="156">
        <v>46253</v>
      </c>
      <c r="IG22" s="156">
        <v>46254</v>
      </c>
      <c r="IH22" s="156">
        <v>46255</v>
      </c>
      <c r="II22" s="156">
        <v>46256</v>
      </c>
      <c r="IJ22" s="156">
        <v>46257</v>
      </c>
      <c r="IK22" s="156">
        <v>46258</v>
      </c>
      <c r="IL22" s="156">
        <v>46259</v>
      </c>
      <c r="IM22" s="156">
        <v>46260</v>
      </c>
      <c r="IN22" s="156">
        <v>46261</v>
      </c>
      <c r="IO22" s="156">
        <v>46262</v>
      </c>
      <c r="IP22" s="156">
        <v>46263</v>
      </c>
      <c r="IQ22" s="156">
        <v>46264</v>
      </c>
      <c r="IR22" s="156">
        <v>46265</v>
      </c>
      <c r="IS22" s="156">
        <v>46266</v>
      </c>
      <c r="IT22" s="156">
        <v>46267</v>
      </c>
      <c r="IU22" s="156">
        <v>46268</v>
      </c>
      <c r="IV22" s="156">
        <v>46269</v>
      </c>
      <c r="IW22" s="156">
        <v>46270</v>
      </c>
      <c r="IX22" s="156">
        <v>46271</v>
      </c>
      <c r="IY22" s="156">
        <v>46272</v>
      </c>
      <c r="IZ22" s="156">
        <v>46273</v>
      </c>
      <c r="JA22" s="156">
        <v>46274</v>
      </c>
      <c r="JB22" s="156">
        <v>46275</v>
      </c>
      <c r="JC22" s="156">
        <v>46276</v>
      </c>
      <c r="JD22" s="156">
        <v>46277</v>
      </c>
      <c r="JE22" s="156">
        <v>46278</v>
      </c>
      <c r="JF22" s="156">
        <v>46279</v>
      </c>
      <c r="JG22" s="156">
        <v>46280</v>
      </c>
      <c r="JH22" s="156">
        <v>46281</v>
      </c>
      <c r="JI22" s="156">
        <v>46282</v>
      </c>
      <c r="JJ22" s="156">
        <v>46283</v>
      </c>
      <c r="JK22" s="156">
        <v>46284</v>
      </c>
      <c r="JL22" s="156">
        <v>46285</v>
      </c>
      <c r="JM22" s="156">
        <v>46286</v>
      </c>
      <c r="JN22" s="156">
        <v>46287</v>
      </c>
      <c r="JO22" s="156">
        <v>46288</v>
      </c>
      <c r="JP22" s="156">
        <v>46289</v>
      </c>
      <c r="JQ22" s="156">
        <v>46290</v>
      </c>
      <c r="JR22" s="156">
        <v>46291</v>
      </c>
      <c r="JS22" s="156">
        <v>46292</v>
      </c>
      <c r="JT22" s="156">
        <v>46293</v>
      </c>
      <c r="JU22" s="156">
        <v>46294</v>
      </c>
      <c r="JV22" s="156">
        <v>46295</v>
      </c>
      <c r="JW22" s="156">
        <v>46296</v>
      </c>
      <c r="JX22" s="156">
        <v>46297</v>
      </c>
      <c r="JY22" s="156">
        <v>46298</v>
      </c>
      <c r="JZ22" s="156">
        <v>46299</v>
      </c>
      <c r="KA22" s="156">
        <v>46300</v>
      </c>
      <c r="KB22" s="156">
        <v>46301</v>
      </c>
      <c r="KC22" s="156">
        <v>46302</v>
      </c>
      <c r="KD22" s="156">
        <v>46303</v>
      </c>
      <c r="KE22" s="156">
        <v>46304</v>
      </c>
      <c r="KF22" s="156">
        <v>46305</v>
      </c>
      <c r="KG22" s="156">
        <v>46306</v>
      </c>
      <c r="KH22" s="156">
        <v>46307</v>
      </c>
      <c r="KI22" s="156">
        <v>46308</v>
      </c>
      <c r="KJ22" s="156">
        <v>46309</v>
      </c>
      <c r="KK22" s="156">
        <v>46310</v>
      </c>
      <c r="KL22" s="156">
        <v>46311</v>
      </c>
      <c r="KM22" s="156">
        <v>46312</v>
      </c>
      <c r="KN22" s="156">
        <v>46313</v>
      </c>
      <c r="KO22" s="156">
        <v>46314</v>
      </c>
      <c r="KP22" s="156">
        <v>46315</v>
      </c>
      <c r="KQ22" s="156">
        <v>46316</v>
      </c>
      <c r="KR22" s="156">
        <v>46317</v>
      </c>
      <c r="KS22" s="156">
        <v>46318</v>
      </c>
      <c r="KT22" s="156">
        <v>46319</v>
      </c>
      <c r="KU22" s="156">
        <v>46320</v>
      </c>
      <c r="KV22" s="156">
        <v>46321</v>
      </c>
      <c r="KW22" s="156">
        <v>46322</v>
      </c>
      <c r="KX22" s="156">
        <v>46323</v>
      </c>
      <c r="KY22" s="156">
        <v>46324</v>
      </c>
      <c r="KZ22" s="156">
        <v>46325</v>
      </c>
      <c r="LA22" s="156">
        <v>46326</v>
      </c>
      <c r="LB22" s="156">
        <v>46327</v>
      </c>
      <c r="LC22" s="156">
        <v>46328</v>
      </c>
      <c r="LD22" s="156">
        <v>46329</v>
      </c>
      <c r="LE22" s="156">
        <v>46330</v>
      </c>
      <c r="LF22" s="156">
        <v>46331</v>
      </c>
      <c r="LG22" s="156">
        <v>46332</v>
      </c>
      <c r="LH22" s="156">
        <v>46333</v>
      </c>
      <c r="LI22" s="156">
        <v>46334</v>
      </c>
      <c r="LJ22" s="156">
        <v>46335</v>
      </c>
      <c r="LK22" s="156">
        <v>46336</v>
      </c>
      <c r="LL22" s="156">
        <v>46337</v>
      </c>
      <c r="LM22" s="156">
        <v>46338</v>
      </c>
      <c r="LN22" s="156">
        <v>46339</v>
      </c>
      <c r="LO22" s="156">
        <v>46340</v>
      </c>
      <c r="LP22" s="156">
        <v>46341</v>
      </c>
      <c r="LQ22" s="156">
        <v>46342</v>
      </c>
      <c r="LR22" s="156">
        <v>46343</v>
      </c>
      <c r="LS22" s="156">
        <v>46344</v>
      </c>
      <c r="LT22" s="156">
        <v>46345</v>
      </c>
      <c r="LU22" s="156">
        <v>46346</v>
      </c>
      <c r="LV22" s="156">
        <v>46347</v>
      </c>
      <c r="LW22" s="156">
        <v>46348</v>
      </c>
      <c r="LX22" s="156">
        <v>46349</v>
      </c>
      <c r="LY22" s="156">
        <v>46350</v>
      </c>
      <c r="LZ22" s="156">
        <v>46351</v>
      </c>
      <c r="MA22" s="156">
        <v>46352</v>
      </c>
      <c r="MB22" s="156">
        <v>46353</v>
      </c>
      <c r="MC22" s="156">
        <v>46354</v>
      </c>
      <c r="MD22" s="156">
        <v>46355</v>
      </c>
      <c r="ME22" s="156">
        <v>46356</v>
      </c>
      <c r="MF22" s="156">
        <v>46357</v>
      </c>
      <c r="MG22" s="156">
        <v>46358</v>
      </c>
      <c r="MH22" s="156">
        <v>46359</v>
      </c>
      <c r="MI22" s="156">
        <v>46360</v>
      </c>
      <c r="MJ22" s="156">
        <v>46361</v>
      </c>
      <c r="MK22" s="156">
        <v>46362</v>
      </c>
      <c r="ML22" s="156">
        <v>46363</v>
      </c>
      <c r="MM22" s="156">
        <v>46364</v>
      </c>
      <c r="MN22" s="156">
        <v>46365</v>
      </c>
      <c r="MO22" s="156">
        <v>46366</v>
      </c>
      <c r="MP22" s="156">
        <v>46367</v>
      </c>
      <c r="MQ22" s="156">
        <v>46368</v>
      </c>
      <c r="MR22" s="156">
        <v>46369</v>
      </c>
      <c r="MS22" s="156">
        <v>46370</v>
      </c>
      <c r="MT22" s="156">
        <v>46371</v>
      </c>
      <c r="MU22" s="156">
        <v>46372</v>
      </c>
      <c r="MV22" s="156">
        <v>46373</v>
      </c>
      <c r="MW22" s="156">
        <v>46374</v>
      </c>
      <c r="MX22" s="156">
        <v>46375</v>
      </c>
      <c r="MY22" s="156">
        <v>46376</v>
      </c>
      <c r="MZ22" s="156">
        <v>46377</v>
      </c>
      <c r="NA22" s="156">
        <v>46378</v>
      </c>
      <c r="NB22" s="156">
        <v>46379</v>
      </c>
      <c r="NC22" s="156">
        <v>46380</v>
      </c>
      <c r="ND22" s="156">
        <v>46381</v>
      </c>
      <c r="NE22" s="156">
        <v>46382</v>
      </c>
      <c r="NF22" s="156">
        <v>46383</v>
      </c>
      <c r="NG22" s="156">
        <v>46384</v>
      </c>
      <c r="NH22" s="156">
        <v>46385</v>
      </c>
      <c r="NI22" s="156">
        <v>46386</v>
      </c>
    </row>
    <row r="23" spans="1:373" x14ac:dyDescent="0.25">
      <c r="A23" t="s">
        <v>227</v>
      </c>
      <c r="B23" s="207">
        <v>6000</v>
      </c>
      <c r="C23" s="208" t="s">
        <v>225</v>
      </c>
      <c r="D23" s="209">
        <v>46023</v>
      </c>
      <c r="E23" s="209"/>
      <c r="G23" t="s">
        <v>227</v>
      </c>
      <c r="H23" cm="1">
        <f t="array" ref="H23:H28">nabla.e.SumRowsλ(_xlfn.ANCHORARRAY(I23))</f>
        <v>162000</v>
      </c>
      <c r="I23" s="192" cm="1">
        <f t="array" ref="I23:NI28">nabla.d.IsOccurrenceDateλ(_xlfn.ANCHORARRAY(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37261</v>
      </c>
      <c r="E24" s="209">
        <v>48579</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-4500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-4500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-4500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-4500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-4500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-4500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-4500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-4500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37257</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-2000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46032</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-500</v>
      </c>
      <c r="DF26">
        <v>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-500</v>
      </c>
      <c r="GS26">
        <v>0</v>
      </c>
      <c r="GT26">
        <v>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46025</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46023</v>
      </c>
      <c r="E28" s="209"/>
      <c r="G28" t="s">
        <v>235</v>
      </c>
      <c r="H28">
        <v>-4959</v>
      </c>
      <c r="I28">
        <v>-19</v>
      </c>
      <c r="J28">
        <v>-19</v>
      </c>
      <c r="K28">
        <v>-19</v>
      </c>
      <c r="L28">
        <v>-19</v>
      </c>
      <c r="M28">
        <v>-19</v>
      </c>
      <c r="N28">
        <v>0</v>
      </c>
      <c r="O28">
        <v>0</v>
      </c>
      <c r="P28">
        <v>-19</v>
      </c>
      <c r="Q28">
        <v>-19</v>
      </c>
      <c r="R28">
        <v>-19</v>
      </c>
      <c r="S28">
        <v>-19</v>
      </c>
      <c r="T28">
        <v>-19</v>
      </c>
      <c r="U28">
        <v>0</v>
      </c>
      <c r="V28">
        <v>0</v>
      </c>
      <c r="W28">
        <v>-19</v>
      </c>
      <c r="X28">
        <v>-19</v>
      </c>
      <c r="Y28">
        <v>-19</v>
      </c>
      <c r="Z28">
        <v>-19</v>
      </c>
      <c r="AA28">
        <v>-19</v>
      </c>
      <c r="AB28">
        <v>0</v>
      </c>
      <c r="AC28">
        <v>0</v>
      </c>
      <c r="AD28">
        <v>-19</v>
      </c>
      <c r="AE28">
        <v>-19</v>
      </c>
      <c r="AF28">
        <v>-19</v>
      </c>
      <c r="AG28">
        <v>-19</v>
      </c>
      <c r="AH28">
        <v>-19</v>
      </c>
      <c r="AI28">
        <v>0</v>
      </c>
      <c r="AJ28">
        <v>0</v>
      </c>
      <c r="AK28">
        <v>-19</v>
      </c>
      <c r="AL28">
        <v>-19</v>
      </c>
      <c r="AM28">
        <v>-19</v>
      </c>
      <c r="AN28">
        <v>-19</v>
      </c>
      <c r="AO28">
        <v>-19</v>
      </c>
      <c r="AP28">
        <v>0</v>
      </c>
      <c r="AQ28">
        <v>0</v>
      </c>
      <c r="AR28">
        <v>-19</v>
      </c>
      <c r="AS28">
        <v>-19</v>
      </c>
      <c r="AT28">
        <v>-19</v>
      </c>
      <c r="AU28">
        <v>-19</v>
      </c>
      <c r="AV28">
        <v>-19</v>
      </c>
      <c r="AW28">
        <v>0</v>
      </c>
      <c r="AX28">
        <v>0</v>
      </c>
      <c r="AY28">
        <v>-19</v>
      </c>
      <c r="AZ28">
        <v>-19</v>
      </c>
      <c r="BA28">
        <v>-19</v>
      </c>
      <c r="BB28">
        <v>-19</v>
      </c>
      <c r="BC28">
        <v>-19</v>
      </c>
      <c r="BD28">
        <v>0</v>
      </c>
      <c r="BE28">
        <v>0</v>
      </c>
      <c r="BF28">
        <v>-19</v>
      </c>
      <c r="BG28">
        <v>-19</v>
      </c>
      <c r="BH28">
        <v>-19</v>
      </c>
      <c r="BI28">
        <v>-19</v>
      </c>
      <c r="BJ28">
        <v>-19</v>
      </c>
      <c r="BK28">
        <v>0</v>
      </c>
      <c r="BL28">
        <v>0</v>
      </c>
      <c r="BM28">
        <v>-19</v>
      </c>
      <c r="BN28">
        <v>-19</v>
      </c>
      <c r="BO28">
        <v>-19</v>
      </c>
      <c r="BP28">
        <v>-19</v>
      </c>
      <c r="BQ28">
        <v>-19</v>
      </c>
      <c r="BR28">
        <v>0</v>
      </c>
      <c r="BS28">
        <v>0</v>
      </c>
      <c r="BT28">
        <v>-19</v>
      </c>
      <c r="BU28">
        <v>-19</v>
      </c>
      <c r="BV28">
        <v>-19</v>
      </c>
      <c r="BW28">
        <v>-19</v>
      </c>
      <c r="BX28">
        <v>-19</v>
      </c>
      <c r="BY28">
        <v>0</v>
      </c>
      <c r="BZ28">
        <v>0</v>
      </c>
      <c r="CA28">
        <v>-19</v>
      </c>
      <c r="CB28">
        <v>-19</v>
      </c>
      <c r="CC28">
        <v>-19</v>
      </c>
      <c r="CD28">
        <v>-19</v>
      </c>
      <c r="CE28">
        <v>-19</v>
      </c>
      <c r="CF28">
        <v>0</v>
      </c>
      <c r="CG28">
        <v>0</v>
      </c>
      <c r="CH28">
        <v>-19</v>
      </c>
      <c r="CI28">
        <v>-19</v>
      </c>
      <c r="CJ28">
        <v>-19</v>
      </c>
      <c r="CK28">
        <v>-19</v>
      </c>
      <c r="CL28">
        <v>-19</v>
      </c>
      <c r="CM28">
        <v>0</v>
      </c>
      <c r="CN28">
        <v>0</v>
      </c>
      <c r="CO28">
        <v>-19</v>
      </c>
      <c r="CP28">
        <v>-19</v>
      </c>
      <c r="CQ28">
        <v>-19</v>
      </c>
      <c r="CR28">
        <v>-19</v>
      </c>
      <c r="CS28">
        <v>-19</v>
      </c>
      <c r="CT28">
        <v>0</v>
      </c>
      <c r="CU28">
        <v>0</v>
      </c>
      <c r="CV28">
        <v>-19</v>
      </c>
      <c r="CW28">
        <v>-19</v>
      </c>
      <c r="CX28">
        <v>-19</v>
      </c>
      <c r="CY28">
        <v>-19</v>
      </c>
      <c r="CZ28">
        <v>-19</v>
      </c>
      <c r="DA28">
        <v>0</v>
      </c>
      <c r="DB28">
        <v>0</v>
      </c>
      <c r="DC28">
        <v>-19</v>
      </c>
      <c r="DD28">
        <v>-19</v>
      </c>
      <c r="DE28">
        <v>-19</v>
      </c>
      <c r="DF28">
        <v>-19</v>
      </c>
      <c r="DG28">
        <v>-19</v>
      </c>
      <c r="DH28">
        <v>0</v>
      </c>
      <c r="DI28">
        <v>0</v>
      </c>
      <c r="DJ28">
        <v>-19</v>
      </c>
      <c r="DK28">
        <v>-19</v>
      </c>
      <c r="DL28">
        <v>-19</v>
      </c>
      <c r="DM28">
        <v>-19</v>
      </c>
      <c r="DN28">
        <v>-19</v>
      </c>
      <c r="DO28">
        <v>0</v>
      </c>
      <c r="DP28">
        <v>0</v>
      </c>
      <c r="DQ28">
        <v>-19</v>
      </c>
      <c r="DR28">
        <v>-19</v>
      </c>
      <c r="DS28">
        <v>-19</v>
      </c>
      <c r="DT28">
        <v>-19</v>
      </c>
      <c r="DU28">
        <v>-19</v>
      </c>
      <c r="DV28">
        <v>0</v>
      </c>
      <c r="DW28">
        <v>0</v>
      </c>
      <c r="DX28">
        <v>-19</v>
      </c>
      <c r="DY28">
        <v>-19</v>
      </c>
      <c r="DZ28">
        <v>-19</v>
      </c>
      <c r="EA28">
        <v>-19</v>
      </c>
      <c r="EB28">
        <v>-19</v>
      </c>
      <c r="EC28">
        <v>0</v>
      </c>
      <c r="ED28">
        <v>0</v>
      </c>
      <c r="EE28">
        <v>-19</v>
      </c>
      <c r="EF28">
        <v>-19</v>
      </c>
      <c r="EG28">
        <v>-19</v>
      </c>
      <c r="EH28">
        <v>-19</v>
      </c>
      <c r="EI28">
        <v>-19</v>
      </c>
      <c r="EJ28">
        <v>0</v>
      </c>
      <c r="EK28">
        <v>0</v>
      </c>
      <c r="EL28">
        <v>-19</v>
      </c>
      <c r="EM28">
        <v>-19</v>
      </c>
      <c r="EN28">
        <v>-19</v>
      </c>
      <c r="EO28">
        <v>-19</v>
      </c>
      <c r="EP28">
        <v>-19</v>
      </c>
      <c r="EQ28">
        <v>0</v>
      </c>
      <c r="ER28">
        <v>0</v>
      </c>
      <c r="ES28">
        <v>-19</v>
      </c>
      <c r="ET28">
        <v>-19</v>
      </c>
      <c r="EU28">
        <v>-19</v>
      </c>
      <c r="EV28">
        <v>-19</v>
      </c>
      <c r="EW28">
        <v>-19</v>
      </c>
      <c r="EX28">
        <v>0</v>
      </c>
      <c r="EY28">
        <v>0</v>
      </c>
      <c r="EZ28">
        <v>-19</v>
      </c>
      <c r="FA28">
        <v>-19</v>
      </c>
      <c r="FB28">
        <v>-19</v>
      </c>
      <c r="FC28">
        <v>-19</v>
      </c>
      <c r="FD28">
        <v>-19</v>
      </c>
      <c r="FE28">
        <v>0</v>
      </c>
      <c r="FF28">
        <v>0</v>
      </c>
      <c r="FG28">
        <v>-19</v>
      </c>
      <c r="FH28">
        <v>-19</v>
      </c>
      <c r="FI28">
        <v>-19</v>
      </c>
      <c r="FJ28">
        <v>-19</v>
      </c>
      <c r="FK28">
        <v>-19</v>
      </c>
      <c r="FL28">
        <v>0</v>
      </c>
      <c r="FM28">
        <v>0</v>
      </c>
      <c r="FN28">
        <v>-19</v>
      </c>
      <c r="FO28">
        <v>-19</v>
      </c>
      <c r="FP28">
        <v>-19</v>
      </c>
      <c r="FQ28">
        <v>-19</v>
      </c>
      <c r="FR28">
        <v>-19</v>
      </c>
      <c r="FS28">
        <v>0</v>
      </c>
      <c r="FT28">
        <v>0</v>
      </c>
      <c r="FU28">
        <v>-19</v>
      </c>
      <c r="FV28">
        <v>-19</v>
      </c>
      <c r="FW28">
        <v>-19</v>
      </c>
      <c r="FX28">
        <v>-19</v>
      </c>
      <c r="FY28">
        <v>-19</v>
      </c>
      <c r="FZ28">
        <v>0</v>
      </c>
      <c r="GA28">
        <v>0</v>
      </c>
      <c r="GB28">
        <v>-19</v>
      </c>
      <c r="GC28">
        <v>-19</v>
      </c>
      <c r="GD28">
        <v>-19</v>
      </c>
      <c r="GE28">
        <v>-19</v>
      </c>
      <c r="GF28">
        <v>-19</v>
      </c>
      <c r="GG28">
        <v>0</v>
      </c>
      <c r="GH28">
        <v>0</v>
      </c>
      <c r="GI28">
        <v>-19</v>
      </c>
      <c r="GJ28">
        <v>-19</v>
      </c>
      <c r="GK28">
        <v>-19</v>
      </c>
      <c r="GL28">
        <v>-19</v>
      </c>
      <c r="GM28">
        <v>-19</v>
      </c>
      <c r="GN28">
        <v>0</v>
      </c>
      <c r="GO28">
        <v>0</v>
      </c>
      <c r="GP28">
        <v>-19</v>
      </c>
      <c r="GQ28">
        <v>-19</v>
      </c>
      <c r="GR28">
        <v>-19</v>
      </c>
      <c r="GS28">
        <v>-19</v>
      </c>
      <c r="GT28">
        <v>-19</v>
      </c>
      <c r="GU28">
        <v>0</v>
      </c>
      <c r="GV28">
        <v>0</v>
      </c>
      <c r="GW28">
        <v>-19</v>
      </c>
      <c r="GX28">
        <v>-19</v>
      </c>
      <c r="GY28">
        <v>-19</v>
      </c>
      <c r="GZ28">
        <v>-19</v>
      </c>
      <c r="HA28">
        <v>-19</v>
      </c>
      <c r="HB28">
        <v>0</v>
      </c>
      <c r="HC28">
        <v>0</v>
      </c>
      <c r="HD28">
        <v>-19</v>
      </c>
      <c r="HE28">
        <v>-19</v>
      </c>
      <c r="HF28">
        <v>-19</v>
      </c>
      <c r="HG28">
        <v>-19</v>
      </c>
      <c r="HH28">
        <v>-19</v>
      </c>
      <c r="HI28">
        <v>0</v>
      </c>
      <c r="HJ28">
        <v>0</v>
      </c>
      <c r="HK28">
        <v>-19</v>
      </c>
      <c r="HL28">
        <v>-19</v>
      </c>
      <c r="HM28">
        <v>-19</v>
      </c>
      <c r="HN28">
        <v>-19</v>
      </c>
      <c r="HO28">
        <v>-19</v>
      </c>
      <c r="HP28">
        <v>0</v>
      </c>
      <c r="HQ28">
        <v>0</v>
      </c>
      <c r="HR28">
        <v>-19</v>
      </c>
      <c r="HS28">
        <v>-19</v>
      </c>
      <c r="HT28">
        <v>-19</v>
      </c>
      <c r="HU28">
        <v>-19</v>
      </c>
      <c r="HV28">
        <v>-19</v>
      </c>
      <c r="HW28">
        <v>0</v>
      </c>
      <c r="HX28">
        <v>0</v>
      </c>
      <c r="HY28">
        <v>-19</v>
      </c>
      <c r="HZ28">
        <v>-19</v>
      </c>
      <c r="IA28">
        <v>-19</v>
      </c>
      <c r="IB28">
        <v>-19</v>
      </c>
      <c r="IC28">
        <v>-19</v>
      </c>
      <c r="ID28">
        <v>0</v>
      </c>
      <c r="IE28">
        <v>0</v>
      </c>
      <c r="IF28">
        <v>-19</v>
      </c>
      <c r="IG28">
        <v>-19</v>
      </c>
      <c r="IH28">
        <v>-19</v>
      </c>
      <c r="II28">
        <v>-19</v>
      </c>
      <c r="IJ28">
        <v>-19</v>
      </c>
      <c r="IK28">
        <v>0</v>
      </c>
      <c r="IL28">
        <v>0</v>
      </c>
      <c r="IM28">
        <v>-19</v>
      </c>
      <c r="IN28">
        <v>-19</v>
      </c>
      <c r="IO28">
        <v>-19</v>
      </c>
      <c r="IP28">
        <v>-19</v>
      </c>
      <c r="IQ28">
        <v>-19</v>
      </c>
      <c r="IR28">
        <v>0</v>
      </c>
      <c r="IS28">
        <v>0</v>
      </c>
      <c r="IT28">
        <v>-19</v>
      </c>
      <c r="IU28">
        <v>-19</v>
      </c>
      <c r="IV28">
        <v>-19</v>
      </c>
      <c r="IW28">
        <v>-19</v>
      </c>
      <c r="IX28">
        <v>-19</v>
      </c>
      <c r="IY28">
        <v>0</v>
      </c>
      <c r="IZ28">
        <v>0</v>
      </c>
      <c r="JA28">
        <v>-19</v>
      </c>
      <c r="JB28">
        <v>-19</v>
      </c>
      <c r="JC28">
        <v>-19</v>
      </c>
      <c r="JD28">
        <v>-19</v>
      </c>
      <c r="JE28">
        <v>-19</v>
      </c>
      <c r="JF28">
        <v>0</v>
      </c>
      <c r="JG28">
        <v>0</v>
      </c>
      <c r="JH28">
        <v>-19</v>
      </c>
      <c r="JI28">
        <v>-19</v>
      </c>
      <c r="JJ28">
        <v>-19</v>
      </c>
      <c r="JK28">
        <v>-19</v>
      </c>
      <c r="JL28">
        <v>-19</v>
      </c>
      <c r="JM28">
        <v>0</v>
      </c>
      <c r="JN28">
        <v>0</v>
      </c>
      <c r="JO28">
        <v>-19</v>
      </c>
      <c r="JP28">
        <v>-19</v>
      </c>
      <c r="JQ28">
        <v>-19</v>
      </c>
      <c r="JR28">
        <v>-19</v>
      </c>
      <c r="JS28">
        <v>-19</v>
      </c>
      <c r="JT28">
        <v>0</v>
      </c>
      <c r="JU28">
        <v>0</v>
      </c>
      <c r="JV28">
        <v>-19</v>
      </c>
      <c r="JW28">
        <v>-19</v>
      </c>
      <c r="JX28">
        <v>-19</v>
      </c>
      <c r="JY28">
        <v>-19</v>
      </c>
      <c r="JZ28">
        <v>-19</v>
      </c>
      <c r="KA28">
        <v>0</v>
      </c>
      <c r="KB28">
        <v>0</v>
      </c>
      <c r="KC28">
        <v>-19</v>
      </c>
      <c r="KD28">
        <v>-19</v>
      </c>
      <c r="KE28">
        <v>-19</v>
      </c>
      <c r="KF28">
        <v>-19</v>
      </c>
      <c r="KG28">
        <v>-19</v>
      </c>
      <c r="KH28">
        <v>0</v>
      </c>
      <c r="KI28">
        <v>0</v>
      </c>
      <c r="KJ28">
        <v>-19</v>
      </c>
      <c r="KK28">
        <v>-19</v>
      </c>
      <c r="KL28">
        <v>-19</v>
      </c>
      <c r="KM28">
        <v>-19</v>
      </c>
      <c r="KN28">
        <v>-19</v>
      </c>
      <c r="KO28">
        <v>0</v>
      </c>
      <c r="KP28">
        <v>0</v>
      </c>
      <c r="KQ28">
        <v>-19</v>
      </c>
      <c r="KR28">
        <v>-19</v>
      </c>
      <c r="KS28">
        <v>-19</v>
      </c>
      <c r="KT28">
        <v>-19</v>
      </c>
      <c r="KU28">
        <v>-19</v>
      </c>
      <c r="KV28">
        <v>0</v>
      </c>
      <c r="KW28">
        <v>0</v>
      </c>
      <c r="KX28">
        <v>-19</v>
      </c>
      <c r="KY28">
        <v>-19</v>
      </c>
      <c r="KZ28">
        <v>-19</v>
      </c>
      <c r="LA28">
        <v>-19</v>
      </c>
      <c r="LB28">
        <v>-19</v>
      </c>
      <c r="LC28">
        <v>0</v>
      </c>
      <c r="LD28">
        <v>0</v>
      </c>
      <c r="LE28">
        <v>-19</v>
      </c>
      <c r="LF28">
        <v>-19</v>
      </c>
      <c r="LG28">
        <v>-19</v>
      </c>
      <c r="LH28">
        <v>-19</v>
      </c>
      <c r="LI28">
        <v>-19</v>
      </c>
      <c r="LJ28">
        <v>0</v>
      </c>
      <c r="LK28">
        <v>0</v>
      </c>
      <c r="LL28">
        <v>-19</v>
      </c>
      <c r="LM28">
        <v>-19</v>
      </c>
      <c r="LN28">
        <v>-19</v>
      </c>
      <c r="LO28">
        <v>-19</v>
      </c>
      <c r="LP28">
        <v>-19</v>
      </c>
      <c r="LQ28">
        <v>0</v>
      </c>
      <c r="LR28">
        <v>0</v>
      </c>
      <c r="LS28">
        <v>-19</v>
      </c>
      <c r="LT28">
        <v>-19</v>
      </c>
      <c r="LU28">
        <v>-19</v>
      </c>
      <c r="LV28">
        <v>-19</v>
      </c>
      <c r="LW28">
        <v>-19</v>
      </c>
      <c r="LX28">
        <v>0</v>
      </c>
      <c r="LY28">
        <v>0</v>
      </c>
      <c r="LZ28">
        <v>-19</v>
      </c>
      <c r="MA28">
        <v>-19</v>
      </c>
      <c r="MB28">
        <v>-19</v>
      </c>
      <c r="MC28">
        <v>-19</v>
      </c>
      <c r="MD28">
        <v>-19</v>
      </c>
      <c r="ME28">
        <v>0</v>
      </c>
      <c r="MF28">
        <v>0</v>
      </c>
      <c r="MG28">
        <v>-19</v>
      </c>
      <c r="MH28">
        <v>-19</v>
      </c>
      <c r="MI28">
        <v>-19</v>
      </c>
      <c r="MJ28">
        <v>-19</v>
      </c>
      <c r="MK28">
        <v>-19</v>
      </c>
      <c r="ML28">
        <v>0</v>
      </c>
      <c r="MM28">
        <v>0</v>
      </c>
      <c r="MN28">
        <v>-19</v>
      </c>
      <c r="MO28">
        <v>-19</v>
      </c>
      <c r="MP28">
        <v>-19</v>
      </c>
      <c r="MQ28">
        <v>-19</v>
      </c>
      <c r="MR28">
        <v>-19</v>
      </c>
      <c r="MS28">
        <v>0</v>
      </c>
      <c r="MT28">
        <v>0</v>
      </c>
      <c r="MU28">
        <v>-19</v>
      </c>
      <c r="MV28">
        <v>-19</v>
      </c>
      <c r="MW28">
        <v>-19</v>
      </c>
      <c r="MX28">
        <v>-19</v>
      </c>
      <c r="MY28">
        <v>-19</v>
      </c>
      <c r="MZ28">
        <v>0</v>
      </c>
      <c r="NA28">
        <v>0</v>
      </c>
      <c r="NB28">
        <v>-19</v>
      </c>
      <c r="NC28">
        <v>-19</v>
      </c>
      <c r="ND28">
        <v>-19</v>
      </c>
      <c r="NE28">
        <v>-19</v>
      </c>
      <c r="NF28">
        <v>-19</v>
      </c>
      <c r="NG28">
        <v>0</v>
      </c>
      <c r="NH28">
        <v>0</v>
      </c>
      <c r="NI28">
        <v>-19</v>
      </c>
    </row>
    <row r="32" spans="1:373" x14ac:dyDescent="0.25">
      <c r="G32" s="149" t="s">
        <v>320</v>
      </c>
      <c r="H32" s="155" t="s">
        <v>247</v>
      </c>
      <c r="I32" s="156" cm="1">
        <f t="array" ref="I32:T32">nabla.d.Timelineλ("1/1/2026", 12, "M")</f>
        <v>45292</v>
      </c>
      <c r="J32" s="156">
        <v>46054</v>
      </c>
      <c r="K32" s="156">
        <v>46082</v>
      </c>
      <c r="L32" s="156">
        <v>46113</v>
      </c>
      <c r="M32" s="156">
        <v>46143</v>
      </c>
      <c r="N32" s="156">
        <v>46174</v>
      </c>
      <c r="O32" s="156">
        <v>46204</v>
      </c>
      <c r="P32" s="156">
        <v>46235</v>
      </c>
      <c r="Q32" s="156">
        <v>46266</v>
      </c>
      <c r="R32" s="156">
        <v>46296</v>
      </c>
      <c r="S32" s="156">
        <v>46327</v>
      </c>
      <c r="T32" s="156">
        <v>46357</v>
      </c>
    </row>
    <row r="33" spans="7:20" x14ac:dyDescent="0.25">
      <c r="G33" t="s">
        <v>227</v>
      </c>
      <c r="H33" cm="1">
        <f t="array" ref="H33:H38">nabla.e.SumRowsλ(_xlfn.ANCHORARRAY(I33))</f>
        <v>162000</v>
      </c>
      <c r="I33" s="162" cm="1">
        <f t="array" ref="I33:T38">nabla.f.SumPeriodsλ(_xlfn.ANCHORARRAY(I23),_xlfn.ANCHORARRAY(I22),_xlfn.ANCHORARRAY( I32))</f>
        <v>18000</v>
      </c>
      <c r="J33">
        <v>12000</v>
      </c>
      <c r="K33">
        <v>12000</v>
      </c>
      <c r="L33">
        <v>12000</v>
      </c>
      <c r="M33">
        <v>12000</v>
      </c>
      <c r="N33">
        <v>12000</v>
      </c>
      <c r="O33">
        <v>18000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-300</v>
      </c>
      <c r="M37">
        <v>-375</v>
      </c>
      <c r="N37">
        <v>-300</v>
      </c>
      <c r="O37">
        <v>-375</v>
      </c>
      <c r="P37">
        <v>-300</v>
      </c>
      <c r="Q37">
        <v>-300</v>
      </c>
      <c r="R37">
        <v>-375</v>
      </c>
      <c r="S37">
        <v>-300</v>
      </c>
      <c r="T37">
        <v>-300</v>
      </c>
    </row>
    <row r="38" spans="7:20" x14ac:dyDescent="0.25">
      <c r="G38" t="s">
        <v>235</v>
      </c>
      <c r="H38">
        <v>-4959</v>
      </c>
      <c r="I38">
        <v>-437</v>
      </c>
      <c r="J38">
        <v>-399</v>
      </c>
      <c r="K38">
        <v>-399</v>
      </c>
      <c r="L38">
        <v>-418</v>
      </c>
      <c r="M38">
        <v>-437</v>
      </c>
      <c r="N38">
        <v>-380</v>
      </c>
      <c r="O38">
        <v>-437</v>
      </c>
      <c r="P38">
        <v>-418</v>
      </c>
      <c r="Q38">
        <v>-399</v>
      </c>
      <c r="R38">
        <v>-437</v>
      </c>
      <c r="S38">
        <v>-399</v>
      </c>
      <c r="T38">
        <v>-399</v>
      </c>
    </row>
  </sheetData>
  <mergeCells count="3">
    <mergeCell ref="A1:Q1"/>
    <mergeCell ref="A21:E21"/>
    <mergeCell ref="A2:O2"/>
  </mergeCells>
  <hyperlinks>
    <hyperlink ref="A1" location="'TOC'!$A$1" display="'TOC'!$A$1" xr:uid="{B9933F6E-8B86-46EB-9647-C53B5EC99776}"/>
  </hyperlinks>
  <pageMargins left="0.7" right="0.7" top="0.75" bottom="0.75" header="0.3" footer="0.3"/>
  <customProperties>
    <customPr name="Description" r:id="rId1"/>
  </customProperties>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157A5F"/>
  </sheetPr>
  <dimension ref="A1:NC25"/>
  <sheetViews>
    <sheetView showGridLines="0" workbookViewId="0">
      <selection activeCell="A1" sqref="A1"/>
    </sheetView>
  </sheetViews>
  <sheetFormatPr defaultRowHeight="15" x14ac:dyDescent="0.25"/>
  <cols>
    <col min="1" max="1" width="12.7109375" bestFit="1" customWidth="1"/>
    <col min="2" max="2" width="7.7109375" customWidth="1"/>
    <col min="3" max="3" width="10.140625" bestFit="1" customWidth="1"/>
    <col min="4" max="4" width="10.28515625" bestFit="1" customWidth="1"/>
    <col min="5" max="5" width="10.7109375" bestFit="1" customWidth="1"/>
    <col min="6" max="6" width="10.28515625" bestFit="1" customWidth="1"/>
    <col min="7" max="7" width="11.140625" bestFit="1" customWidth="1"/>
    <col min="8" max="8" width="10.28515625" bestFit="1" customWidth="1"/>
    <col min="9" max="9" width="9.5703125" bestFit="1" customWidth="1"/>
    <col min="10" max="10" width="10.7109375" bestFit="1" customWidth="1"/>
    <col min="11" max="11" width="10.42578125" bestFit="1" customWidth="1"/>
    <col min="12" max="12" width="10.28515625" bestFit="1" customWidth="1"/>
    <col min="13" max="13" width="10.7109375" bestFit="1" customWidth="1"/>
    <col min="14" max="14" width="10.42578125" bestFit="1" customWidth="1"/>
    <col min="15" max="15" width="10.140625" bestFit="1" customWidth="1"/>
    <col min="16" max="16" width="10.28515625" bestFit="1" customWidth="1"/>
    <col min="17" max="17" width="10.7109375" bestFit="1" customWidth="1"/>
    <col min="18" max="18" width="10.28515625" bestFit="1" customWidth="1"/>
    <col min="19" max="19" width="11.140625" bestFit="1" customWidth="1"/>
    <col min="20" max="20" width="10.28515625" bestFit="1" customWidth="1"/>
    <col min="21" max="21" width="9.5703125" bestFit="1" customWidth="1"/>
    <col min="22" max="22" width="10.7109375" bestFit="1" customWidth="1"/>
    <col min="23" max="23" width="10.42578125" bestFit="1" customWidth="1"/>
    <col min="24" max="24" width="10.28515625" bestFit="1" customWidth="1"/>
    <col min="25" max="25" width="10.7109375" bestFit="1" customWidth="1"/>
    <col min="26" max="26" width="10.42578125" bestFit="1" customWidth="1"/>
    <col min="27" max="27" width="10.140625" bestFit="1" customWidth="1"/>
    <col min="28" max="28" width="10.28515625" bestFit="1" customWidth="1"/>
    <col min="29" max="29" width="10.7109375" bestFit="1" customWidth="1"/>
    <col min="30" max="30" width="10.28515625" bestFit="1" customWidth="1"/>
    <col min="31" max="31" width="11.140625" bestFit="1" customWidth="1"/>
    <col min="32" max="32" width="10.28515625" bestFit="1" customWidth="1"/>
    <col min="33" max="33" width="9.5703125" bestFit="1" customWidth="1"/>
    <col min="34" max="34" width="10.7109375" bestFit="1" customWidth="1"/>
    <col min="35" max="35" width="10.42578125" bestFit="1" customWidth="1"/>
    <col min="36" max="36" width="10.28515625" bestFit="1" customWidth="1"/>
    <col min="37" max="37" width="10.7109375" bestFit="1" customWidth="1"/>
    <col min="38" max="38" width="10.42578125" bestFit="1" customWidth="1"/>
    <col min="39" max="39" width="10.140625" bestFit="1" customWidth="1"/>
    <col min="40" max="40" width="10.28515625" bestFit="1" customWidth="1"/>
    <col min="41" max="41" width="10.7109375" bestFit="1" customWidth="1"/>
    <col min="42" max="42" width="10.28515625" bestFit="1" customWidth="1"/>
    <col min="43" max="43" width="11.140625" bestFit="1" customWidth="1"/>
    <col min="44" max="44" width="10.28515625" bestFit="1" customWidth="1"/>
    <col min="45" max="45" width="9.5703125" bestFit="1" customWidth="1"/>
    <col min="46" max="46" width="10.7109375" bestFit="1" customWidth="1"/>
    <col min="47" max="47" width="10.42578125" bestFit="1" customWidth="1"/>
    <col min="48" max="48" width="10.28515625" bestFit="1" customWidth="1"/>
    <col min="49" max="49" width="10.7109375" bestFit="1" customWidth="1"/>
    <col min="50" max="50" width="10.42578125" bestFit="1" customWidth="1"/>
    <col min="51" max="51" width="10.140625" bestFit="1" customWidth="1"/>
    <col min="52" max="52" width="10.28515625" bestFit="1" customWidth="1"/>
    <col min="53" max="53" width="10.7109375" bestFit="1" customWidth="1"/>
    <col min="54" max="54" width="10.28515625" bestFit="1" customWidth="1"/>
    <col min="55" max="55" width="11.140625" bestFit="1" customWidth="1"/>
    <col min="56" max="56" width="10.28515625" bestFit="1" customWidth="1"/>
    <col min="57" max="57" width="9.5703125" bestFit="1" customWidth="1"/>
    <col min="58" max="58" width="10.7109375" bestFit="1" customWidth="1"/>
    <col min="59" max="59" width="10.42578125" bestFit="1" customWidth="1"/>
    <col min="60" max="60" width="10.28515625" bestFit="1" customWidth="1"/>
    <col min="61" max="61" width="10.7109375" bestFit="1" customWidth="1"/>
    <col min="62" max="62" width="10.42578125" bestFit="1" customWidth="1"/>
    <col min="63" max="63" width="10.140625" bestFit="1" customWidth="1"/>
    <col min="64" max="64" width="10.28515625" bestFit="1" customWidth="1"/>
    <col min="65" max="65" width="10.7109375" bestFit="1" customWidth="1"/>
    <col min="66" max="66" width="10.28515625" bestFit="1" customWidth="1"/>
    <col min="67" max="67" width="11.140625" bestFit="1" customWidth="1"/>
    <col min="68" max="68" width="10.28515625" bestFit="1" customWidth="1"/>
    <col min="69" max="69" width="9.5703125" bestFit="1" customWidth="1"/>
    <col min="70" max="70" width="10.7109375" bestFit="1" customWidth="1"/>
    <col min="71" max="71" width="10.42578125" bestFit="1" customWidth="1"/>
    <col min="72" max="72" width="10.28515625" bestFit="1" customWidth="1"/>
    <col min="73" max="73" width="10.7109375" bestFit="1" customWidth="1"/>
    <col min="74" max="74" width="10.42578125" bestFit="1" customWidth="1"/>
    <col min="75" max="75" width="10.140625" bestFit="1" customWidth="1"/>
    <col min="76" max="76" width="10.28515625" bestFit="1" customWidth="1"/>
    <col min="77" max="77" width="10.7109375" bestFit="1" customWidth="1"/>
    <col min="78" max="78" width="10.28515625" bestFit="1" customWidth="1"/>
    <col min="79" max="79" width="11.140625" bestFit="1" customWidth="1"/>
    <col min="80" max="80" width="10.28515625" bestFit="1" customWidth="1"/>
    <col min="81" max="81" width="9.5703125" bestFit="1" customWidth="1"/>
    <col min="82" max="82" width="10.7109375" bestFit="1" customWidth="1"/>
    <col min="83" max="83" width="10.42578125" bestFit="1" customWidth="1"/>
    <col min="84" max="84" width="10.28515625" bestFit="1" customWidth="1"/>
    <col min="85" max="85" width="10.7109375" bestFit="1" customWidth="1"/>
    <col min="86" max="86" width="10.42578125" bestFit="1" customWidth="1"/>
    <col min="87" max="87" width="10.140625" bestFit="1" customWidth="1"/>
    <col min="88" max="88" width="10.28515625" bestFit="1" customWidth="1"/>
    <col min="89" max="89" width="10.7109375" bestFit="1" customWidth="1"/>
    <col min="90" max="90" width="10.28515625" bestFit="1" customWidth="1"/>
    <col min="91" max="91" width="11.140625" bestFit="1" customWidth="1"/>
    <col min="92" max="92" width="10.28515625" bestFit="1" customWidth="1"/>
    <col min="93" max="93" width="9.5703125" bestFit="1" customWidth="1"/>
    <col min="94" max="94" width="10.7109375" bestFit="1" customWidth="1"/>
    <col min="95" max="95" width="10.42578125" bestFit="1" customWidth="1"/>
    <col min="96" max="96" width="10.28515625" bestFit="1" customWidth="1"/>
    <col min="97" max="97" width="10.7109375" bestFit="1" customWidth="1"/>
    <col min="98" max="98" width="10.42578125" bestFit="1" customWidth="1"/>
    <col min="99" max="99" width="10.140625" bestFit="1" customWidth="1"/>
    <col min="100" max="100" width="10.28515625" bestFit="1" customWidth="1"/>
    <col min="101" max="101" width="10.7109375" bestFit="1" customWidth="1"/>
    <col min="102" max="102" width="10.28515625" bestFit="1" customWidth="1"/>
    <col min="103" max="103" width="11.140625" bestFit="1" customWidth="1"/>
    <col min="104" max="104" width="10.28515625" bestFit="1" customWidth="1"/>
    <col min="105" max="105" width="9.5703125" bestFit="1" customWidth="1"/>
    <col min="106" max="106" width="10.7109375" bestFit="1" customWidth="1"/>
    <col min="107" max="107" width="10.42578125" bestFit="1" customWidth="1"/>
    <col min="108" max="108" width="10.28515625" bestFit="1" customWidth="1"/>
    <col min="109" max="109" width="10.7109375" bestFit="1" customWidth="1"/>
    <col min="110" max="110" width="10.42578125" bestFit="1" customWidth="1"/>
    <col min="111" max="111" width="10.140625" bestFit="1" customWidth="1"/>
    <col min="112" max="112" width="10.28515625" bestFit="1" customWidth="1"/>
    <col min="113" max="113" width="10.7109375" bestFit="1" customWidth="1"/>
    <col min="114" max="114" width="10.28515625" bestFit="1" customWidth="1"/>
    <col min="115" max="115" width="11.140625" bestFit="1" customWidth="1"/>
    <col min="116" max="116" width="10.28515625" bestFit="1" customWidth="1"/>
    <col min="117" max="117" width="9.5703125" bestFit="1" customWidth="1"/>
    <col min="118" max="118" width="10.7109375" bestFit="1" customWidth="1"/>
    <col min="119" max="119" width="10.42578125" bestFit="1" customWidth="1"/>
    <col min="120" max="120" width="10.28515625" bestFit="1" customWidth="1"/>
    <col min="121" max="121" width="10.7109375" bestFit="1" customWidth="1"/>
    <col min="122" max="122" width="10.42578125" bestFit="1" customWidth="1"/>
    <col min="123" max="123" width="10.140625" bestFit="1" customWidth="1"/>
    <col min="124" max="124" width="10.28515625" bestFit="1" customWidth="1"/>
    <col min="125" max="125" width="10.7109375" bestFit="1" customWidth="1"/>
    <col min="126" max="126" width="10.28515625" bestFit="1" customWidth="1"/>
    <col min="127" max="127" width="11.140625" bestFit="1" customWidth="1"/>
    <col min="128" max="128" width="10.28515625" bestFit="1" customWidth="1"/>
    <col min="129" max="129" width="9.5703125" bestFit="1" customWidth="1"/>
    <col min="130" max="130" width="10.7109375" bestFit="1" customWidth="1"/>
    <col min="131" max="131" width="10.42578125" bestFit="1" customWidth="1"/>
    <col min="132" max="132" width="10.28515625" bestFit="1" customWidth="1"/>
    <col min="133" max="133" width="10.7109375" bestFit="1" customWidth="1"/>
    <col min="134" max="134" width="10.42578125" bestFit="1" customWidth="1"/>
    <col min="135" max="135" width="10.140625" bestFit="1" customWidth="1"/>
    <col min="136" max="136" width="10.28515625" bestFit="1" customWidth="1"/>
    <col min="137" max="137" width="10.7109375" bestFit="1" customWidth="1"/>
    <col min="138" max="138" width="10.28515625" bestFit="1" customWidth="1"/>
    <col min="139" max="139" width="11.140625" bestFit="1" customWidth="1"/>
    <col min="140" max="140" width="10.28515625" bestFit="1" customWidth="1"/>
    <col min="141" max="141" width="9.5703125" bestFit="1" customWidth="1"/>
    <col min="142" max="142" width="10.7109375" bestFit="1" customWidth="1"/>
    <col min="143" max="143" width="10.42578125" bestFit="1" customWidth="1"/>
    <col min="144" max="144" width="10.28515625" bestFit="1" customWidth="1"/>
    <col min="145" max="145" width="10.7109375" bestFit="1" customWidth="1"/>
    <col min="146" max="146" width="10.42578125" bestFit="1" customWidth="1"/>
    <col min="147" max="147" width="10.140625" bestFit="1" customWidth="1"/>
    <col min="148" max="148" width="10.28515625" bestFit="1" customWidth="1"/>
    <col min="149" max="149" width="10.7109375" bestFit="1" customWidth="1"/>
    <col min="150" max="150" width="10.28515625" bestFit="1" customWidth="1"/>
    <col min="151" max="151" width="11.140625" bestFit="1" customWidth="1"/>
    <col min="152" max="152" width="10.28515625" bestFit="1" customWidth="1"/>
    <col min="153" max="153" width="9.5703125" bestFit="1" customWidth="1"/>
    <col min="154" max="154" width="10.7109375" bestFit="1" customWidth="1"/>
    <col min="155" max="155" width="10.42578125" bestFit="1" customWidth="1"/>
    <col min="156" max="156" width="10.28515625" bestFit="1" customWidth="1"/>
    <col min="157" max="157" width="10.7109375" bestFit="1" customWidth="1"/>
    <col min="158" max="158" width="10.42578125" bestFit="1" customWidth="1"/>
    <col min="159" max="159" width="10.140625" bestFit="1" customWidth="1"/>
    <col min="160" max="160" width="10.28515625" bestFit="1" customWidth="1"/>
    <col min="161" max="161" width="10.7109375" bestFit="1" customWidth="1"/>
    <col min="162" max="162" width="10.28515625" bestFit="1" customWidth="1"/>
    <col min="163" max="163" width="11.140625" bestFit="1" customWidth="1"/>
    <col min="164" max="164" width="10.28515625" bestFit="1" customWidth="1"/>
    <col min="165" max="165" width="9.5703125" bestFit="1" customWidth="1"/>
    <col min="166" max="166" width="10.7109375" bestFit="1" customWidth="1"/>
    <col min="167" max="167" width="10.42578125" bestFit="1" customWidth="1"/>
    <col min="168" max="168" width="10.28515625" bestFit="1" customWidth="1"/>
    <col min="169" max="169" width="10.7109375" bestFit="1" customWidth="1"/>
    <col min="170" max="170" width="10.42578125" bestFit="1" customWidth="1"/>
    <col min="171" max="171" width="10.140625" bestFit="1" customWidth="1"/>
    <col min="172" max="172" width="10.28515625" bestFit="1" customWidth="1"/>
    <col min="173" max="173" width="10.7109375" bestFit="1" customWidth="1"/>
    <col min="174" max="174" width="10.28515625" bestFit="1" customWidth="1"/>
    <col min="175" max="175" width="11.140625" bestFit="1" customWidth="1"/>
    <col min="176" max="176" width="10.28515625" bestFit="1" customWidth="1"/>
    <col min="177" max="177" width="9.5703125" bestFit="1" customWidth="1"/>
    <col min="178" max="178" width="10.7109375" bestFit="1" customWidth="1"/>
    <col min="179" max="179" width="10.42578125" bestFit="1" customWidth="1"/>
    <col min="180" max="180" width="10.28515625" bestFit="1" customWidth="1"/>
    <col min="181" max="181" width="10.7109375" bestFit="1" customWidth="1"/>
    <col min="182" max="182" width="10.42578125" bestFit="1" customWidth="1"/>
    <col min="183" max="183" width="10.140625" bestFit="1" customWidth="1"/>
    <col min="184" max="184" width="10.28515625" bestFit="1" customWidth="1"/>
    <col min="185" max="185" width="10.7109375" bestFit="1" customWidth="1"/>
    <col min="186" max="186" width="10.28515625" bestFit="1" customWidth="1"/>
    <col min="187" max="187" width="11.140625" bestFit="1" customWidth="1"/>
    <col min="188" max="188" width="10.28515625" bestFit="1" customWidth="1"/>
    <col min="189" max="189" width="9.5703125" bestFit="1" customWidth="1"/>
    <col min="190" max="190" width="10.7109375" bestFit="1" customWidth="1"/>
    <col min="191" max="191" width="10.42578125" bestFit="1" customWidth="1"/>
    <col min="192" max="192" width="10.28515625" bestFit="1" customWidth="1"/>
    <col min="193" max="193" width="10.7109375" bestFit="1" customWidth="1"/>
    <col min="194" max="194" width="10.42578125" bestFit="1" customWidth="1"/>
    <col min="195" max="195" width="10.140625" bestFit="1" customWidth="1"/>
    <col min="196" max="196" width="10.28515625" bestFit="1" customWidth="1"/>
    <col min="197" max="197" width="10.7109375" bestFit="1" customWidth="1"/>
    <col min="198" max="198" width="10.28515625" bestFit="1" customWidth="1"/>
    <col min="199" max="199" width="11.140625" bestFit="1" customWidth="1"/>
    <col min="200" max="200" width="10.28515625" bestFit="1" customWidth="1"/>
    <col min="201" max="201" width="9.5703125" bestFit="1" customWidth="1"/>
    <col min="202" max="202" width="10.7109375" bestFit="1" customWidth="1"/>
    <col min="203" max="203" width="10.42578125" bestFit="1" customWidth="1"/>
    <col min="204" max="204" width="10.28515625" bestFit="1" customWidth="1"/>
    <col min="205" max="205" width="10.7109375" bestFit="1" customWidth="1"/>
    <col min="206" max="206" width="10.42578125" bestFit="1" customWidth="1"/>
    <col min="207" max="207" width="10.140625" bestFit="1" customWidth="1"/>
    <col min="208" max="208" width="10.28515625" bestFit="1" customWidth="1"/>
    <col min="209" max="209" width="10.7109375" bestFit="1" customWidth="1"/>
    <col min="210" max="210" width="10.28515625" bestFit="1" customWidth="1"/>
    <col min="211" max="211" width="11.140625" bestFit="1" customWidth="1"/>
    <col min="212" max="212" width="10.28515625" bestFit="1" customWidth="1"/>
    <col min="213" max="213" width="9.5703125" bestFit="1" customWidth="1"/>
    <col min="214" max="214" width="10.7109375" bestFit="1" customWidth="1"/>
    <col min="215" max="215" width="10.42578125" bestFit="1" customWidth="1"/>
    <col min="216" max="216" width="10.28515625" bestFit="1" customWidth="1"/>
    <col min="217" max="217" width="10.7109375" bestFit="1" customWidth="1"/>
    <col min="218" max="218" width="10.42578125" bestFit="1" customWidth="1"/>
    <col min="219" max="219" width="10.140625" bestFit="1" customWidth="1"/>
    <col min="220" max="220" width="10.28515625" bestFit="1" customWidth="1"/>
    <col min="221" max="221" width="10.7109375" bestFit="1" customWidth="1"/>
    <col min="222" max="222" width="10.28515625" bestFit="1" customWidth="1"/>
    <col min="223" max="223" width="11.140625" bestFit="1" customWidth="1"/>
    <col min="224" max="224" width="10.28515625" bestFit="1" customWidth="1"/>
    <col min="225" max="225" width="9.5703125" bestFit="1" customWidth="1"/>
    <col min="226" max="226" width="10.7109375" bestFit="1" customWidth="1"/>
    <col min="227" max="227" width="10.42578125" bestFit="1" customWidth="1"/>
    <col min="228" max="228" width="10.28515625" bestFit="1" customWidth="1"/>
    <col min="229" max="229" width="10.7109375" bestFit="1" customWidth="1"/>
    <col min="230" max="230" width="10.42578125" bestFit="1" customWidth="1"/>
    <col min="231" max="231" width="10.140625" bestFit="1" customWidth="1"/>
    <col min="232" max="232" width="10.28515625" bestFit="1" customWidth="1"/>
    <col min="233" max="233" width="10.7109375" bestFit="1" customWidth="1"/>
    <col min="234" max="234" width="10.28515625" bestFit="1" customWidth="1"/>
    <col min="235" max="235" width="11.140625" bestFit="1" customWidth="1"/>
    <col min="236" max="236" width="10.28515625" bestFit="1" customWidth="1"/>
    <col min="237" max="237" width="9.5703125" bestFit="1" customWidth="1"/>
    <col min="238" max="238" width="10.7109375" bestFit="1" customWidth="1"/>
    <col min="239" max="239" width="10.42578125" bestFit="1" customWidth="1"/>
    <col min="240" max="240" width="10.28515625" bestFit="1" customWidth="1"/>
    <col min="241" max="241" width="10.7109375" bestFit="1" customWidth="1"/>
    <col min="242" max="242" width="10.42578125" bestFit="1" customWidth="1"/>
    <col min="243" max="243" width="10.140625" bestFit="1" customWidth="1"/>
    <col min="244" max="244" width="10.28515625" bestFit="1" customWidth="1"/>
    <col min="245" max="245" width="10.7109375" bestFit="1" customWidth="1"/>
    <col min="246" max="246" width="10.28515625" bestFit="1" customWidth="1"/>
    <col min="247" max="247" width="11.140625" bestFit="1" customWidth="1"/>
    <col min="248" max="248" width="10.28515625" bestFit="1" customWidth="1"/>
    <col min="249" max="249" width="9.5703125" bestFit="1" customWidth="1"/>
    <col min="250" max="250" width="10.7109375" bestFit="1" customWidth="1"/>
    <col min="251" max="251" width="10.42578125" bestFit="1" customWidth="1"/>
    <col min="252" max="252" width="10.28515625" bestFit="1" customWidth="1"/>
    <col min="253" max="253" width="10.7109375" bestFit="1" customWidth="1"/>
    <col min="254" max="254" width="10.42578125" bestFit="1" customWidth="1"/>
    <col min="255" max="255" width="10.140625" bestFit="1" customWidth="1"/>
    <col min="256" max="256" width="10.28515625" bestFit="1" customWidth="1"/>
    <col min="257" max="257" width="10.7109375" bestFit="1" customWidth="1"/>
    <col min="258" max="258" width="10.28515625" bestFit="1" customWidth="1"/>
    <col min="259" max="259" width="11.140625" bestFit="1" customWidth="1"/>
    <col min="260" max="260" width="10.28515625" bestFit="1" customWidth="1"/>
    <col min="261" max="261" width="9.5703125" bestFit="1" customWidth="1"/>
    <col min="262" max="262" width="10.7109375" bestFit="1" customWidth="1"/>
    <col min="263" max="263" width="10.42578125" bestFit="1" customWidth="1"/>
    <col min="264" max="264" width="10.28515625" bestFit="1" customWidth="1"/>
    <col min="265" max="265" width="10.7109375" bestFit="1" customWidth="1"/>
    <col min="266" max="266" width="10.42578125" bestFit="1" customWidth="1"/>
    <col min="267" max="267" width="10.140625" bestFit="1" customWidth="1"/>
    <col min="268" max="268" width="10.28515625" bestFit="1" customWidth="1"/>
    <col min="269" max="269" width="10.7109375" bestFit="1" customWidth="1"/>
    <col min="270" max="270" width="10.28515625" bestFit="1" customWidth="1"/>
    <col min="271" max="271" width="11.140625" bestFit="1" customWidth="1"/>
    <col min="272" max="272" width="10.28515625" bestFit="1" customWidth="1"/>
    <col min="273" max="273" width="9.5703125" bestFit="1" customWidth="1"/>
    <col min="274" max="274" width="10.7109375" bestFit="1" customWidth="1"/>
    <col min="275" max="275" width="10.42578125" bestFit="1" customWidth="1"/>
    <col min="276" max="276" width="10.28515625" bestFit="1" customWidth="1"/>
    <col min="277" max="277" width="10.7109375" bestFit="1" customWidth="1"/>
    <col min="278" max="278" width="10.42578125" bestFit="1" customWidth="1"/>
    <col min="279" max="279" width="10.140625" bestFit="1" customWidth="1"/>
    <col min="280" max="280" width="10.28515625" bestFit="1" customWidth="1"/>
    <col min="281" max="281" width="10.7109375" bestFit="1" customWidth="1"/>
    <col min="282" max="282" width="10.28515625" bestFit="1" customWidth="1"/>
    <col min="283" max="283" width="11.140625" bestFit="1" customWidth="1"/>
    <col min="284" max="284" width="10.28515625" bestFit="1" customWidth="1"/>
    <col min="285" max="285" width="9.5703125" bestFit="1" customWidth="1"/>
    <col min="286" max="286" width="10.7109375" bestFit="1" customWidth="1"/>
    <col min="287" max="287" width="10.42578125" bestFit="1" customWidth="1"/>
    <col min="288" max="288" width="10.28515625" bestFit="1" customWidth="1"/>
    <col min="289" max="289" width="10.7109375" bestFit="1" customWidth="1"/>
    <col min="290" max="290" width="10.42578125" bestFit="1" customWidth="1"/>
    <col min="291" max="291" width="10.140625" bestFit="1" customWidth="1"/>
    <col min="292" max="292" width="10.28515625" bestFit="1" customWidth="1"/>
    <col min="293" max="293" width="10.7109375" bestFit="1" customWidth="1"/>
    <col min="294" max="294" width="10.28515625" bestFit="1" customWidth="1"/>
    <col min="295" max="295" width="11.140625" bestFit="1" customWidth="1"/>
    <col min="296" max="296" width="10.28515625" bestFit="1" customWidth="1"/>
    <col min="297" max="297" width="9.5703125" bestFit="1" customWidth="1"/>
    <col min="298" max="298" width="10.7109375" bestFit="1" customWidth="1"/>
    <col min="299" max="299" width="10.42578125" bestFit="1" customWidth="1"/>
    <col min="300" max="300" width="10.28515625" bestFit="1" customWidth="1"/>
    <col min="301" max="301" width="10.7109375" bestFit="1" customWidth="1"/>
    <col min="302" max="302" width="10.42578125" bestFit="1" customWidth="1"/>
    <col min="303" max="303" width="10.140625" bestFit="1" customWidth="1"/>
    <col min="304" max="304" width="10.28515625" bestFit="1" customWidth="1"/>
    <col min="305" max="305" width="10.7109375" bestFit="1" customWidth="1"/>
    <col min="306" max="306" width="10.28515625" bestFit="1" customWidth="1"/>
    <col min="307" max="307" width="11.140625" bestFit="1" customWidth="1"/>
    <col min="308" max="308" width="10.28515625" bestFit="1" customWidth="1"/>
    <col min="309" max="309" width="9.5703125" bestFit="1" customWidth="1"/>
    <col min="310" max="310" width="10.7109375" bestFit="1" customWidth="1"/>
    <col min="311" max="311" width="10.42578125" bestFit="1" customWidth="1"/>
    <col min="312" max="312" width="10.28515625" bestFit="1" customWidth="1"/>
    <col min="313" max="313" width="10.7109375" bestFit="1" customWidth="1"/>
    <col min="314" max="314" width="10.42578125" bestFit="1" customWidth="1"/>
    <col min="315" max="315" width="10.140625" bestFit="1" customWidth="1"/>
    <col min="316" max="316" width="10.28515625" bestFit="1" customWidth="1"/>
    <col min="317" max="317" width="10.7109375" bestFit="1" customWidth="1"/>
    <col min="318" max="318" width="10.28515625" bestFit="1" customWidth="1"/>
    <col min="319" max="319" width="11.140625" bestFit="1" customWidth="1"/>
    <col min="320" max="320" width="10.28515625" bestFit="1" customWidth="1"/>
    <col min="321" max="321" width="9.5703125" bestFit="1" customWidth="1"/>
    <col min="322" max="322" width="10.7109375" bestFit="1" customWidth="1"/>
    <col min="323" max="323" width="10.42578125" bestFit="1" customWidth="1"/>
    <col min="324" max="324" width="10.28515625" bestFit="1" customWidth="1"/>
    <col min="325" max="325" width="10.7109375" bestFit="1" customWidth="1"/>
    <col min="326" max="326" width="10.42578125" bestFit="1" customWidth="1"/>
    <col min="327" max="327" width="10.140625" bestFit="1" customWidth="1"/>
    <col min="328" max="328" width="10.28515625" bestFit="1" customWidth="1"/>
    <col min="329" max="329" width="10.7109375" bestFit="1" customWidth="1"/>
    <col min="330" max="330" width="10.28515625" bestFit="1" customWidth="1"/>
    <col min="331" max="331" width="11.140625" bestFit="1" customWidth="1"/>
    <col min="332" max="332" width="10.28515625" bestFit="1" customWidth="1"/>
    <col min="333" max="333" width="9.5703125" bestFit="1" customWidth="1"/>
    <col min="334" max="334" width="10.7109375" bestFit="1" customWidth="1"/>
    <col min="335" max="335" width="10.42578125" bestFit="1" customWidth="1"/>
    <col min="336" max="336" width="10.28515625" bestFit="1" customWidth="1"/>
    <col min="337" max="337" width="10.7109375" bestFit="1" customWidth="1"/>
    <col min="338" max="338" width="10.42578125" bestFit="1" customWidth="1"/>
    <col min="339" max="339" width="10.140625" bestFit="1" customWidth="1"/>
    <col min="340" max="340" width="10.28515625" bestFit="1" customWidth="1"/>
    <col min="341" max="341" width="10.7109375" bestFit="1" customWidth="1"/>
    <col min="342" max="342" width="10.28515625" bestFit="1" customWidth="1"/>
    <col min="343" max="343" width="11.140625" bestFit="1" customWidth="1"/>
    <col min="344" max="344" width="10.28515625" bestFit="1" customWidth="1"/>
    <col min="345" max="345" width="9.5703125" bestFit="1" customWidth="1"/>
    <col min="346" max="346" width="10.7109375" bestFit="1" customWidth="1"/>
    <col min="347" max="347" width="10.42578125" bestFit="1" customWidth="1"/>
    <col min="348" max="348" width="10.28515625" bestFit="1" customWidth="1"/>
    <col min="349" max="349" width="10.7109375" bestFit="1" customWidth="1"/>
    <col min="350" max="350" width="10.42578125" bestFit="1" customWidth="1"/>
    <col min="351" max="351" width="10.140625" bestFit="1" customWidth="1"/>
    <col min="352" max="352" width="10.28515625" bestFit="1" customWidth="1"/>
    <col min="353" max="353" width="10.7109375" bestFit="1" customWidth="1"/>
    <col min="354" max="354" width="10.28515625" bestFit="1" customWidth="1"/>
    <col min="355" max="355" width="11.140625" bestFit="1" customWidth="1"/>
    <col min="356" max="356" width="10.28515625" bestFit="1" customWidth="1"/>
    <col min="357" max="357" width="9.5703125" bestFit="1" customWidth="1"/>
    <col min="358" max="358" width="10.7109375" bestFit="1" customWidth="1"/>
    <col min="359" max="359" width="10.42578125" bestFit="1" customWidth="1"/>
    <col min="360" max="360" width="10.28515625" bestFit="1" customWidth="1"/>
    <col min="361" max="361" width="10.7109375" bestFit="1" customWidth="1"/>
    <col min="362" max="362" width="10.42578125" bestFit="1" customWidth="1"/>
    <col min="363" max="363" width="10.140625" bestFit="1" customWidth="1"/>
    <col min="364" max="364" width="10.28515625" bestFit="1" customWidth="1"/>
    <col min="365" max="365" width="10.7109375" bestFit="1" customWidth="1"/>
    <col min="366" max="366" width="10.28515625" bestFit="1" customWidth="1"/>
    <col min="367" max="367" width="11.140625" bestFit="1" customWidth="1"/>
    <col min="368" max="368" width="10.7109375" bestFit="1" customWidth="1"/>
    <col min="369" max="369" width="10.42578125" bestFit="1" customWidth="1"/>
    <col min="370" max="370" width="10.140625" bestFit="1" customWidth="1"/>
    <col min="371" max="371" width="10.28515625" bestFit="1" customWidth="1"/>
    <col min="372" max="372" width="10.7109375" bestFit="1" customWidth="1"/>
    <col min="373" max="373" width="10.28515625" bestFit="1" customWidth="1"/>
    <col min="374" max="374" width="11.140625" bestFit="1" customWidth="1"/>
  </cols>
  <sheetData>
    <row r="1" spans="1:18" ht="45.75" x14ac:dyDescent="0.65">
      <c r="A1" s="270" t="str">
        <f>_xlfn.TEXTAFTER(CELL("filename",A1),"]")</f>
        <v>nabla.f.TimelineOffsetλ</v>
      </c>
      <c r="B1" s="270"/>
      <c r="C1" s="270"/>
      <c r="D1" s="270"/>
      <c r="E1" s="270"/>
      <c r="F1" s="270"/>
      <c r="G1" s="270"/>
      <c r="H1" s="270"/>
      <c r="I1" s="270"/>
      <c r="J1" s="270"/>
      <c r="K1" s="270"/>
      <c r="L1" s="270"/>
      <c r="M1" s="270"/>
      <c r="N1" s="270"/>
      <c r="O1" s="270"/>
      <c r="P1" s="270"/>
    </row>
    <row r="2" spans="1:18" x14ac:dyDescent="0.25">
      <c r="A2" s="273" t="s">
        <v>217</v>
      </c>
      <c r="B2" s="274"/>
      <c r="C2" s="274"/>
      <c r="D2" s="274"/>
      <c r="E2" s="274"/>
      <c r="F2" s="274"/>
      <c r="G2" s="274"/>
      <c r="H2" s="274"/>
      <c r="I2" s="274"/>
      <c r="J2" s="274"/>
      <c r="K2" s="274"/>
      <c r="L2" s="274"/>
      <c r="M2" s="274"/>
      <c r="N2" s="274"/>
      <c r="O2" s="274"/>
      <c r="P2" s="274"/>
      <c r="Q2" s="274"/>
      <c r="R2" s="274"/>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4">nabla.f.TimelineOffsetλ()</f>
        <v>FUNCTION:</v>
      </c>
      <c r="B4" t="str">
        <v>TimelineOffsetλ(ArrayStart,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https://github.com/ryanduguid/Nabla</v>
      </c>
    </row>
    <row r="8" spans="1:18" x14ac:dyDescent="0.25">
      <c r="A8" t="str">
        <v>VERSION:</v>
      </c>
      <c r="B8" t="str">
        <v>18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timline (Row of period start dates)</v>
      </c>
    </row>
    <row r="12" spans="1:18" x14ac:dyDescent="0.25">
      <c r="A12" t="str">
        <v>EXAMPLES:</v>
      </c>
      <c r="B12" t="str">
        <v/>
      </c>
    </row>
    <row r="13" spans="1:18" x14ac:dyDescent="0.25">
      <c r="A13" t="str">
        <v>Result</v>
      </c>
      <c r="B13" t="str">
        <v>Formula (nabla.f is assumed to be the module's name)</v>
      </c>
    </row>
    <row r="14" spans="1:18" x14ac:dyDescent="0.25">
      <c r="A14" t="str">
        <v/>
      </c>
      <c r="B14" t="str">
        <v>=nabla.f.TimelineOffsetλ("15/2/2024", EDATE("1/1/2025", SEQUENCE( , 12, 0)</v>
      </c>
    </row>
    <row r="17" spans="1:367" x14ac:dyDescent="0.25">
      <c r="C17" s="230" t="s">
        <v>149</v>
      </c>
    </row>
    <row r="18" spans="1:367" x14ac:dyDescent="0.25">
      <c r="A18" s="161" t="s">
        <v>322</v>
      </c>
      <c r="B18" s="155" t="s">
        <v>323</v>
      </c>
      <c r="C18" s="156" cm="1">
        <f t="array" ref="C18:NC18">nabla.d.Timelineλ("1/1/2026", 365, "M")</f>
        <v>45292</v>
      </c>
      <c r="D18" s="156">
        <v>46054</v>
      </c>
      <c r="E18" s="156">
        <v>46082</v>
      </c>
      <c r="F18" s="156">
        <v>46113</v>
      </c>
      <c r="G18" s="156">
        <v>46143</v>
      </c>
      <c r="H18" s="156">
        <v>46174</v>
      </c>
      <c r="I18" s="156">
        <v>46204</v>
      </c>
      <c r="J18" s="156">
        <v>46235</v>
      </c>
      <c r="K18" s="156">
        <v>46266</v>
      </c>
      <c r="L18" s="156">
        <v>46296</v>
      </c>
      <c r="M18" s="156">
        <v>46327</v>
      </c>
      <c r="N18" s="156">
        <v>46357</v>
      </c>
      <c r="O18" s="156">
        <v>46388</v>
      </c>
      <c r="P18" s="156">
        <v>46419</v>
      </c>
      <c r="Q18" s="156">
        <v>46447</v>
      </c>
      <c r="R18" s="156">
        <v>46478</v>
      </c>
      <c r="S18" s="156">
        <v>46508</v>
      </c>
      <c r="T18" s="156">
        <v>46539</v>
      </c>
      <c r="U18" s="156">
        <v>46569</v>
      </c>
      <c r="V18" s="156">
        <v>46600</v>
      </c>
      <c r="W18" s="156">
        <v>46631</v>
      </c>
      <c r="X18" s="156">
        <v>46661</v>
      </c>
      <c r="Y18" s="156">
        <v>46692</v>
      </c>
      <c r="Z18" s="156">
        <v>46722</v>
      </c>
      <c r="AA18" s="156">
        <v>46753</v>
      </c>
      <c r="AB18" s="156">
        <v>46784</v>
      </c>
      <c r="AC18" s="156">
        <v>46813</v>
      </c>
      <c r="AD18" s="156">
        <v>46844</v>
      </c>
      <c r="AE18" s="156">
        <v>46874</v>
      </c>
      <c r="AF18" s="156">
        <v>46905</v>
      </c>
      <c r="AG18" s="156">
        <v>46935</v>
      </c>
      <c r="AH18" s="156">
        <v>46966</v>
      </c>
      <c r="AI18" s="156">
        <v>46997</v>
      </c>
      <c r="AJ18" s="156">
        <v>47027</v>
      </c>
      <c r="AK18" s="156">
        <v>47058</v>
      </c>
      <c r="AL18" s="156">
        <v>47088</v>
      </c>
      <c r="AM18" s="156">
        <v>47119</v>
      </c>
      <c r="AN18" s="156">
        <v>47150</v>
      </c>
      <c r="AO18" s="156">
        <v>47178</v>
      </c>
      <c r="AP18" s="156">
        <v>47209</v>
      </c>
      <c r="AQ18" s="156">
        <v>47239</v>
      </c>
      <c r="AR18" s="156">
        <v>47270</v>
      </c>
      <c r="AS18" s="156">
        <v>47300</v>
      </c>
      <c r="AT18" s="156">
        <v>47331</v>
      </c>
      <c r="AU18" s="156">
        <v>47362</v>
      </c>
      <c r="AV18" s="156">
        <v>47392</v>
      </c>
      <c r="AW18" s="156">
        <v>47423</v>
      </c>
      <c r="AX18" s="156">
        <v>47453</v>
      </c>
      <c r="AY18" s="156">
        <v>47484</v>
      </c>
      <c r="AZ18" s="156">
        <v>47515</v>
      </c>
      <c r="BA18" s="156">
        <v>47543</v>
      </c>
      <c r="BB18" s="156">
        <v>47574</v>
      </c>
      <c r="BC18" s="156">
        <v>47604</v>
      </c>
      <c r="BD18" s="156">
        <v>47635</v>
      </c>
      <c r="BE18" s="156">
        <v>47665</v>
      </c>
      <c r="BF18" s="156">
        <v>47696</v>
      </c>
      <c r="BG18" s="156">
        <v>47727</v>
      </c>
      <c r="BH18" s="156">
        <v>47757</v>
      </c>
      <c r="BI18" s="156">
        <v>47788</v>
      </c>
      <c r="BJ18" s="156">
        <v>47818</v>
      </c>
      <c r="BK18" s="156">
        <v>47849</v>
      </c>
      <c r="BL18" s="156">
        <v>47880</v>
      </c>
      <c r="BM18" s="156">
        <v>47908</v>
      </c>
      <c r="BN18" s="156">
        <v>47939</v>
      </c>
      <c r="BO18" s="156">
        <v>47969</v>
      </c>
      <c r="BP18" s="156">
        <v>48000</v>
      </c>
      <c r="BQ18" s="156">
        <v>48030</v>
      </c>
      <c r="BR18" s="156">
        <v>48061</v>
      </c>
      <c r="BS18" s="156">
        <v>48092</v>
      </c>
      <c r="BT18" s="156">
        <v>48122</v>
      </c>
      <c r="BU18" s="156">
        <v>48153</v>
      </c>
      <c r="BV18" s="156">
        <v>48183</v>
      </c>
      <c r="BW18" s="156">
        <v>48214</v>
      </c>
      <c r="BX18" s="156">
        <v>48245</v>
      </c>
      <c r="BY18" s="156">
        <v>48274</v>
      </c>
      <c r="BZ18" s="156">
        <v>48305</v>
      </c>
      <c r="CA18" s="156">
        <v>48335</v>
      </c>
      <c r="CB18" s="156">
        <v>48366</v>
      </c>
      <c r="CC18" s="156">
        <v>48396</v>
      </c>
      <c r="CD18" s="156">
        <v>48427</v>
      </c>
      <c r="CE18" s="156">
        <v>48458</v>
      </c>
      <c r="CF18" s="156">
        <v>48488</v>
      </c>
      <c r="CG18" s="156">
        <v>48519</v>
      </c>
      <c r="CH18" s="156">
        <v>48549</v>
      </c>
      <c r="CI18" s="156">
        <v>48580</v>
      </c>
      <c r="CJ18" s="156">
        <v>48611</v>
      </c>
      <c r="CK18" s="156">
        <v>48639</v>
      </c>
      <c r="CL18" s="156">
        <v>48670</v>
      </c>
      <c r="CM18" s="156">
        <v>48700</v>
      </c>
      <c r="CN18" s="156">
        <v>48731</v>
      </c>
      <c r="CO18" s="156">
        <v>48761</v>
      </c>
      <c r="CP18" s="156">
        <v>48792</v>
      </c>
      <c r="CQ18" s="156">
        <v>48823</v>
      </c>
      <c r="CR18" s="156">
        <v>48853</v>
      </c>
      <c r="CS18" s="156">
        <v>48884</v>
      </c>
      <c r="CT18" s="156">
        <v>48914</v>
      </c>
      <c r="CU18" s="156">
        <v>48945</v>
      </c>
      <c r="CV18" s="156">
        <v>48976</v>
      </c>
      <c r="CW18" s="156">
        <v>49004</v>
      </c>
      <c r="CX18" s="156">
        <v>49035</v>
      </c>
      <c r="CY18" s="156">
        <v>49065</v>
      </c>
      <c r="CZ18" s="156">
        <v>49096</v>
      </c>
      <c r="DA18" s="156">
        <v>49126</v>
      </c>
      <c r="DB18" s="156">
        <v>49157</v>
      </c>
      <c r="DC18" s="156">
        <v>49188</v>
      </c>
      <c r="DD18" s="156">
        <v>49218</v>
      </c>
      <c r="DE18" s="156">
        <v>49249</v>
      </c>
      <c r="DF18" s="156">
        <v>49279</v>
      </c>
      <c r="DG18" s="156">
        <v>49310</v>
      </c>
      <c r="DH18" s="156">
        <v>49341</v>
      </c>
      <c r="DI18" s="156">
        <v>49369</v>
      </c>
      <c r="DJ18" s="156">
        <v>49400</v>
      </c>
      <c r="DK18" s="156">
        <v>49430</v>
      </c>
      <c r="DL18" s="156">
        <v>49461</v>
      </c>
      <c r="DM18" s="156">
        <v>49491</v>
      </c>
      <c r="DN18" s="156">
        <v>49522</v>
      </c>
      <c r="DO18" s="156">
        <v>49553</v>
      </c>
      <c r="DP18" s="156">
        <v>49583</v>
      </c>
      <c r="DQ18" s="156">
        <v>49614</v>
      </c>
      <c r="DR18" s="156">
        <v>49644</v>
      </c>
      <c r="DS18" s="156">
        <v>49675</v>
      </c>
      <c r="DT18" s="156">
        <v>49706</v>
      </c>
      <c r="DU18" s="156">
        <v>49735</v>
      </c>
      <c r="DV18" s="156">
        <v>49766</v>
      </c>
      <c r="DW18" s="156">
        <v>49796</v>
      </c>
      <c r="DX18" s="156">
        <v>49827</v>
      </c>
      <c r="DY18" s="156">
        <v>49857</v>
      </c>
      <c r="DZ18" s="156">
        <v>49888</v>
      </c>
      <c r="EA18" s="156">
        <v>49919</v>
      </c>
      <c r="EB18" s="156">
        <v>49949</v>
      </c>
      <c r="EC18" s="156">
        <v>49980</v>
      </c>
      <c r="ED18" s="156">
        <v>50010</v>
      </c>
      <c r="EE18" s="156">
        <v>50041</v>
      </c>
      <c r="EF18" s="156">
        <v>50072</v>
      </c>
      <c r="EG18" s="156">
        <v>50100</v>
      </c>
      <c r="EH18" s="156">
        <v>50131</v>
      </c>
      <c r="EI18" s="156">
        <v>50161</v>
      </c>
      <c r="EJ18" s="156">
        <v>50192</v>
      </c>
      <c r="EK18" s="156">
        <v>50222</v>
      </c>
      <c r="EL18" s="156">
        <v>50253</v>
      </c>
      <c r="EM18" s="156">
        <v>50284</v>
      </c>
      <c r="EN18" s="156">
        <v>50314</v>
      </c>
      <c r="EO18" s="156">
        <v>50345</v>
      </c>
      <c r="EP18" s="156">
        <v>50375</v>
      </c>
      <c r="EQ18" s="156">
        <v>50406</v>
      </c>
      <c r="ER18" s="156">
        <v>50437</v>
      </c>
      <c r="ES18" s="156">
        <v>50465</v>
      </c>
      <c r="ET18" s="156">
        <v>50496</v>
      </c>
      <c r="EU18" s="156">
        <v>50526</v>
      </c>
      <c r="EV18" s="156">
        <v>50557</v>
      </c>
      <c r="EW18" s="156">
        <v>50587</v>
      </c>
      <c r="EX18" s="156">
        <v>50618</v>
      </c>
      <c r="EY18" s="156">
        <v>50649</v>
      </c>
      <c r="EZ18" s="156">
        <v>50679</v>
      </c>
      <c r="FA18" s="156">
        <v>50710</v>
      </c>
      <c r="FB18" s="156">
        <v>50740</v>
      </c>
      <c r="FC18" s="156">
        <v>50771</v>
      </c>
      <c r="FD18" s="156">
        <v>50802</v>
      </c>
      <c r="FE18" s="156">
        <v>50830</v>
      </c>
      <c r="FF18" s="156">
        <v>50861</v>
      </c>
      <c r="FG18" s="156">
        <v>50891</v>
      </c>
      <c r="FH18" s="156">
        <v>50922</v>
      </c>
      <c r="FI18" s="156">
        <v>50952</v>
      </c>
      <c r="FJ18" s="156">
        <v>50983</v>
      </c>
      <c r="FK18" s="156">
        <v>51014</v>
      </c>
      <c r="FL18" s="156">
        <v>51044</v>
      </c>
      <c r="FM18" s="156">
        <v>51075</v>
      </c>
      <c r="FN18" s="156">
        <v>51105</v>
      </c>
      <c r="FO18" s="156">
        <v>51136</v>
      </c>
      <c r="FP18" s="156">
        <v>51167</v>
      </c>
      <c r="FQ18" s="156">
        <v>51196</v>
      </c>
      <c r="FR18" s="156">
        <v>51227</v>
      </c>
      <c r="FS18" s="156">
        <v>51257</v>
      </c>
      <c r="FT18" s="156">
        <v>51288</v>
      </c>
      <c r="FU18" s="156">
        <v>51318</v>
      </c>
      <c r="FV18" s="156">
        <v>51349</v>
      </c>
      <c r="FW18" s="156">
        <v>51380</v>
      </c>
      <c r="FX18" s="156">
        <v>51410</v>
      </c>
      <c r="FY18" s="156">
        <v>51441</v>
      </c>
      <c r="FZ18" s="156">
        <v>51471</v>
      </c>
      <c r="GA18" s="156">
        <v>51502</v>
      </c>
      <c r="GB18" s="156">
        <v>51533</v>
      </c>
      <c r="GC18" s="156">
        <v>51561</v>
      </c>
      <c r="GD18" s="156">
        <v>51592</v>
      </c>
      <c r="GE18" s="156">
        <v>51622</v>
      </c>
      <c r="GF18" s="156">
        <v>51653</v>
      </c>
      <c r="GG18" s="156">
        <v>51683</v>
      </c>
      <c r="GH18" s="156">
        <v>51714</v>
      </c>
      <c r="GI18" s="156">
        <v>51745</v>
      </c>
      <c r="GJ18" s="156">
        <v>51775</v>
      </c>
      <c r="GK18" s="156">
        <v>51806</v>
      </c>
      <c r="GL18" s="156">
        <v>51836</v>
      </c>
      <c r="GM18" s="156">
        <v>51867</v>
      </c>
      <c r="GN18" s="156">
        <v>51898</v>
      </c>
      <c r="GO18" s="156">
        <v>51926</v>
      </c>
      <c r="GP18" s="156">
        <v>51957</v>
      </c>
      <c r="GQ18" s="156">
        <v>51987</v>
      </c>
      <c r="GR18" s="156">
        <v>52018</v>
      </c>
      <c r="GS18" s="156">
        <v>52048</v>
      </c>
      <c r="GT18" s="156">
        <v>52079</v>
      </c>
      <c r="GU18" s="156">
        <v>52110</v>
      </c>
      <c r="GV18" s="156">
        <v>52140</v>
      </c>
      <c r="GW18" s="156">
        <v>52171</v>
      </c>
      <c r="GX18" s="156">
        <v>52201</v>
      </c>
      <c r="GY18" s="156">
        <v>52232</v>
      </c>
      <c r="GZ18" s="156">
        <v>52263</v>
      </c>
      <c r="HA18" s="156">
        <v>52291</v>
      </c>
      <c r="HB18" s="156">
        <v>52322</v>
      </c>
      <c r="HC18" s="156">
        <v>52352</v>
      </c>
      <c r="HD18" s="156">
        <v>52383</v>
      </c>
      <c r="HE18" s="156">
        <v>52413</v>
      </c>
      <c r="HF18" s="156">
        <v>52444</v>
      </c>
      <c r="HG18" s="156">
        <v>52475</v>
      </c>
      <c r="HH18" s="156">
        <v>52505</v>
      </c>
      <c r="HI18" s="156">
        <v>52536</v>
      </c>
      <c r="HJ18" s="156">
        <v>52566</v>
      </c>
      <c r="HK18" s="156">
        <v>52597</v>
      </c>
      <c r="HL18" s="156">
        <v>52628</v>
      </c>
      <c r="HM18" s="156">
        <v>52657</v>
      </c>
      <c r="HN18" s="156">
        <v>52688</v>
      </c>
      <c r="HO18" s="156">
        <v>52718</v>
      </c>
      <c r="HP18" s="156">
        <v>52749</v>
      </c>
      <c r="HQ18" s="156">
        <v>52779</v>
      </c>
      <c r="HR18" s="156">
        <v>52810</v>
      </c>
      <c r="HS18" s="156">
        <v>52841</v>
      </c>
      <c r="HT18" s="156">
        <v>52871</v>
      </c>
      <c r="HU18" s="156">
        <v>52902</v>
      </c>
      <c r="HV18" s="156">
        <v>52932</v>
      </c>
      <c r="HW18" s="156">
        <v>52963</v>
      </c>
      <c r="HX18" s="156">
        <v>52994</v>
      </c>
      <c r="HY18" s="156">
        <v>53022</v>
      </c>
      <c r="HZ18" s="156">
        <v>53053</v>
      </c>
      <c r="IA18" s="156">
        <v>53083</v>
      </c>
      <c r="IB18" s="156">
        <v>53114</v>
      </c>
      <c r="IC18" s="156">
        <v>53144</v>
      </c>
      <c r="ID18" s="156">
        <v>53175</v>
      </c>
      <c r="IE18" s="156">
        <v>53206</v>
      </c>
      <c r="IF18" s="156">
        <v>53236</v>
      </c>
      <c r="IG18" s="156">
        <v>53267</v>
      </c>
      <c r="IH18" s="156">
        <v>53297</v>
      </c>
      <c r="II18" s="156">
        <v>53328</v>
      </c>
      <c r="IJ18" s="156">
        <v>53359</v>
      </c>
      <c r="IK18" s="156">
        <v>53387</v>
      </c>
      <c r="IL18" s="156">
        <v>53418</v>
      </c>
      <c r="IM18" s="156">
        <v>53448</v>
      </c>
      <c r="IN18" s="156">
        <v>53479</v>
      </c>
      <c r="IO18" s="156">
        <v>53509</v>
      </c>
      <c r="IP18" s="156">
        <v>53540</v>
      </c>
      <c r="IQ18" s="156">
        <v>53571</v>
      </c>
      <c r="IR18" s="156">
        <v>53601</v>
      </c>
      <c r="IS18" s="156">
        <v>53632</v>
      </c>
      <c r="IT18" s="156">
        <v>53662</v>
      </c>
      <c r="IU18" s="156">
        <v>53693</v>
      </c>
      <c r="IV18" s="156">
        <v>53724</v>
      </c>
      <c r="IW18" s="156">
        <v>53752</v>
      </c>
      <c r="IX18" s="156">
        <v>53783</v>
      </c>
      <c r="IY18" s="156">
        <v>53813</v>
      </c>
      <c r="IZ18" s="156">
        <v>53844</v>
      </c>
      <c r="JA18" s="156">
        <v>53874</v>
      </c>
      <c r="JB18" s="156">
        <v>53905</v>
      </c>
      <c r="JC18" s="156">
        <v>53936</v>
      </c>
      <c r="JD18" s="156">
        <v>53966</v>
      </c>
      <c r="JE18" s="156">
        <v>53997</v>
      </c>
      <c r="JF18" s="156">
        <v>54027</v>
      </c>
      <c r="JG18" s="156">
        <v>54058</v>
      </c>
      <c r="JH18" s="156">
        <v>54089</v>
      </c>
      <c r="JI18" s="156">
        <v>54118</v>
      </c>
      <c r="JJ18" s="156">
        <v>54149</v>
      </c>
      <c r="JK18" s="156">
        <v>54179</v>
      </c>
      <c r="JL18" s="156">
        <v>54210</v>
      </c>
      <c r="JM18" s="156">
        <v>54240</v>
      </c>
      <c r="JN18" s="156">
        <v>54271</v>
      </c>
      <c r="JO18" s="156">
        <v>54302</v>
      </c>
      <c r="JP18" s="156">
        <v>54332</v>
      </c>
      <c r="JQ18" s="156">
        <v>54363</v>
      </c>
      <c r="JR18" s="156">
        <v>54393</v>
      </c>
      <c r="JS18" s="156">
        <v>54424</v>
      </c>
      <c r="JT18" s="156">
        <v>54455</v>
      </c>
      <c r="JU18" s="156">
        <v>54483</v>
      </c>
      <c r="JV18" s="156">
        <v>54514</v>
      </c>
      <c r="JW18" s="156">
        <v>54544</v>
      </c>
      <c r="JX18" s="156">
        <v>54575</v>
      </c>
      <c r="JY18" s="156">
        <v>54605</v>
      </c>
      <c r="JZ18" s="156">
        <v>54636</v>
      </c>
      <c r="KA18" s="156">
        <v>54667</v>
      </c>
      <c r="KB18" s="156">
        <v>54697</v>
      </c>
      <c r="KC18" s="156">
        <v>54728</v>
      </c>
      <c r="KD18" s="156">
        <v>54758</v>
      </c>
      <c r="KE18" s="156">
        <v>54789</v>
      </c>
      <c r="KF18" s="156">
        <v>54820</v>
      </c>
      <c r="KG18" s="156">
        <v>54848</v>
      </c>
      <c r="KH18" s="156">
        <v>54879</v>
      </c>
      <c r="KI18" s="156">
        <v>54909</v>
      </c>
      <c r="KJ18" s="156">
        <v>54940</v>
      </c>
      <c r="KK18" s="156">
        <v>54970</v>
      </c>
      <c r="KL18" s="156">
        <v>55001</v>
      </c>
      <c r="KM18" s="156">
        <v>55032</v>
      </c>
      <c r="KN18" s="156">
        <v>55062</v>
      </c>
      <c r="KO18" s="156">
        <v>55093</v>
      </c>
      <c r="KP18" s="156">
        <v>55123</v>
      </c>
      <c r="KQ18" s="156">
        <v>55154</v>
      </c>
      <c r="KR18" s="156">
        <v>55185</v>
      </c>
      <c r="KS18" s="156">
        <v>55213</v>
      </c>
      <c r="KT18" s="156">
        <v>55244</v>
      </c>
      <c r="KU18" s="156">
        <v>55274</v>
      </c>
      <c r="KV18" s="156">
        <v>55305</v>
      </c>
      <c r="KW18" s="156">
        <v>55335</v>
      </c>
      <c r="KX18" s="156">
        <v>55366</v>
      </c>
      <c r="KY18" s="156">
        <v>55397</v>
      </c>
      <c r="KZ18" s="156">
        <v>55427</v>
      </c>
      <c r="LA18" s="156">
        <v>55458</v>
      </c>
      <c r="LB18" s="156">
        <v>55488</v>
      </c>
      <c r="LC18" s="156">
        <v>55519</v>
      </c>
      <c r="LD18" s="156">
        <v>55550</v>
      </c>
      <c r="LE18" s="156">
        <v>55579</v>
      </c>
      <c r="LF18" s="156">
        <v>55610</v>
      </c>
      <c r="LG18" s="156">
        <v>55640</v>
      </c>
      <c r="LH18" s="156">
        <v>55671</v>
      </c>
      <c r="LI18" s="156">
        <v>55701</v>
      </c>
      <c r="LJ18" s="156">
        <v>55732</v>
      </c>
      <c r="LK18" s="156">
        <v>55763</v>
      </c>
      <c r="LL18" s="156">
        <v>55793</v>
      </c>
      <c r="LM18" s="156">
        <v>55824</v>
      </c>
      <c r="LN18" s="156">
        <v>55854</v>
      </c>
      <c r="LO18" s="156">
        <v>55885</v>
      </c>
      <c r="LP18" s="156">
        <v>55916</v>
      </c>
      <c r="LQ18" s="156">
        <v>55944</v>
      </c>
      <c r="LR18" s="156">
        <v>55975</v>
      </c>
      <c r="LS18" s="156">
        <v>56005</v>
      </c>
      <c r="LT18" s="156">
        <v>56036</v>
      </c>
      <c r="LU18" s="156">
        <v>56066</v>
      </c>
      <c r="LV18" s="156">
        <v>56097</v>
      </c>
      <c r="LW18" s="156">
        <v>56128</v>
      </c>
      <c r="LX18" s="156">
        <v>56158</v>
      </c>
      <c r="LY18" s="156">
        <v>56189</v>
      </c>
      <c r="LZ18" s="156">
        <v>56219</v>
      </c>
      <c r="MA18" s="156">
        <v>56250</v>
      </c>
      <c r="MB18" s="156">
        <v>56281</v>
      </c>
      <c r="MC18" s="156">
        <v>56309</v>
      </c>
      <c r="MD18" s="156">
        <v>56340</v>
      </c>
      <c r="ME18" s="156">
        <v>56370</v>
      </c>
      <c r="MF18" s="156">
        <v>56401</v>
      </c>
      <c r="MG18" s="156">
        <v>56431</v>
      </c>
      <c r="MH18" s="156">
        <v>56462</v>
      </c>
      <c r="MI18" s="156">
        <v>56493</v>
      </c>
      <c r="MJ18" s="156">
        <v>56523</v>
      </c>
      <c r="MK18" s="156">
        <v>56554</v>
      </c>
      <c r="ML18" s="156">
        <v>56584</v>
      </c>
      <c r="MM18" s="156">
        <v>56615</v>
      </c>
      <c r="MN18" s="156">
        <v>56646</v>
      </c>
      <c r="MO18" s="156">
        <v>56674</v>
      </c>
      <c r="MP18" s="156">
        <v>56705</v>
      </c>
      <c r="MQ18" s="156">
        <v>56735</v>
      </c>
      <c r="MR18" s="156">
        <v>56766</v>
      </c>
      <c r="MS18" s="156">
        <v>56796</v>
      </c>
      <c r="MT18" s="156">
        <v>56827</v>
      </c>
      <c r="MU18" s="156">
        <v>56858</v>
      </c>
      <c r="MV18" s="156">
        <v>56888</v>
      </c>
      <c r="MW18" s="156">
        <v>56919</v>
      </c>
      <c r="MX18" s="156">
        <v>56949</v>
      </c>
      <c r="MY18" s="156">
        <v>56980</v>
      </c>
      <c r="MZ18" s="156">
        <v>57011</v>
      </c>
      <c r="NA18" s="156">
        <v>57040</v>
      </c>
      <c r="NB18" s="156">
        <v>57071</v>
      </c>
      <c r="NC18" s="156">
        <v>57101</v>
      </c>
    </row>
    <row r="19" spans="1:367" x14ac:dyDescent="0.25">
      <c r="A19" s="141">
        <v>46023</v>
      </c>
      <c r="B19" s="162" cm="1">
        <f t="array" ref="B19">nabla.f.TimelineOffsetλ(A19,_xlfn.ANCHORARRAY( $C$18))</f>
        <v>6</v>
      </c>
      <c r="C19" cm="1">
        <f t="array" ref="C19:NC19">N(_xlfn.ANCHORARRAY($C$18)=INDEX(_xlfn.ANCHORARRAY($C$18),B19+1))</f>
        <v>0</v>
      </c>
      <c r="D19">
        <f/>
        <v>0</v>
      </c>
      <c r="E19">
        <f/>
        <v>0</v>
      </c>
      <c r="F19">
        <f/>
        <v>0</v>
      </c>
      <c r="G19">
        <f/>
        <v>0</v>
      </c>
      <c r="H19">
        <f/>
        <v>0</v>
      </c>
      <c r="I19">
        <f/>
        <v>1</v>
      </c>
      <c r="J19">
        <f/>
        <v>0</v>
      </c>
      <c r="K19">
        <f/>
        <v>0</v>
      </c>
      <c r="L19">
        <f/>
        <v>0</v>
      </c>
      <c r="M19">
        <f/>
        <v>0</v>
      </c>
      <c r="N19">
        <f/>
        <v>0</v>
      </c>
      <c r="O19">
        <f/>
        <v>0</v>
      </c>
      <c r="P19">
        <f/>
        <v>0</v>
      </c>
      <c r="Q19">
        <f/>
        <v>0</v>
      </c>
      <c r="R19">
        <f/>
        <v>0</v>
      </c>
      <c r="S19">
        <f/>
        <v>0</v>
      </c>
      <c r="T19">
        <f/>
        <v>0</v>
      </c>
      <c r="U19">
        <f/>
        <v>0</v>
      </c>
      <c r="V19">
        <f/>
        <v>0</v>
      </c>
      <c r="W19">
        <f/>
        <v>0</v>
      </c>
      <c r="X19">
        <f/>
        <v>0</v>
      </c>
      <c r="Y19">
        <f/>
        <v>0</v>
      </c>
      <c r="Z19">
        <f/>
        <v>0</v>
      </c>
      <c r="AA19">
        <f/>
        <v>0</v>
      </c>
      <c r="AB19">
        <f/>
        <v>0</v>
      </c>
      <c r="AC19">
        <f/>
        <v>0</v>
      </c>
      <c r="AD19">
        <f/>
        <v>0</v>
      </c>
      <c r="AE19">
        <f/>
        <v>0</v>
      </c>
      <c r="AF19">
        <f/>
        <v>0</v>
      </c>
      <c r="AG19">
        <f/>
        <v>0</v>
      </c>
      <c r="AH19">
        <f/>
        <v>0</v>
      </c>
      <c r="AI19">
        <f/>
        <v>0</v>
      </c>
      <c r="AJ19">
        <f/>
        <v>0</v>
      </c>
      <c r="AK19">
        <f/>
        <v>0</v>
      </c>
      <c r="AL19">
        <f/>
        <v>0</v>
      </c>
      <c r="AM19">
        <f/>
        <v>0</v>
      </c>
      <c r="AN19">
        <f/>
        <v>0</v>
      </c>
      <c r="AO19">
        <f/>
        <v>0</v>
      </c>
      <c r="AP19">
        <f/>
        <v>0</v>
      </c>
      <c r="AQ19">
        <f/>
        <v>0</v>
      </c>
      <c r="AR19">
        <f/>
        <v>0</v>
      </c>
      <c r="AS19">
        <f/>
        <v>0</v>
      </c>
      <c r="AT19">
        <f/>
        <v>0</v>
      </c>
      <c r="AU19">
        <f/>
        <v>0</v>
      </c>
      <c r="AV19">
        <f/>
        <v>0</v>
      </c>
      <c r="AW19">
        <f/>
        <v>0</v>
      </c>
      <c r="AX19">
        <f/>
        <v>0</v>
      </c>
      <c r="AY19">
        <f/>
        <v>0</v>
      </c>
      <c r="AZ19">
        <f/>
        <v>0</v>
      </c>
      <c r="BA19">
        <f/>
        <v>0</v>
      </c>
      <c r="BB19">
        <f/>
        <v>0</v>
      </c>
      <c r="BC19">
        <f/>
        <v>0</v>
      </c>
      <c r="BD19">
        <f/>
        <v>0</v>
      </c>
      <c r="BE19">
        <f/>
        <v>0</v>
      </c>
      <c r="BF19">
        <f/>
        <v>0</v>
      </c>
      <c r="BG19">
        <f/>
        <v>0</v>
      </c>
      <c r="BH19">
        <f/>
        <v>0</v>
      </c>
      <c r="BI19">
        <f/>
        <v>0</v>
      </c>
      <c r="BJ19">
        <f/>
        <v>0</v>
      </c>
      <c r="BK19">
        <f/>
        <v>0</v>
      </c>
      <c r="BL19">
        <f/>
        <v>0</v>
      </c>
      <c r="BM19">
        <f/>
        <v>0</v>
      </c>
      <c r="BN19">
        <f/>
        <v>0</v>
      </c>
      <c r="BO19">
        <f/>
        <v>0</v>
      </c>
      <c r="BP19">
        <f/>
        <v>0</v>
      </c>
      <c r="BQ19">
        <f/>
        <v>0</v>
      </c>
      <c r="BR19">
        <f/>
        <v>0</v>
      </c>
      <c r="BS19">
        <f/>
        <v>0</v>
      </c>
      <c r="BT19">
        <f/>
        <v>0</v>
      </c>
      <c r="BU19">
        <f/>
        <v>0</v>
      </c>
      <c r="BV19">
        <f/>
        <v>0</v>
      </c>
      <c r="BW19">
        <f/>
        <v>0</v>
      </c>
      <c r="BX19">
        <f/>
        <v>0</v>
      </c>
      <c r="BY19">
        <f/>
        <v>0</v>
      </c>
      <c r="BZ19">
        <f/>
        <v>0</v>
      </c>
      <c r="CA19">
        <f/>
        <v>0</v>
      </c>
      <c r="CB19">
        <f/>
        <v>0</v>
      </c>
      <c r="CC19">
        <f/>
        <v>0</v>
      </c>
      <c r="CD19">
        <f/>
        <v>0</v>
      </c>
      <c r="CE19">
        <f/>
        <v>0</v>
      </c>
      <c r="CF19">
        <f/>
        <v>0</v>
      </c>
      <c r="CG19">
        <f/>
        <v>0</v>
      </c>
      <c r="CH19">
        <f/>
        <v>0</v>
      </c>
      <c r="CI19">
        <f/>
        <v>0</v>
      </c>
      <c r="CJ19">
        <f/>
        <v>0</v>
      </c>
      <c r="CK19">
        <f/>
        <v>0</v>
      </c>
      <c r="CL19">
        <f/>
        <v>0</v>
      </c>
      <c r="CM19">
        <f/>
        <v>0</v>
      </c>
      <c r="CN19">
        <f/>
        <v>0</v>
      </c>
      <c r="CO19">
        <f/>
        <v>0</v>
      </c>
      <c r="CP19">
        <f/>
        <v>0</v>
      </c>
      <c r="CQ19">
        <f/>
        <v>0</v>
      </c>
      <c r="CR19">
        <f/>
        <v>0</v>
      </c>
      <c r="CS19">
        <f/>
        <v>0</v>
      </c>
      <c r="CT19">
        <f/>
        <v>0</v>
      </c>
      <c r="CU19">
        <f/>
        <v>0</v>
      </c>
      <c r="CV19">
        <f/>
        <v>0</v>
      </c>
      <c r="CW19">
        <f/>
        <v>0</v>
      </c>
      <c r="CX19">
        <f/>
        <v>0</v>
      </c>
      <c r="CY19">
        <f/>
        <v>0</v>
      </c>
      <c r="CZ19">
        <f/>
        <v>0</v>
      </c>
      <c r="DA19">
        <f/>
        <v>0</v>
      </c>
      <c r="DB19">
        <f/>
        <v>0</v>
      </c>
      <c r="DC19">
        <f/>
        <v>0</v>
      </c>
      <c r="DD19">
        <f/>
        <v>0</v>
      </c>
      <c r="DE19">
        <f/>
        <v>0</v>
      </c>
      <c r="DF19">
        <f/>
        <v>0</v>
      </c>
      <c r="DG19">
        <f/>
        <v>0</v>
      </c>
      <c r="DH19">
        <f/>
        <v>0</v>
      </c>
      <c r="DI19">
        <f/>
        <v>0</v>
      </c>
      <c r="DJ19">
        <f/>
        <v>0</v>
      </c>
      <c r="DK19">
        <f/>
        <v>0</v>
      </c>
      <c r="DL19">
        <f/>
        <v>0</v>
      </c>
      <c r="DM19">
        <f/>
        <v>0</v>
      </c>
      <c r="DN19">
        <f/>
        <v>0</v>
      </c>
      <c r="DO19">
        <f/>
        <v>0</v>
      </c>
      <c r="DP19">
        <f/>
        <v>0</v>
      </c>
      <c r="DQ19">
        <f/>
        <v>0</v>
      </c>
      <c r="DR19">
        <f/>
        <v>0</v>
      </c>
      <c r="DS19">
        <f/>
        <v>0</v>
      </c>
      <c r="DT19">
        <f/>
        <v>0</v>
      </c>
      <c r="DU19">
        <f/>
        <v>0</v>
      </c>
      <c r="DV19">
        <f/>
        <v>0</v>
      </c>
      <c r="DW19">
        <f/>
        <v>0</v>
      </c>
      <c r="DX19">
        <f/>
        <v>0</v>
      </c>
      <c r="DY19">
        <f/>
        <v>0</v>
      </c>
      <c r="DZ19">
        <f/>
        <v>0</v>
      </c>
      <c r="EA19">
        <f/>
        <v>0</v>
      </c>
      <c r="EB19">
        <f/>
        <v>0</v>
      </c>
      <c r="EC19">
        <f/>
        <v>0</v>
      </c>
      <c r="ED19">
        <f/>
        <v>0</v>
      </c>
      <c r="EE19">
        <f/>
        <v>0</v>
      </c>
      <c r="EF19">
        <f/>
        <v>0</v>
      </c>
      <c r="EG19">
        <f/>
        <v>0</v>
      </c>
      <c r="EH19">
        <f/>
        <v>0</v>
      </c>
      <c r="EI19">
        <f/>
        <v>0</v>
      </c>
      <c r="EJ19">
        <f/>
        <v>0</v>
      </c>
      <c r="EK19">
        <f/>
        <v>0</v>
      </c>
      <c r="EL19">
        <f/>
        <v>0</v>
      </c>
      <c r="EM19">
        <f/>
        <v>0</v>
      </c>
      <c r="EN19">
        <f/>
        <v>0</v>
      </c>
      <c r="EO19">
        <f/>
        <v>0</v>
      </c>
      <c r="EP19">
        <f/>
        <v>0</v>
      </c>
      <c r="EQ19">
        <f/>
        <v>0</v>
      </c>
      <c r="ER19">
        <f/>
        <v>0</v>
      </c>
      <c r="ES19">
        <f/>
        <v>0</v>
      </c>
      <c r="ET19">
        <f/>
        <v>0</v>
      </c>
      <c r="EU19">
        <f/>
        <v>0</v>
      </c>
      <c r="EV19">
        <f/>
        <v>0</v>
      </c>
      <c r="EW19">
        <f/>
        <v>0</v>
      </c>
      <c r="EX19">
        <f/>
        <v>0</v>
      </c>
      <c r="EY19">
        <f/>
        <v>0</v>
      </c>
      <c r="EZ19">
        <f/>
        <v>0</v>
      </c>
      <c r="FA19">
        <f/>
        <v>0</v>
      </c>
      <c r="FB19">
        <f/>
        <v>0</v>
      </c>
      <c r="FC19">
        <f/>
        <v>0</v>
      </c>
      <c r="FD19">
        <f/>
        <v>0</v>
      </c>
      <c r="FE19">
        <f/>
        <v>0</v>
      </c>
      <c r="FF19">
        <f/>
        <v>0</v>
      </c>
      <c r="FG19">
        <f/>
        <v>0</v>
      </c>
      <c r="FH19">
        <f/>
        <v>0</v>
      </c>
      <c r="FI19">
        <f/>
        <v>0</v>
      </c>
      <c r="FJ19">
        <f/>
        <v>0</v>
      </c>
      <c r="FK19">
        <f/>
        <v>0</v>
      </c>
      <c r="FL19">
        <f/>
        <v>0</v>
      </c>
      <c r="FM19">
        <f/>
        <v>0</v>
      </c>
      <c r="FN19">
        <f/>
        <v>0</v>
      </c>
      <c r="FO19">
        <f/>
        <v>0</v>
      </c>
      <c r="FP19">
        <f/>
        <v>0</v>
      </c>
      <c r="FQ19">
        <f/>
        <v>0</v>
      </c>
      <c r="FR19">
        <f/>
        <v>0</v>
      </c>
      <c r="FS19">
        <f/>
        <v>0</v>
      </c>
      <c r="FT19">
        <f/>
        <v>0</v>
      </c>
      <c r="FU19">
        <f/>
        <v>0</v>
      </c>
      <c r="FV19">
        <f/>
        <v>0</v>
      </c>
      <c r="FW19">
        <f/>
        <v>0</v>
      </c>
      <c r="FX19">
        <f/>
        <v>0</v>
      </c>
      <c r="FY19">
        <f/>
        <v>0</v>
      </c>
      <c r="FZ19">
        <f/>
        <v>0</v>
      </c>
      <c r="GA19">
        <f/>
        <v>0</v>
      </c>
      <c r="GB19">
        <f/>
        <v>0</v>
      </c>
      <c r="GC19">
        <f/>
        <v>0</v>
      </c>
      <c r="GD19">
        <f/>
        <v>0</v>
      </c>
      <c r="GE19">
        <f/>
        <v>0</v>
      </c>
      <c r="GF19">
        <f/>
        <v>0</v>
      </c>
      <c r="GG19">
        <f/>
        <v>0</v>
      </c>
      <c r="GH19">
        <f/>
        <v>0</v>
      </c>
      <c r="GI19">
        <f/>
        <v>0</v>
      </c>
      <c r="GJ19">
        <f/>
        <v>0</v>
      </c>
      <c r="GK19">
        <f/>
        <v>0</v>
      </c>
      <c r="GL19">
        <f/>
        <v>0</v>
      </c>
      <c r="GM19">
        <f/>
        <v>0</v>
      </c>
      <c r="GN19">
        <f/>
        <v>0</v>
      </c>
      <c r="GO19">
        <f/>
        <v>0</v>
      </c>
      <c r="GP19">
        <f/>
        <v>0</v>
      </c>
      <c r="GQ19">
        <f/>
        <v>0</v>
      </c>
      <c r="GR19">
        <f/>
        <v>0</v>
      </c>
      <c r="GS19">
        <f/>
        <v>0</v>
      </c>
      <c r="GT19">
        <f/>
        <v>0</v>
      </c>
      <c r="GU19">
        <f/>
        <v>0</v>
      </c>
      <c r="GV19">
        <f/>
        <v>0</v>
      </c>
      <c r="GW19">
        <f/>
        <v>0</v>
      </c>
      <c r="GX19">
        <f/>
        <v>0</v>
      </c>
      <c r="GY19">
        <f/>
        <v>0</v>
      </c>
      <c r="GZ19">
        <f/>
        <v>0</v>
      </c>
      <c r="HA19">
        <f/>
        <v>0</v>
      </c>
      <c r="HB19">
        <f/>
        <v>0</v>
      </c>
      <c r="HC19">
        <f/>
        <v>0</v>
      </c>
      <c r="HD19">
        <f/>
        <v>0</v>
      </c>
      <c r="HE19">
        <f/>
        <v>0</v>
      </c>
      <c r="HF19">
        <f/>
        <v>0</v>
      </c>
      <c r="HG19">
        <f/>
        <v>0</v>
      </c>
      <c r="HH19">
        <f/>
        <v>0</v>
      </c>
      <c r="HI19">
        <f/>
        <v>0</v>
      </c>
      <c r="HJ19">
        <f/>
        <v>0</v>
      </c>
      <c r="HK19">
        <f/>
        <v>0</v>
      </c>
      <c r="HL19">
        <f/>
        <v>0</v>
      </c>
      <c r="HM19">
        <f/>
        <v>0</v>
      </c>
      <c r="HN19">
        <f/>
        <v>0</v>
      </c>
      <c r="HO19">
        <f/>
        <v>0</v>
      </c>
      <c r="HP19">
        <f/>
        <v>0</v>
      </c>
      <c r="HQ19">
        <f/>
        <v>0</v>
      </c>
      <c r="HR19">
        <f/>
        <v>0</v>
      </c>
      <c r="HS19">
        <f/>
        <v>0</v>
      </c>
      <c r="HT19">
        <f/>
        <v>0</v>
      </c>
      <c r="HU19">
        <f/>
        <v>0</v>
      </c>
      <c r="HV19">
        <f/>
        <v>0</v>
      </c>
      <c r="HW19">
        <f/>
        <v>0</v>
      </c>
      <c r="HX19">
        <f/>
        <v>0</v>
      </c>
      <c r="HY19">
        <f/>
        <v>0</v>
      </c>
      <c r="HZ19">
        <f/>
        <v>0</v>
      </c>
      <c r="IA19">
        <f/>
        <v>0</v>
      </c>
      <c r="IB19">
        <f/>
        <v>0</v>
      </c>
      <c r="IC19">
        <f/>
        <v>0</v>
      </c>
      <c r="ID19">
        <f/>
        <v>0</v>
      </c>
      <c r="IE19">
        <f/>
        <v>0</v>
      </c>
      <c r="IF19">
        <f/>
        <v>0</v>
      </c>
      <c r="IG19">
        <f/>
        <v>0</v>
      </c>
      <c r="IH19">
        <f/>
        <v>0</v>
      </c>
      <c r="II19">
        <f/>
        <v>0</v>
      </c>
      <c r="IJ19">
        <f/>
        <v>0</v>
      </c>
      <c r="IK19">
        <f/>
        <v>0</v>
      </c>
      <c r="IL19">
        <f/>
        <v>0</v>
      </c>
      <c r="IM19">
        <f/>
        <v>0</v>
      </c>
      <c r="IN19">
        <f/>
        <v>0</v>
      </c>
      <c r="IO19">
        <f/>
        <v>0</v>
      </c>
      <c r="IP19">
        <f/>
        <v>0</v>
      </c>
      <c r="IQ19">
        <f/>
        <v>0</v>
      </c>
      <c r="IR19">
        <f/>
        <v>0</v>
      </c>
      <c r="IS19">
        <f/>
        <v>0</v>
      </c>
      <c r="IT19">
        <f/>
        <v>0</v>
      </c>
      <c r="IU19">
        <f/>
        <v>0</v>
      </c>
      <c r="IV19">
        <f/>
        <v>0</v>
      </c>
      <c r="IW19">
        <f/>
        <v>0</v>
      </c>
      <c r="IX19">
        <f/>
        <v>0</v>
      </c>
      <c r="IY19">
        <f/>
        <v>0</v>
      </c>
      <c r="IZ19">
        <f/>
        <v>0</v>
      </c>
      <c r="JA19">
        <f/>
        <v>0</v>
      </c>
      <c r="JB19">
        <f/>
        <v>0</v>
      </c>
      <c r="JC19">
        <f/>
        <v>0</v>
      </c>
      <c r="JD19">
        <f/>
        <v>0</v>
      </c>
      <c r="JE19">
        <f/>
        <v>0</v>
      </c>
      <c r="JF19">
        <f/>
        <v>0</v>
      </c>
      <c r="JG19">
        <f/>
        <v>0</v>
      </c>
      <c r="JH19">
        <f/>
        <v>0</v>
      </c>
      <c r="JI19">
        <f/>
        <v>0</v>
      </c>
      <c r="JJ19">
        <f/>
        <v>0</v>
      </c>
      <c r="JK19">
        <f/>
        <v>0</v>
      </c>
      <c r="JL19">
        <f/>
        <v>0</v>
      </c>
      <c r="JM19">
        <f/>
        <v>0</v>
      </c>
      <c r="JN19">
        <f/>
        <v>0</v>
      </c>
      <c r="JO19">
        <f/>
        <v>0</v>
      </c>
      <c r="JP19">
        <f/>
        <v>0</v>
      </c>
      <c r="JQ19">
        <f/>
        <v>0</v>
      </c>
      <c r="JR19">
        <f/>
        <v>0</v>
      </c>
      <c r="JS19">
        <f/>
        <v>0</v>
      </c>
      <c r="JT19">
        <f/>
        <v>0</v>
      </c>
      <c r="JU19">
        <f/>
        <v>0</v>
      </c>
      <c r="JV19">
        <f/>
        <v>0</v>
      </c>
      <c r="JW19">
        <f/>
        <v>0</v>
      </c>
      <c r="JX19">
        <f/>
        <v>0</v>
      </c>
      <c r="JY19">
        <f/>
        <v>0</v>
      </c>
      <c r="JZ19">
        <f/>
        <v>0</v>
      </c>
      <c r="KA19">
        <f/>
        <v>0</v>
      </c>
      <c r="KB19">
        <f/>
        <v>0</v>
      </c>
      <c r="KC19">
        <f/>
        <v>0</v>
      </c>
      <c r="KD19">
        <f/>
        <v>0</v>
      </c>
      <c r="KE19">
        <f/>
        <v>0</v>
      </c>
      <c r="KF19">
        <f/>
        <v>0</v>
      </c>
      <c r="KG19">
        <f/>
        <v>0</v>
      </c>
      <c r="KH19">
        <f/>
        <v>0</v>
      </c>
      <c r="KI19">
        <f/>
        <v>0</v>
      </c>
      <c r="KJ19">
        <f/>
        <v>0</v>
      </c>
      <c r="KK19">
        <f/>
        <v>0</v>
      </c>
      <c r="KL19">
        <f/>
        <v>0</v>
      </c>
      <c r="KM19">
        <f/>
        <v>0</v>
      </c>
      <c r="KN19">
        <f/>
        <v>0</v>
      </c>
      <c r="KO19">
        <f/>
        <v>0</v>
      </c>
      <c r="KP19">
        <f/>
        <v>0</v>
      </c>
      <c r="KQ19">
        <f/>
        <v>0</v>
      </c>
      <c r="KR19">
        <f/>
        <v>0</v>
      </c>
      <c r="KS19">
        <f/>
        <v>0</v>
      </c>
      <c r="KT19">
        <f/>
        <v>0</v>
      </c>
      <c r="KU19">
        <f/>
        <v>0</v>
      </c>
      <c r="KV19">
        <f/>
        <v>0</v>
      </c>
      <c r="KW19">
        <f/>
        <v>0</v>
      </c>
      <c r="KX19">
        <f/>
        <v>0</v>
      </c>
      <c r="KY19">
        <f/>
        <v>0</v>
      </c>
      <c r="KZ19">
        <f/>
        <v>0</v>
      </c>
      <c r="LA19">
        <f/>
        <v>0</v>
      </c>
      <c r="LB19">
        <f/>
        <v>0</v>
      </c>
      <c r="LC19">
        <f/>
        <v>0</v>
      </c>
      <c r="LD19">
        <f/>
        <v>0</v>
      </c>
      <c r="LE19">
        <f/>
        <v>0</v>
      </c>
      <c r="LF19">
        <f/>
        <v>0</v>
      </c>
      <c r="LG19">
        <f/>
        <v>0</v>
      </c>
      <c r="LH19">
        <f/>
        <v>0</v>
      </c>
      <c r="LI19">
        <f/>
        <v>0</v>
      </c>
      <c r="LJ19">
        <f/>
        <v>0</v>
      </c>
      <c r="LK19">
        <f/>
        <v>0</v>
      </c>
      <c r="LL19">
        <f/>
        <v>0</v>
      </c>
      <c r="LM19">
        <f/>
        <v>0</v>
      </c>
      <c r="LN19">
        <f/>
        <v>0</v>
      </c>
      <c r="LO19">
        <f/>
        <v>0</v>
      </c>
      <c r="LP19">
        <f/>
        <v>0</v>
      </c>
      <c r="LQ19">
        <f/>
        <v>0</v>
      </c>
      <c r="LR19">
        <f/>
        <v>0</v>
      </c>
      <c r="LS19">
        <f/>
        <v>0</v>
      </c>
      <c r="LT19">
        <f/>
        <v>0</v>
      </c>
      <c r="LU19">
        <f/>
        <v>0</v>
      </c>
      <c r="LV19">
        <f/>
        <v>0</v>
      </c>
      <c r="LW19">
        <f/>
        <v>0</v>
      </c>
      <c r="LX19">
        <f/>
        <v>0</v>
      </c>
      <c r="LY19">
        <f/>
        <v>0</v>
      </c>
      <c r="LZ19">
        <f/>
        <v>0</v>
      </c>
      <c r="MA19">
        <f/>
        <v>0</v>
      </c>
      <c r="MB19">
        <f/>
        <v>0</v>
      </c>
      <c r="MC19">
        <f/>
        <v>0</v>
      </c>
      <c r="MD19">
        <f/>
        <v>0</v>
      </c>
      <c r="ME19">
        <f/>
        <v>0</v>
      </c>
      <c r="MF19">
        <f/>
        <v>0</v>
      </c>
      <c r="MG19">
        <f/>
        <v>0</v>
      </c>
      <c r="MH19">
        <f/>
        <v>0</v>
      </c>
      <c r="MI19">
        <f/>
        <v>0</v>
      </c>
      <c r="MJ19">
        <f/>
        <v>0</v>
      </c>
      <c r="MK19">
        <f/>
        <v>0</v>
      </c>
      <c r="ML19">
        <f/>
        <v>0</v>
      </c>
      <c r="MM19">
        <f/>
        <v>0</v>
      </c>
      <c r="MN19">
        <f/>
        <v>0</v>
      </c>
      <c r="MO19">
        <f/>
        <v>0</v>
      </c>
      <c r="MP19">
        <f/>
        <v>0</v>
      </c>
      <c r="MQ19">
        <f/>
        <v>0</v>
      </c>
      <c r="MR19">
        <f/>
        <v>0</v>
      </c>
      <c r="MS19">
        <f/>
        <v>0</v>
      </c>
      <c r="MT19">
        <f/>
        <v>0</v>
      </c>
      <c r="MU19">
        <f/>
        <v>0</v>
      </c>
      <c r="MV19">
        <f/>
        <v>0</v>
      </c>
      <c r="MW19">
        <f/>
        <v>0</v>
      </c>
      <c r="MX19">
        <f/>
        <v>0</v>
      </c>
      <c r="MY19">
        <f/>
        <v>0</v>
      </c>
      <c r="MZ19">
        <f/>
        <v>0</v>
      </c>
      <c r="NA19">
        <f/>
        <v>0</v>
      </c>
      <c r="NB19">
        <f/>
        <v>0</v>
      </c>
      <c r="NC19">
        <f/>
        <v>0</v>
      </c>
    </row>
    <row r="20" spans="1:367" x14ac:dyDescent="0.25">
      <c r="A20" s="141">
        <v>46070</v>
      </c>
      <c r="B20" s="162" cm="1">
        <f t="array" ref="B20">nabla.f.TimelineOffsetλ(A20,_xlfn.ANCHORARRAY( $C$18))</f>
        <v>4</v>
      </c>
      <c r="C20" cm="1">
        <f t="array" ref="C20:NC20">N(_xlfn.ANCHORARRAY($C$18)=INDEX(_xlfn.ANCHORARRAY($C$18),B20+1))</f>
        <v>0</v>
      </c>
      <c r="D20">
        <f/>
        <v>0</v>
      </c>
      <c r="E20">
        <f/>
        <v>0</v>
      </c>
      <c r="F20">
        <f/>
        <v>0</v>
      </c>
      <c r="G20">
        <f/>
        <v>1</v>
      </c>
      <c r="H20">
        <f/>
        <v>0</v>
      </c>
      <c r="I20">
        <f/>
        <v>0</v>
      </c>
      <c r="J20">
        <f/>
        <v>0</v>
      </c>
      <c r="K20">
        <f/>
        <v>0</v>
      </c>
      <c r="L20">
        <f/>
        <v>0</v>
      </c>
      <c r="M20">
        <f/>
        <v>0</v>
      </c>
      <c r="N20">
        <f/>
        <v>0</v>
      </c>
      <c r="O20">
        <f/>
        <v>0</v>
      </c>
      <c r="P20">
        <f/>
        <v>0</v>
      </c>
      <c r="Q20">
        <f/>
        <v>0</v>
      </c>
      <c r="R20">
        <f/>
        <v>0</v>
      </c>
      <c r="S20">
        <f/>
        <v>0</v>
      </c>
      <c r="T20">
        <f/>
        <v>0</v>
      </c>
      <c r="U20">
        <f/>
        <v>0</v>
      </c>
      <c r="V20">
        <f/>
        <v>0</v>
      </c>
      <c r="W20">
        <f/>
        <v>0</v>
      </c>
      <c r="X20">
        <f/>
        <v>0</v>
      </c>
      <c r="Y20">
        <f/>
        <v>0</v>
      </c>
      <c r="Z20">
        <f/>
        <v>0</v>
      </c>
      <c r="AA20">
        <f/>
        <v>0</v>
      </c>
      <c r="AB20">
        <f/>
        <v>0</v>
      </c>
      <c r="AC20">
        <f/>
        <v>0</v>
      </c>
      <c r="AD20">
        <f/>
        <v>0</v>
      </c>
      <c r="AE20">
        <f/>
        <v>0</v>
      </c>
      <c r="AF20">
        <f/>
        <v>0</v>
      </c>
      <c r="AG20">
        <f/>
        <v>0</v>
      </c>
      <c r="AH20">
        <f/>
        <v>0</v>
      </c>
      <c r="AI20">
        <f/>
        <v>0</v>
      </c>
      <c r="AJ20">
        <f/>
        <v>0</v>
      </c>
      <c r="AK20">
        <f/>
        <v>0</v>
      </c>
      <c r="AL20">
        <f/>
        <v>0</v>
      </c>
      <c r="AM20">
        <f/>
        <v>0</v>
      </c>
      <c r="AN20">
        <f/>
        <v>0</v>
      </c>
      <c r="AO20">
        <f/>
        <v>0</v>
      </c>
      <c r="AP20">
        <f/>
        <v>0</v>
      </c>
      <c r="AQ20">
        <f/>
        <v>0</v>
      </c>
      <c r="AR20">
        <f/>
        <v>0</v>
      </c>
      <c r="AS20">
        <f/>
        <v>0</v>
      </c>
      <c r="AT20">
        <f/>
        <v>0</v>
      </c>
      <c r="AU20">
        <f/>
        <v>0</v>
      </c>
      <c r="AV20">
        <f/>
        <v>0</v>
      </c>
      <c r="AW20">
        <f/>
        <v>0</v>
      </c>
      <c r="AX20">
        <f/>
        <v>0</v>
      </c>
      <c r="AY20">
        <f/>
        <v>0</v>
      </c>
      <c r="AZ20">
        <f/>
        <v>0</v>
      </c>
      <c r="BA20">
        <f/>
        <v>0</v>
      </c>
      <c r="BB20">
        <f/>
        <v>0</v>
      </c>
      <c r="BC20">
        <f/>
        <v>0</v>
      </c>
      <c r="BD20">
        <f/>
        <v>0</v>
      </c>
      <c r="BE20">
        <f/>
        <v>0</v>
      </c>
      <c r="BF20">
        <f/>
        <v>0</v>
      </c>
      <c r="BG20">
        <f/>
        <v>0</v>
      </c>
      <c r="BH20">
        <f/>
        <v>0</v>
      </c>
      <c r="BI20">
        <f/>
        <v>0</v>
      </c>
      <c r="BJ20">
        <f/>
        <v>0</v>
      </c>
      <c r="BK20">
        <f/>
        <v>0</v>
      </c>
      <c r="BL20">
        <f/>
        <v>0</v>
      </c>
      <c r="BM20">
        <f/>
        <v>0</v>
      </c>
      <c r="BN20">
        <f/>
        <v>0</v>
      </c>
      <c r="BO20">
        <f/>
        <v>0</v>
      </c>
      <c r="BP20">
        <f/>
        <v>0</v>
      </c>
      <c r="BQ20">
        <f/>
        <v>0</v>
      </c>
      <c r="BR20">
        <f/>
        <v>0</v>
      </c>
      <c r="BS20">
        <f/>
        <v>0</v>
      </c>
      <c r="BT20">
        <f/>
        <v>0</v>
      </c>
      <c r="BU20">
        <f/>
        <v>0</v>
      </c>
      <c r="BV20">
        <f/>
        <v>0</v>
      </c>
      <c r="BW20">
        <f/>
        <v>0</v>
      </c>
      <c r="BX20">
        <f/>
        <v>0</v>
      </c>
      <c r="BY20">
        <f/>
        <v>0</v>
      </c>
      <c r="BZ20">
        <f/>
        <v>0</v>
      </c>
      <c r="CA20">
        <f/>
        <v>0</v>
      </c>
      <c r="CB20">
        <f/>
        <v>0</v>
      </c>
      <c r="CC20">
        <f/>
        <v>0</v>
      </c>
      <c r="CD20">
        <f/>
        <v>0</v>
      </c>
      <c r="CE20">
        <f/>
        <v>0</v>
      </c>
      <c r="CF20">
        <f/>
        <v>0</v>
      </c>
      <c r="CG20">
        <f/>
        <v>0</v>
      </c>
      <c r="CH20">
        <f/>
        <v>0</v>
      </c>
      <c r="CI20">
        <f/>
        <v>0</v>
      </c>
      <c r="CJ20">
        <f/>
        <v>0</v>
      </c>
      <c r="CK20">
        <f/>
        <v>0</v>
      </c>
      <c r="CL20">
        <f/>
        <v>0</v>
      </c>
      <c r="CM20">
        <f/>
        <v>0</v>
      </c>
      <c r="CN20">
        <f/>
        <v>0</v>
      </c>
      <c r="CO20">
        <f/>
        <v>0</v>
      </c>
      <c r="CP20">
        <f/>
        <v>0</v>
      </c>
      <c r="CQ20">
        <f/>
        <v>0</v>
      </c>
      <c r="CR20">
        <f/>
        <v>0</v>
      </c>
      <c r="CS20">
        <f/>
        <v>0</v>
      </c>
      <c r="CT20">
        <f/>
        <v>0</v>
      </c>
      <c r="CU20">
        <f/>
        <v>0</v>
      </c>
      <c r="CV20">
        <f/>
        <v>0</v>
      </c>
      <c r="CW20">
        <f/>
        <v>0</v>
      </c>
      <c r="CX20">
        <f/>
        <v>0</v>
      </c>
      <c r="CY20">
        <f/>
        <v>0</v>
      </c>
      <c r="CZ20">
        <f/>
        <v>0</v>
      </c>
      <c r="DA20">
        <f/>
        <v>0</v>
      </c>
      <c r="DB20">
        <f/>
        <v>0</v>
      </c>
      <c r="DC20">
        <f/>
        <v>0</v>
      </c>
      <c r="DD20">
        <f/>
        <v>0</v>
      </c>
      <c r="DE20">
        <f/>
        <v>0</v>
      </c>
      <c r="DF20">
        <f/>
        <v>0</v>
      </c>
      <c r="DG20">
        <f/>
        <v>0</v>
      </c>
      <c r="DH20">
        <f/>
        <v>0</v>
      </c>
      <c r="DI20">
        <f/>
        <v>0</v>
      </c>
      <c r="DJ20">
        <f/>
        <v>0</v>
      </c>
      <c r="DK20">
        <f/>
        <v>0</v>
      </c>
      <c r="DL20">
        <f/>
        <v>0</v>
      </c>
      <c r="DM20">
        <f/>
        <v>0</v>
      </c>
      <c r="DN20">
        <f/>
        <v>0</v>
      </c>
      <c r="DO20">
        <f/>
        <v>0</v>
      </c>
      <c r="DP20">
        <f/>
        <v>0</v>
      </c>
      <c r="DQ20">
        <f/>
        <v>0</v>
      </c>
      <c r="DR20">
        <f/>
        <v>0</v>
      </c>
      <c r="DS20">
        <f/>
        <v>0</v>
      </c>
      <c r="DT20">
        <f/>
        <v>0</v>
      </c>
      <c r="DU20">
        <f/>
        <v>0</v>
      </c>
      <c r="DV20">
        <f/>
        <v>0</v>
      </c>
      <c r="DW20">
        <f/>
        <v>0</v>
      </c>
      <c r="DX20">
        <f/>
        <v>0</v>
      </c>
      <c r="DY20">
        <f/>
        <v>0</v>
      </c>
      <c r="DZ20">
        <f/>
        <v>0</v>
      </c>
      <c r="EA20">
        <f/>
        <v>0</v>
      </c>
      <c r="EB20">
        <f/>
        <v>0</v>
      </c>
      <c r="EC20">
        <f/>
        <v>0</v>
      </c>
      <c r="ED20">
        <f/>
        <v>0</v>
      </c>
      <c r="EE20">
        <f/>
        <v>0</v>
      </c>
      <c r="EF20">
        <f/>
        <v>0</v>
      </c>
      <c r="EG20">
        <f/>
        <v>0</v>
      </c>
      <c r="EH20">
        <f/>
        <v>0</v>
      </c>
      <c r="EI20">
        <f/>
        <v>0</v>
      </c>
      <c r="EJ20">
        <f/>
        <v>0</v>
      </c>
      <c r="EK20">
        <f/>
        <v>0</v>
      </c>
      <c r="EL20">
        <f/>
        <v>0</v>
      </c>
      <c r="EM20">
        <f/>
        <v>0</v>
      </c>
      <c r="EN20">
        <f/>
        <v>0</v>
      </c>
      <c r="EO20">
        <f/>
        <v>0</v>
      </c>
      <c r="EP20">
        <f/>
        <v>0</v>
      </c>
      <c r="EQ20">
        <f/>
        <v>0</v>
      </c>
      <c r="ER20">
        <f/>
        <v>0</v>
      </c>
      <c r="ES20">
        <f/>
        <v>0</v>
      </c>
      <c r="ET20">
        <f/>
        <v>0</v>
      </c>
      <c r="EU20">
        <f/>
        <v>0</v>
      </c>
      <c r="EV20">
        <f/>
        <v>0</v>
      </c>
      <c r="EW20">
        <f/>
        <v>0</v>
      </c>
      <c r="EX20">
        <f/>
        <v>0</v>
      </c>
      <c r="EY20">
        <f/>
        <v>0</v>
      </c>
      <c r="EZ20">
        <f/>
        <v>0</v>
      </c>
      <c r="FA20">
        <f/>
        <v>0</v>
      </c>
      <c r="FB20">
        <f/>
        <v>0</v>
      </c>
      <c r="FC20">
        <f/>
        <v>0</v>
      </c>
      <c r="FD20">
        <f/>
        <v>0</v>
      </c>
      <c r="FE20">
        <f/>
        <v>0</v>
      </c>
      <c r="FF20">
        <f/>
        <v>0</v>
      </c>
      <c r="FG20">
        <f/>
        <v>0</v>
      </c>
      <c r="FH20">
        <f/>
        <v>0</v>
      </c>
      <c r="FI20">
        <f/>
        <v>0</v>
      </c>
      <c r="FJ20">
        <f/>
        <v>0</v>
      </c>
      <c r="FK20">
        <f/>
        <v>0</v>
      </c>
      <c r="FL20">
        <f/>
        <v>0</v>
      </c>
      <c r="FM20">
        <f/>
        <v>0</v>
      </c>
      <c r="FN20">
        <f/>
        <v>0</v>
      </c>
      <c r="FO20">
        <f/>
        <v>0</v>
      </c>
      <c r="FP20">
        <f/>
        <v>0</v>
      </c>
      <c r="FQ20">
        <f/>
        <v>0</v>
      </c>
      <c r="FR20">
        <f/>
        <v>0</v>
      </c>
      <c r="FS20">
        <f/>
        <v>0</v>
      </c>
      <c r="FT20">
        <f/>
        <v>0</v>
      </c>
      <c r="FU20">
        <f/>
        <v>0</v>
      </c>
      <c r="FV20">
        <f/>
        <v>0</v>
      </c>
      <c r="FW20">
        <f/>
        <v>0</v>
      </c>
      <c r="FX20">
        <f/>
        <v>0</v>
      </c>
      <c r="FY20">
        <f/>
        <v>0</v>
      </c>
      <c r="FZ20">
        <f/>
        <v>0</v>
      </c>
      <c r="GA20">
        <f/>
        <v>0</v>
      </c>
      <c r="GB20">
        <f/>
        <v>0</v>
      </c>
      <c r="GC20">
        <f/>
        <v>0</v>
      </c>
      <c r="GD20">
        <f/>
        <v>0</v>
      </c>
      <c r="GE20">
        <f/>
        <v>0</v>
      </c>
      <c r="GF20">
        <f/>
        <v>0</v>
      </c>
      <c r="GG20">
        <f/>
        <v>0</v>
      </c>
      <c r="GH20">
        <f/>
        <v>0</v>
      </c>
      <c r="GI20">
        <f/>
        <v>0</v>
      </c>
      <c r="GJ20">
        <f/>
        <v>0</v>
      </c>
      <c r="GK20">
        <f/>
        <v>0</v>
      </c>
      <c r="GL20">
        <f/>
        <v>0</v>
      </c>
      <c r="GM20">
        <f/>
        <v>0</v>
      </c>
      <c r="GN20">
        <f/>
        <v>0</v>
      </c>
      <c r="GO20">
        <f/>
        <v>0</v>
      </c>
      <c r="GP20">
        <f/>
        <v>0</v>
      </c>
      <c r="GQ20">
        <f/>
        <v>0</v>
      </c>
      <c r="GR20">
        <f/>
        <v>0</v>
      </c>
      <c r="GS20">
        <f/>
        <v>0</v>
      </c>
      <c r="GT20">
        <f/>
        <v>0</v>
      </c>
      <c r="GU20">
        <f/>
        <v>0</v>
      </c>
      <c r="GV20">
        <f/>
        <v>0</v>
      </c>
      <c r="GW20">
        <f/>
        <v>0</v>
      </c>
      <c r="GX20">
        <f/>
        <v>0</v>
      </c>
      <c r="GY20">
        <f/>
        <v>0</v>
      </c>
      <c r="GZ20">
        <f/>
        <v>0</v>
      </c>
      <c r="HA20">
        <f/>
        <v>0</v>
      </c>
      <c r="HB20">
        <f/>
        <v>0</v>
      </c>
      <c r="HC20">
        <f/>
        <v>0</v>
      </c>
      <c r="HD20">
        <f/>
        <v>0</v>
      </c>
      <c r="HE20">
        <f/>
        <v>0</v>
      </c>
      <c r="HF20">
        <f/>
        <v>0</v>
      </c>
      <c r="HG20">
        <f/>
        <v>0</v>
      </c>
      <c r="HH20">
        <f/>
        <v>0</v>
      </c>
      <c r="HI20">
        <f/>
        <v>0</v>
      </c>
      <c r="HJ20">
        <f/>
        <v>0</v>
      </c>
      <c r="HK20">
        <f/>
        <v>0</v>
      </c>
      <c r="HL20">
        <f/>
        <v>0</v>
      </c>
      <c r="HM20">
        <f/>
        <v>0</v>
      </c>
      <c r="HN20">
        <f/>
        <v>0</v>
      </c>
      <c r="HO20">
        <f/>
        <v>0</v>
      </c>
      <c r="HP20">
        <f/>
        <v>0</v>
      </c>
      <c r="HQ20">
        <f/>
        <v>0</v>
      </c>
      <c r="HR20">
        <f/>
        <v>0</v>
      </c>
      <c r="HS20">
        <f/>
        <v>0</v>
      </c>
      <c r="HT20">
        <f/>
        <v>0</v>
      </c>
      <c r="HU20">
        <f/>
        <v>0</v>
      </c>
      <c r="HV20">
        <f/>
        <v>0</v>
      </c>
      <c r="HW20">
        <f/>
        <v>0</v>
      </c>
      <c r="HX20">
        <f/>
        <v>0</v>
      </c>
      <c r="HY20">
        <f/>
        <v>0</v>
      </c>
      <c r="HZ20">
        <f/>
        <v>0</v>
      </c>
      <c r="IA20">
        <f/>
        <v>0</v>
      </c>
      <c r="IB20">
        <f/>
        <v>0</v>
      </c>
      <c r="IC20">
        <f/>
        <v>0</v>
      </c>
      <c r="ID20">
        <f/>
        <v>0</v>
      </c>
      <c r="IE20">
        <f/>
        <v>0</v>
      </c>
      <c r="IF20">
        <f/>
        <v>0</v>
      </c>
      <c r="IG20">
        <f/>
        <v>0</v>
      </c>
      <c r="IH20">
        <f/>
        <v>0</v>
      </c>
      <c r="II20">
        <f/>
        <v>0</v>
      </c>
      <c r="IJ20">
        <f/>
        <v>0</v>
      </c>
      <c r="IK20">
        <f/>
        <v>0</v>
      </c>
      <c r="IL20">
        <f/>
        <v>0</v>
      </c>
      <c r="IM20">
        <f/>
        <v>0</v>
      </c>
      <c r="IN20">
        <f/>
        <v>0</v>
      </c>
      <c r="IO20">
        <f/>
        <v>0</v>
      </c>
      <c r="IP20">
        <f/>
        <v>0</v>
      </c>
      <c r="IQ20">
        <f/>
        <v>0</v>
      </c>
      <c r="IR20">
        <f/>
        <v>0</v>
      </c>
      <c r="IS20">
        <f/>
        <v>0</v>
      </c>
      <c r="IT20">
        <f/>
        <v>0</v>
      </c>
      <c r="IU20">
        <f/>
        <v>0</v>
      </c>
      <c r="IV20">
        <f/>
        <v>0</v>
      </c>
      <c r="IW20">
        <f/>
        <v>0</v>
      </c>
      <c r="IX20">
        <f/>
        <v>0</v>
      </c>
      <c r="IY20">
        <f/>
        <v>0</v>
      </c>
      <c r="IZ20">
        <f/>
        <v>0</v>
      </c>
      <c r="JA20">
        <f/>
        <v>0</v>
      </c>
      <c r="JB20">
        <f/>
        <v>0</v>
      </c>
      <c r="JC20">
        <f/>
        <v>0</v>
      </c>
      <c r="JD20">
        <f/>
        <v>0</v>
      </c>
      <c r="JE20">
        <f/>
        <v>0</v>
      </c>
      <c r="JF20">
        <f/>
        <v>0</v>
      </c>
      <c r="JG20">
        <f/>
        <v>0</v>
      </c>
      <c r="JH20">
        <f/>
        <v>0</v>
      </c>
      <c r="JI20">
        <f/>
        <v>0</v>
      </c>
      <c r="JJ20">
        <f/>
        <v>0</v>
      </c>
      <c r="JK20">
        <f/>
        <v>0</v>
      </c>
      <c r="JL20">
        <f/>
        <v>0</v>
      </c>
      <c r="JM20">
        <f/>
        <v>0</v>
      </c>
      <c r="JN20">
        <f/>
        <v>0</v>
      </c>
      <c r="JO20">
        <f/>
        <v>0</v>
      </c>
      <c r="JP20">
        <f/>
        <v>0</v>
      </c>
      <c r="JQ20">
        <f/>
        <v>0</v>
      </c>
      <c r="JR20">
        <f/>
        <v>0</v>
      </c>
      <c r="JS20">
        <f/>
        <v>0</v>
      </c>
      <c r="JT20">
        <f/>
        <v>0</v>
      </c>
      <c r="JU20">
        <f/>
        <v>0</v>
      </c>
      <c r="JV20">
        <f/>
        <v>0</v>
      </c>
      <c r="JW20">
        <f/>
        <v>0</v>
      </c>
      <c r="JX20">
        <f/>
        <v>0</v>
      </c>
      <c r="JY20">
        <f/>
        <v>0</v>
      </c>
      <c r="JZ20">
        <f/>
        <v>0</v>
      </c>
      <c r="KA20">
        <f/>
        <v>0</v>
      </c>
      <c r="KB20">
        <f/>
        <v>0</v>
      </c>
      <c r="KC20">
        <f/>
        <v>0</v>
      </c>
      <c r="KD20">
        <f/>
        <v>0</v>
      </c>
      <c r="KE20">
        <f/>
        <v>0</v>
      </c>
      <c r="KF20">
        <f/>
        <v>0</v>
      </c>
      <c r="KG20">
        <f/>
        <v>0</v>
      </c>
      <c r="KH20">
        <f/>
        <v>0</v>
      </c>
      <c r="KI20">
        <f/>
        <v>0</v>
      </c>
      <c r="KJ20">
        <f/>
        <v>0</v>
      </c>
      <c r="KK20">
        <f/>
        <v>0</v>
      </c>
      <c r="KL20">
        <f/>
        <v>0</v>
      </c>
      <c r="KM20">
        <f/>
        <v>0</v>
      </c>
      <c r="KN20">
        <f/>
        <v>0</v>
      </c>
      <c r="KO20">
        <f/>
        <v>0</v>
      </c>
      <c r="KP20">
        <f/>
        <v>0</v>
      </c>
      <c r="KQ20">
        <f/>
        <v>0</v>
      </c>
      <c r="KR20">
        <f/>
        <v>0</v>
      </c>
      <c r="KS20">
        <f/>
        <v>0</v>
      </c>
      <c r="KT20">
        <f/>
        <v>0</v>
      </c>
      <c r="KU20">
        <f/>
        <v>0</v>
      </c>
      <c r="KV20">
        <f/>
        <v>0</v>
      </c>
      <c r="KW20">
        <f/>
        <v>0</v>
      </c>
      <c r="KX20">
        <f/>
        <v>0</v>
      </c>
      <c r="KY20">
        <f/>
        <v>0</v>
      </c>
      <c r="KZ20">
        <f/>
        <v>0</v>
      </c>
      <c r="LA20">
        <f/>
        <v>0</v>
      </c>
      <c r="LB20">
        <f/>
        <v>0</v>
      </c>
      <c r="LC20">
        <f/>
        <v>0</v>
      </c>
      <c r="LD20">
        <f/>
        <v>0</v>
      </c>
      <c r="LE20">
        <f/>
        <v>0</v>
      </c>
      <c r="LF20">
        <f/>
        <v>0</v>
      </c>
      <c r="LG20">
        <f/>
        <v>0</v>
      </c>
      <c r="LH20">
        <f/>
        <v>0</v>
      </c>
      <c r="LI20">
        <f/>
        <v>0</v>
      </c>
      <c r="LJ20">
        <f/>
        <v>0</v>
      </c>
      <c r="LK20">
        <f/>
        <v>0</v>
      </c>
      <c r="LL20">
        <f/>
        <v>0</v>
      </c>
      <c r="LM20">
        <f/>
        <v>0</v>
      </c>
      <c r="LN20">
        <f/>
        <v>0</v>
      </c>
      <c r="LO20">
        <f/>
        <v>0</v>
      </c>
      <c r="LP20">
        <f/>
        <v>0</v>
      </c>
      <c r="LQ20">
        <f/>
        <v>0</v>
      </c>
      <c r="LR20">
        <f/>
        <v>0</v>
      </c>
      <c r="LS20">
        <f/>
        <v>0</v>
      </c>
      <c r="LT20">
        <f/>
        <v>0</v>
      </c>
      <c r="LU20">
        <f/>
        <v>0</v>
      </c>
      <c r="LV20">
        <f/>
        <v>0</v>
      </c>
      <c r="LW20">
        <f/>
        <v>0</v>
      </c>
      <c r="LX20">
        <f/>
        <v>0</v>
      </c>
      <c r="LY20">
        <f/>
        <v>0</v>
      </c>
      <c r="LZ20">
        <f/>
        <v>0</v>
      </c>
      <c r="MA20">
        <f/>
        <v>0</v>
      </c>
      <c r="MB20">
        <f/>
        <v>0</v>
      </c>
      <c r="MC20">
        <f/>
        <v>0</v>
      </c>
      <c r="MD20">
        <f/>
        <v>0</v>
      </c>
      <c r="ME20">
        <f/>
        <v>0</v>
      </c>
      <c r="MF20">
        <f/>
        <v>0</v>
      </c>
      <c r="MG20">
        <f/>
        <v>0</v>
      </c>
      <c r="MH20">
        <f/>
        <v>0</v>
      </c>
      <c r="MI20">
        <f/>
        <v>0</v>
      </c>
      <c r="MJ20">
        <f/>
        <v>0</v>
      </c>
      <c r="MK20">
        <f/>
        <v>0</v>
      </c>
      <c r="ML20">
        <f/>
        <v>0</v>
      </c>
      <c r="MM20">
        <f/>
        <v>0</v>
      </c>
      <c r="MN20">
        <f/>
        <v>0</v>
      </c>
      <c r="MO20">
        <f/>
        <v>0</v>
      </c>
      <c r="MP20">
        <f/>
        <v>0</v>
      </c>
      <c r="MQ20">
        <f/>
        <v>0</v>
      </c>
      <c r="MR20">
        <f/>
        <v>0</v>
      </c>
      <c r="MS20">
        <f/>
        <v>0</v>
      </c>
      <c r="MT20">
        <f/>
        <v>0</v>
      </c>
      <c r="MU20">
        <f/>
        <v>0</v>
      </c>
      <c r="MV20">
        <f/>
        <v>0</v>
      </c>
      <c r="MW20">
        <f/>
        <v>0</v>
      </c>
      <c r="MX20">
        <f/>
        <v>0</v>
      </c>
      <c r="MY20">
        <f/>
        <v>0</v>
      </c>
      <c r="MZ20">
        <f/>
        <v>0</v>
      </c>
      <c r="NA20">
        <f/>
        <v>0</v>
      </c>
      <c r="NB20">
        <f/>
        <v>0</v>
      </c>
      <c r="NC20">
        <f/>
        <v>0</v>
      </c>
    </row>
    <row r="21" spans="1:367" x14ac:dyDescent="0.25">
      <c r="A21" s="141">
        <v>46117</v>
      </c>
      <c r="B21" s="162" cm="1">
        <f t="array" ref="B21">nabla.f.TimelineOffsetλ(A21,_xlfn.ANCHORARRAY( $C$18))</f>
        <v>10</v>
      </c>
      <c r="C21" cm="1">
        <f t="array" ref="C21:NC21">N(_xlfn.ANCHORARRAY($C$18)=INDEX(_xlfn.ANCHORARRAY($C$18),B21+1))</f>
        <v>0</v>
      </c>
      <c r="D21">
        <f/>
        <v>0</v>
      </c>
      <c r="E21">
        <f/>
        <v>0</v>
      </c>
      <c r="F21">
        <f/>
        <v>0</v>
      </c>
      <c r="G21">
        <f/>
        <v>0</v>
      </c>
      <c r="H21">
        <f/>
        <v>0</v>
      </c>
      <c r="I21">
        <f/>
        <v>0</v>
      </c>
      <c r="J21">
        <f/>
        <v>0</v>
      </c>
      <c r="K21">
        <f/>
        <v>0</v>
      </c>
      <c r="L21">
        <f/>
        <v>0</v>
      </c>
      <c r="M21">
        <f/>
        <v>1</v>
      </c>
      <c r="N21">
        <f/>
        <v>0</v>
      </c>
      <c r="O21">
        <f/>
        <v>0</v>
      </c>
      <c r="P21">
        <f/>
        <v>0</v>
      </c>
      <c r="Q21">
        <f/>
        <v>0</v>
      </c>
      <c r="R21">
        <f/>
        <v>0</v>
      </c>
      <c r="S21">
        <f/>
        <v>0</v>
      </c>
      <c r="T21">
        <f/>
        <v>0</v>
      </c>
      <c r="U21">
        <f/>
        <v>0</v>
      </c>
      <c r="V21">
        <f/>
        <v>0</v>
      </c>
      <c r="W21">
        <f/>
        <v>0</v>
      </c>
      <c r="X21">
        <f/>
        <v>0</v>
      </c>
      <c r="Y21">
        <f/>
        <v>0</v>
      </c>
      <c r="Z21">
        <f/>
        <v>0</v>
      </c>
      <c r="AA21">
        <f/>
        <v>0</v>
      </c>
      <c r="AB21">
        <f/>
        <v>0</v>
      </c>
      <c r="AC21">
        <f/>
        <v>0</v>
      </c>
      <c r="AD21">
        <f/>
        <v>0</v>
      </c>
      <c r="AE21">
        <f/>
        <v>0</v>
      </c>
      <c r="AF21">
        <f/>
        <v>0</v>
      </c>
      <c r="AG21">
        <f/>
        <v>0</v>
      </c>
      <c r="AH21">
        <f/>
        <v>0</v>
      </c>
      <c r="AI21">
        <f/>
        <v>0</v>
      </c>
      <c r="AJ21">
        <f/>
        <v>0</v>
      </c>
      <c r="AK21">
        <f/>
        <v>0</v>
      </c>
      <c r="AL21">
        <f/>
        <v>0</v>
      </c>
      <c r="AM21">
        <f/>
        <v>0</v>
      </c>
      <c r="AN21">
        <f/>
        <v>0</v>
      </c>
      <c r="AO21">
        <f/>
        <v>0</v>
      </c>
      <c r="AP21">
        <f/>
        <v>0</v>
      </c>
      <c r="AQ21">
        <f/>
        <v>0</v>
      </c>
      <c r="AR21">
        <f/>
        <v>0</v>
      </c>
      <c r="AS21">
        <f/>
        <v>0</v>
      </c>
      <c r="AT21">
        <f/>
        <v>0</v>
      </c>
      <c r="AU21">
        <f/>
        <v>0</v>
      </c>
      <c r="AV21">
        <f/>
        <v>0</v>
      </c>
      <c r="AW21">
        <f/>
        <v>0</v>
      </c>
      <c r="AX21">
        <f/>
        <v>0</v>
      </c>
      <c r="AY21">
        <f/>
        <v>0</v>
      </c>
      <c r="AZ21">
        <f/>
        <v>0</v>
      </c>
      <c r="BA21">
        <f/>
        <v>0</v>
      </c>
      <c r="BB21">
        <f/>
        <v>0</v>
      </c>
      <c r="BC21">
        <f/>
        <v>0</v>
      </c>
      <c r="BD21">
        <f/>
        <v>0</v>
      </c>
      <c r="BE21">
        <f/>
        <v>0</v>
      </c>
      <c r="BF21">
        <f/>
        <v>0</v>
      </c>
      <c r="BG21">
        <f/>
        <v>0</v>
      </c>
      <c r="BH21">
        <f/>
        <v>0</v>
      </c>
      <c r="BI21">
        <f/>
        <v>0</v>
      </c>
      <c r="BJ21">
        <f/>
        <v>0</v>
      </c>
      <c r="BK21">
        <f/>
        <v>0</v>
      </c>
      <c r="BL21">
        <f/>
        <v>0</v>
      </c>
      <c r="BM21">
        <f/>
        <v>0</v>
      </c>
      <c r="BN21">
        <f/>
        <v>0</v>
      </c>
      <c r="BO21">
        <f/>
        <v>0</v>
      </c>
      <c r="BP21">
        <f/>
        <v>0</v>
      </c>
      <c r="BQ21">
        <f/>
        <v>0</v>
      </c>
      <c r="BR21">
        <f/>
        <v>0</v>
      </c>
      <c r="BS21">
        <f/>
        <v>0</v>
      </c>
      <c r="BT21">
        <f/>
        <v>0</v>
      </c>
      <c r="BU21">
        <f/>
        <v>0</v>
      </c>
      <c r="BV21">
        <f/>
        <v>0</v>
      </c>
      <c r="BW21">
        <f/>
        <v>0</v>
      </c>
      <c r="BX21">
        <f/>
        <v>0</v>
      </c>
      <c r="BY21">
        <f/>
        <v>0</v>
      </c>
      <c r="BZ21">
        <f/>
        <v>0</v>
      </c>
      <c r="CA21">
        <f/>
        <v>0</v>
      </c>
      <c r="CB21">
        <f/>
        <v>0</v>
      </c>
      <c r="CC21">
        <f/>
        <v>0</v>
      </c>
      <c r="CD21">
        <f/>
        <v>0</v>
      </c>
      <c r="CE21">
        <f/>
        <v>0</v>
      </c>
      <c r="CF21">
        <f/>
        <v>0</v>
      </c>
      <c r="CG21">
        <f/>
        <v>0</v>
      </c>
      <c r="CH21">
        <f/>
        <v>0</v>
      </c>
      <c r="CI21">
        <f/>
        <v>0</v>
      </c>
      <c r="CJ21">
        <f/>
        <v>0</v>
      </c>
      <c r="CK21">
        <f/>
        <v>0</v>
      </c>
      <c r="CL21">
        <f/>
        <v>0</v>
      </c>
      <c r="CM21">
        <f/>
        <v>0</v>
      </c>
      <c r="CN21">
        <f/>
        <v>0</v>
      </c>
      <c r="CO21">
        <f/>
        <v>0</v>
      </c>
      <c r="CP21">
        <f/>
        <v>0</v>
      </c>
      <c r="CQ21">
        <f/>
        <v>0</v>
      </c>
      <c r="CR21">
        <f/>
        <v>0</v>
      </c>
      <c r="CS21">
        <f/>
        <v>0</v>
      </c>
      <c r="CT21">
        <f/>
        <v>0</v>
      </c>
      <c r="CU21">
        <f/>
        <v>0</v>
      </c>
      <c r="CV21">
        <f/>
        <v>0</v>
      </c>
      <c r="CW21">
        <f/>
        <v>0</v>
      </c>
      <c r="CX21">
        <f/>
        <v>0</v>
      </c>
      <c r="CY21">
        <f/>
        <v>0</v>
      </c>
      <c r="CZ21">
        <f/>
        <v>0</v>
      </c>
      <c r="DA21">
        <f/>
        <v>0</v>
      </c>
      <c r="DB21">
        <f/>
        <v>0</v>
      </c>
      <c r="DC21">
        <f/>
        <v>0</v>
      </c>
      <c r="DD21">
        <f/>
        <v>0</v>
      </c>
      <c r="DE21">
        <f/>
        <v>0</v>
      </c>
      <c r="DF21">
        <f/>
        <v>0</v>
      </c>
      <c r="DG21">
        <f/>
        <v>0</v>
      </c>
      <c r="DH21">
        <f/>
        <v>0</v>
      </c>
      <c r="DI21">
        <f/>
        <v>0</v>
      </c>
      <c r="DJ21">
        <f/>
        <v>0</v>
      </c>
      <c r="DK21">
        <f/>
        <v>0</v>
      </c>
      <c r="DL21">
        <f/>
        <v>0</v>
      </c>
      <c r="DM21">
        <f/>
        <v>0</v>
      </c>
      <c r="DN21">
        <f/>
        <v>0</v>
      </c>
      <c r="DO21">
        <f/>
        <v>0</v>
      </c>
      <c r="DP21">
        <f/>
        <v>0</v>
      </c>
      <c r="DQ21">
        <f/>
        <v>0</v>
      </c>
      <c r="DR21">
        <f/>
        <v>0</v>
      </c>
      <c r="DS21">
        <f/>
        <v>0</v>
      </c>
      <c r="DT21">
        <f/>
        <v>0</v>
      </c>
      <c r="DU21">
        <f/>
        <v>0</v>
      </c>
      <c r="DV21">
        <f/>
        <v>0</v>
      </c>
      <c r="DW21">
        <f/>
        <v>0</v>
      </c>
      <c r="DX21">
        <f/>
        <v>0</v>
      </c>
      <c r="DY21">
        <f/>
        <v>0</v>
      </c>
      <c r="DZ21">
        <f/>
        <v>0</v>
      </c>
      <c r="EA21">
        <f/>
        <v>0</v>
      </c>
      <c r="EB21">
        <f/>
        <v>0</v>
      </c>
      <c r="EC21">
        <f/>
        <v>0</v>
      </c>
      <c r="ED21">
        <f/>
        <v>0</v>
      </c>
      <c r="EE21">
        <f/>
        <v>0</v>
      </c>
      <c r="EF21">
        <f/>
        <v>0</v>
      </c>
      <c r="EG21">
        <f/>
        <v>0</v>
      </c>
      <c r="EH21">
        <f/>
        <v>0</v>
      </c>
      <c r="EI21">
        <f/>
        <v>0</v>
      </c>
      <c r="EJ21">
        <f/>
        <v>0</v>
      </c>
      <c r="EK21">
        <f/>
        <v>0</v>
      </c>
      <c r="EL21">
        <f/>
        <v>0</v>
      </c>
      <c r="EM21">
        <f/>
        <v>0</v>
      </c>
      <c r="EN21">
        <f/>
        <v>0</v>
      </c>
      <c r="EO21">
        <f/>
        <v>0</v>
      </c>
      <c r="EP21">
        <f/>
        <v>0</v>
      </c>
      <c r="EQ21">
        <f/>
        <v>0</v>
      </c>
      <c r="ER21">
        <f/>
        <v>0</v>
      </c>
      <c r="ES21">
        <f/>
        <v>0</v>
      </c>
      <c r="ET21">
        <f/>
        <v>0</v>
      </c>
      <c r="EU21">
        <f/>
        <v>0</v>
      </c>
      <c r="EV21">
        <f/>
        <v>0</v>
      </c>
      <c r="EW21">
        <f/>
        <v>0</v>
      </c>
      <c r="EX21">
        <f/>
        <v>0</v>
      </c>
      <c r="EY21">
        <f/>
        <v>0</v>
      </c>
      <c r="EZ21">
        <f/>
        <v>0</v>
      </c>
      <c r="FA21">
        <f/>
        <v>0</v>
      </c>
      <c r="FB21">
        <f/>
        <v>0</v>
      </c>
      <c r="FC21">
        <f/>
        <v>0</v>
      </c>
      <c r="FD21">
        <f/>
        <v>0</v>
      </c>
      <c r="FE21">
        <f/>
        <v>0</v>
      </c>
      <c r="FF21">
        <f/>
        <v>0</v>
      </c>
      <c r="FG21">
        <f/>
        <v>0</v>
      </c>
      <c r="FH21">
        <f/>
        <v>0</v>
      </c>
      <c r="FI21">
        <f/>
        <v>0</v>
      </c>
      <c r="FJ21">
        <f/>
        <v>0</v>
      </c>
      <c r="FK21">
        <f/>
        <v>0</v>
      </c>
      <c r="FL21">
        <f/>
        <v>0</v>
      </c>
      <c r="FM21">
        <f/>
        <v>0</v>
      </c>
      <c r="FN21">
        <f/>
        <v>0</v>
      </c>
      <c r="FO21">
        <f/>
        <v>0</v>
      </c>
      <c r="FP21">
        <f/>
        <v>0</v>
      </c>
      <c r="FQ21">
        <f/>
        <v>0</v>
      </c>
      <c r="FR21">
        <f/>
        <v>0</v>
      </c>
      <c r="FS21">
        <f/>
        <v>0</v>
      </c>
      <c r="FT21">
        <f/>
        <v>0</v>
      </c>
      <c r="FU21">
        <f/>
        <v>0</v>
      </c>
      <c r="FV21">
        <f/>
        <v>0</v>
      </c>
      <c r="FW21">
        <f/>
        <v>0</v>
      </c>
      <c r="FX21">
        <f/>
        <v>0</v>
      </c>
      <c r="FY21">
        <f/>
        <v>0</v>
      </c>
      <c r="FZ21">
        <f/>
        <v>0</v>
      </c>
      <c r="GA21">
        <f/>
        <v>0</v>
      </c>
      <c r="GB21">
        <f/>
        <v>0</v>
      </c>
      <c r="GC21">
        <f/>
        <v>0</v>
      </c>
      <c r="GD21">
        <f/>
        <v>0</v>
      </c>
      <c r="GE21">
        <f/>
        <v>0</v>
      </c>
      <c r="GF21">
        <f/>
        <v>0</v>
      </c>
      <c r="GG21">
        <f/>
        <v>0</v>
      </c>
      <c r="GH21">
        <f/>
        <v>0</v>
      </c>
      <c r="GI21">
        <f/>
        <v>0</v>
      </c>
      <c r="GJ21">
        <f/>
        <v>0</v>
      </c>
      <c r="GK21">
        <f/>
        <v>0</v>
      </c>
      <c r="GL21">
        <f/>
        <v>0</v>
      </c>
      <c r="GM21">
        <f/>
        <v>0</v>
      </c>
      <c r="GN21">
        <f/>
        <v>0</v>
      </c>
      <c r="GO21">
        <f/>
        <v>0</v>
      </c>
      <c r="GP21">
        <f/>
        <v>0</v>
      </c>
      <c r="GQ21">
        <f/>
        <v>0</v>
      </c>
      <c r="GR21">
        <f/>
        <v>0</v>
      </c>
      <c r="GS21">
        <f/>
        <v>0</v>
      </c>
      <c r="GT21">
        <f/>
        <v>0</v>
      </c>
      <c r="GU21">
        <f/>
        <v>0</v>
      </c>
      <c r="GV21">
        <f/>
        <v>0</v>
      </c>
      <c r="GW21">
        <f/>
        <v>0</v>
      </c>
      <c r="GX21">
        <f/>
        <v>0</v>
      </c>
      <c r="GY21">
        <f/>
        <v>0</v>
      </c>
      <c r="GZ21">
        <f/>
        <v>0</v>
      </c>
      <c r="HA21">
        <f/>
        <v>0</v>
      </c>
      <c r="HB21">
        <f/>
        <v>0</v>
      </c>
      <c r="HC21">
        <f/>
        <v>0</v>
      </c>
      <c r="HD21">
        <f/>
        <v>0</v>
      </c>
      <c r="HE21">
        <f/>
        <v>0</v>
      </c>
      <c r="HF21">
        <f/>
        <v>0</v>
      </c>
      <c r="HG21">
        <f/>
        <v>0</v>
      </c>
      <c r="HH21">
        <f/>
        <v>0</v>
      </c>
      <c r="HI21">
        <f/>
        <v>0</v>
      </c>
      <c r="HJ21">
        <f/>
        <v>0</v>
      </c>
      <c r="HK21">
        <f/>
        <v>0</v>
      </c>
      <c r="HL21">
        <f/>
        <v>0</v>
      </c>
      <c r="HM21">
        <f/>
        <v>0</v>
      </c>
      <c r="HN21">
        <f/>
        <v>0</v>
      </c>
      <c r="HO21">
        <f/>
        <v>0</v>
      </c>
      <c r="HP21">
        <f/>
        <v>0</v>
      </c>
      <c r="HQ21">
        <f/>
        <v>0</v>
      </c>
      <c r="HR21">
        <f/>
        <v>0</v>
      </c>
      <c r="HS21">
        <f/>
        <v>0</v>
      </c>
      <c r="HT21">
        <f/>
        <v>0</v>
      </c>
      <c r="HU21">
        <f/>
        <v>0</v>
      </c>
      <c r="HV21">
        <f/>
        <v>0</v>
      </c>
      <c r="HW21">
        <f/>
        <v>0</v>
      </c>
      <c r="HX21">
        <f/>
        <v>0</v>
      </c>
      <c r="HY21">
        <f/>
        <v>0</v>
      </c>
      <c r="HZ21">
        <f/>
        <v>0</v>
      </c>
      <c r="IA21">
        <f/>
        <v>0</v>
      </c>
      <c r="IB21">
        <f/>
        <v>0</v>
      </c>
      <c r="IC21">
        <f/>
        <v>0</v>
      </c>
      <c r="ID21">
        <f/>
        <v>0</v>
      </c>
      <c r="IE21">
        <f/>
        <v>0</v>
      </c>
      <c r="IF21">
        <f/>
        <v>0</v>
      </c>
      <c r="IG21">
        <f/>
        <v>0</v>
      </c>
      <c r="IH21">
        <f/>
        <v>0</v>
      </c>
      <c r="II21">
        <f/>
        <v>0</v>
      </c>
      <c r="IJ21">
        <f/>
        <v>0</v>
      </c>
      <c r="IK21">
        <f/>
        <v>0</v>
      </c>
      <c r="IL21">
        <f/>
        <v>0</v>
      </c>
      <c r="IM21">
        <f/>
        <v>0</v>
      </c>
      <c r="IN21">
        <f/>
        <v>0</v>
      </c>
      <c r="IO21">
        <f/>
        <v>0</v>
      </c>
      <c r="IP21">
        <f/>
        <v>0</v>
      </c>
      <c r="IQ21">
        <f/>
        <v>0</v>
      </c>
      <c r="IR21">
        <f/>
        <v>0</v>
      </c>
      <c r="IS21">
        <f/>
        <v>0</v>
      </c>
      <c r="IT21">
        <f/>
        <v>0</v>
      </c>
      <c r="IU21">
        <f/>
        <v>0</v>
      </c>
      <c r="IV21">
        <f/>
        <v>0</v>
      </c>
      <c r="IW21">
        <f/>
        <v>0</v>
      </c>
      <c r="IX21">
        <f/>
        <v>0</v>
      </c>
      <c r="IY21">
        <f/>
        <v>0</v>
      </c>
      <c r="IZ21">
        <f/>
        <v>0</v>
      </c>
      <c r="JA21">
        <f/>
        <v>0</v>
      </c>
      <c r="JB21">
        <f/>
        <v>0</v>
      </c>
      <c r="JC21">
        <f/>
        <v>0</v>
      </c>
      <c r="JD21">
        <f/>
        <v>0</v>
      </c>
      <c r="JE21">
        <f/>
        <v>0</v>
      </c>
      <c r="JF21">
        <f/>
        <v>0</v>
      </c>
      <c r="JG21">
        <f/>
        <v>0</v>
      </c>
      <c r="JH21">
        <f/>
        <v>0</v>
      </c>
      <c r="JI21">
        <f/>
        <v>0</v>
      </c>
      <c r="JJ21">
        <f/>
        <v>0</v>
      </c>
      <c r="JK21">
        <f/>
        <v>0</v>
      </c>
      <c r="JL21">
        <f/>
        <v>0</v>
      </c>
      <c r="JM21">
        <f/>
        <v>0</v>
      </c>
      <c r="JN21">
        <f/>
        <v>0</v>
      </c>
      <c r="JO21">
        <f/>
        <v>0</v>
      </c>
      <c r="JP21">
        <f/>
        <v>0</v>
      </c>
      <c r="JQ21">
        <f/>
        <v>0</v>
      </c>
      <c r="JR21">
        <f/>
        <v>0</v>
      </c>
      <c r="JS21">
        <f/>
        <v>0</v>
      </c>
      <c r="JT21">
        <f/>
        <v>0</v>
      </c>
      <c r="JU21">
        <f/>
        <v>0</v>
      </c>
      <c r="JV21">
        <f/>
        <v>0</v>
      </c>
      <c r="JW21">
        <f/>
        <v>0</v>
      </c>
      <c r="JX21">
        <f/>
        <v>0</v>
      </c>
      <c r="JY21">
        <f/>
        <v>0</v>
      </c>
      <c r="JZ21">
        <f/>
        <v>0</v>
      </c>
      <c r="KA21">
        <f/>
        <v>0</v>
      </c>
      <c r="KB21">
        <f/>
        <v>0</v>
      </c>
      <c r="KC21">
        <f/>
        <v>0</v>
      </c>
      <c r="KD21">
        <f/>
        <v>0</v>
      </c>
      <c r="KE21">
        <f/>
        <v>0</v>
      </c>
      <c r="KF21">
        <f/>
        <v>0</v>
      </c>
      <c r="KG21">
        <f/>
        <v>0</v>
      </c>
      <c r="KH21">
        <f/>
        <v>0</v>
      </c>
      <c r="KI21">
        <f/>
        <v>0</v>
      </c>
      <c r="KJ21">
        <f/>
        <v>0</v>
      </c>
      <c r="KK21">
        <f/>
        <v>0</v>
      </c>
      <c r="KL21">
        <f/>
        <v>0</v>
      </c>
      <c r="KM21">
        <f/>
        <v>0</v>
      </c>
      <c r="KN21">
        <f/>
        <v>0</v>
      </c>
      <c r="KO21">
        <f/>
        <v>0</v>
      </c>
      <c r="KP21">
        <f/>
        <v>0</v>
      </c>
      <c r="KQ21">
        <f/>
        <v>0</v>
      </c>
      <c r="KR21">
        <f/>
        <v>0</v>
      </c>
      <c r="KS21">
        <f/>
        <v>0</v>
      </c>
      <c r="KT21">
        <f/>
        <v>0</v>
      </c>
      <c r="KU21">
        <f/>
        <v>0</v>
      </c>
      <c r="KV21">
        <f/>
        <v>0</v>
      </c>
      <c r="KW21">
        <f/>
        <v>0</v>
      </c>
      <c r="KX21">
        <f/>
        <v>0</v>
      </c>
      <c r="KY21">
        <f/>
        <v>0</v>
      </c>
      <c r="KZ21">
        <f/>
        <v>0</v>
      </c>
      <c r="LA21">
        <f/>
        <v>0</v>
      </c>
      <c r="LB21">
        <f/>
        <v>0</v>
      </c>
      <c r="LC21">
        <f/>
        <v>0</v>
      </c>
      <c r="LD21">
        <f/>
        <v>0</v>
      </c>
      <c r="LE21">
        <f/>
        <v>0</v>
      </c>
      <c r="LF21">
        <f/>
        <v>0</v>
      </c>
      <c r="LG21">
        <f/>
        <v>0</v>
      </c>
      <c r="LH21">
        <f/>
        <v>0</v>
      </c>
      <c r="LI21">
        <f/>
        <v>0</v>
      </c>
      <c r="LJ21">
        <f/>
        <v>0</v>
      </c>
      <c r="LK21">
        <f/>
        <v>0</v>
      </c>
      <c r="LL21">
        <f/>
        <v>0</v>
      </c>
      <c r="LM21">
        <f/>
        <v>0</v>
      </c>
      <c r="LN21">
        <f/>
        <v>0</v>
      </c>
      <c r="LO21">
        <f/>
        <v>0</v>
      </c>
      <c r="LP21">
        <f/>
        <v>0</v>
      </c>
      <c r="LQ21">
        <f/>
        <v>0</v>
      </c>
      <c r="LR21">
        <f/>
        <v>0</v>
      </c>
      <c r="LS21">
        <f/>
        <v>0</v>
      </c>
      <c r="LT21">
        <f/>
        <v>0</v>
      </c>
      <c r="LU21">
        <f/>
        <v>0</v>
      </c>
      <c r="LV21">
        <f/>
        <v>0</v>
      </c>
      <c r="LW21">
        <f/>
        <v>0</v>
      </c>
      <c r="LX21">
        <f/>
        <v>0</v>
      </c>
      <c r="LY21">
        <f/>
        <v>0</v>
      </c>
      <c r="LZ21">
        <f/>
        <v>0</v>
      </c>
      <c r="MA21">
        <f/>
        <v>0</v>
      </c>
      <c r="MB21">
        <f/>
        <v>0</v>
      </c>
      <c r="MC21">
        <f/>
        <v>0</v>
      </c>
      <c r="MD21">
        <f/>
        <v>0</v>
      </c>
      <c r="ME21">
        <f/>
        <v>0</v>
      </c>
      <c r="MF21">
        <f/>
        <v>0</v>
      </c>
      <c r="MG21">
        <f/>
        <v>0</v>
      </c>
      <c r="MH21">
        <f/>
        <v>0</v>
      </c>
      <c r="MI21">
        <f/>
        <v>0</v>
      </c>
      <c r="MJ21">
        <f/>
        <v>0</v>
      </c>
      <c r="MK21">
        <f/>
        <v>0</v>
      </c>
      <c r="ML21">
        <f/>
        <v>0</v>
      </c>
      <c r="MM21">
        <f/>
        <v>0</v>
      </c>
      <c r="MN21">
        <f/>
        <v>0</v>
      </c>
      <c r="MO21">
        <f/>
        <v>0</v>
      </c>
      <c r="MP21">
        <f/>
        <v>0</v>
      </c>
      <c r="MQ21">
        <f/>
        <v>0</v>
      </c>
      <c r="MR21">
        <f/>
        <v>0</v>
      </c>
      <c r="MS21">
        <f/>
        <v>0</v>
      </c>
      <c r="MT21">
        <f/>
        <v>0</v>
      </c>
      <c r="MU21">
        <f/>
        <v>0</v>
      </c>
      <c r="MV21">
        <f/>
        <v>0</v>
      </c>
      <c r="MW21">
        <f/>
        <v>0</v>
      </c>
      <c r="MX21">
        <f/>
        <v>0</v>
      </c>
      <c r="MY21">
        <f/>
        <v>0</v>
      </c>
      <c r="MZ21">
        <f/>
        <v>0</v>
      </c>
      <c r="NA21">
        <f/>
        <v>0</v>
      </c>
      <c r="NB21">
        <f/>
        <v>0</v>
      </c>
      <c r="NC21">
        <f/>
        <v>0</v>
      </c>
    </row>
    <row r="22" spans="1:367" x14ac:dyDescent="0.25">
      <c r="A22" s="141">
        <v>46164</v>
      </c>
      <c r="B22" s="162" cm="1">
        <f t="array" ref="B22">nabla.f.TimelineOffsetλ(A22,_xlfn.ANCHORARRAY( $C$18))</f>
        <v>10</v>
      </c>
      <c r="C22" cm="1">
        <f t="array" ref="C22:NC22">N(_xlfn.ANCHORARRAY($C$18)=INDEX(_xlfn.ANCHORARRAY($C$18),B22+1))</f>
        <v>0</v>
      </c>
      <c r="D22">
        <f/>
        <v>0</v>
      </c>
      <c r="E22">
        <f/>
        <v>0</v>
      </c>
      <c r="F22">
        <f/>
        <v>0</v>
      </c>
      <c r="G22">
        <f/>
        <v>0</v>
      </c>
      <c r="H22">
        <f/>
        <v>0</v>
      </c>
      <c r="I22">
        <f/>
        <v>0</v>
      </c>
      <c r="J22">
        <f/>
        <v>0</v>
      </c>
      <c r="K22">
        <f/>
        <v>0</v>
      </c>
      <c r="L22">
        <f/>
        <v>0</v>
      </c>
      <c r="M22">
        <f/>
        <v>1</v>
      </c>
      <c r="N22">
        <f/>
        <v>0</v>
      </c>
      <c r="O22">
        <f/>
        <v>0</v>
      </c>
      <c r="P22">
        <f/>
        <v>0</v>
      </c>
      <c r="Q22">
        <f/>
        <v>0</v>
      </c>
      <c r="R22">
        <f/>
        <v>0</v>
      </c>
      <c r="S22">
        <f/>
        <v>0</v>
      </c>
      <c r="T22">
        <f/>
        <v>0</v>
      </c>
      <c r="U22">
        <f/>
        <v>0</v>
      </c>
      <c r="V22">
        <f/>
        <v>0</v>
      </c>
      <c r="W22">
        <f/>
        <v>0</v>
      </c>
      <c r="X22">
        <f/>
        <v>0</v>
      </c>
      <c r="Y22">
        <f/>
        <v>0</v>
      </c>
      <c r="Z22">
        <f/>
        <v>0</v>
      </c>
      <c r="AA22">
        <f/>
        <v>0</v>
      </c>
      <c r="AB22">
        <f/>
        <v>0</v>
      </c>
      <c r="AC22">
        <f/>
        <v>0</v>
      </c>
      <c r="AD22">
        <f/>
        <v>0</v>
      </c>
      <c r="AE22">
        <f/>
        <v>0</v>
      </c>
      <c r="AF22">
        <f/>
        <v>0</v>
      </c>
      <c r="AG22">
        <f/>
        <v>0</v>
      </c>
      <c r="AH22">
        <f/>
        <v>0</v>
      </c>
      <c r="AI22">
        <f/>
        <v>0</v>
      </c>
      <c r="AJ22">
        <f/>
        <v>0</v>
      </c>
      <c r="AK22">
        <f/>
        <v>0</v>
      </c>
      <c r="AL22">
        <f/>
        <v>0</v>
      </c>
      <c r="AM22">
        <f/>
        <v>0</v>
      </c>
      <c r="AN22">
        <f/>
        <v>0</v>
      </c>
      <c r="AO22">
        <f/>
        <v>0</v>
      </c>
      <c r="AP22">
        <f/>
        <v>0</v>
      </c>
      <c r="AQ22">
        <f/>
        <v>0</v>
      </c>
      <c r="AR22">
        <f/>
        <v>0</v>
      </c>
      <c r="AS22">
        <f/>
        <v>0</v>
      </c>
      <c r="AT22">
        <f/>
        <v>0</v>
      </c>
      <c r="AU22">
        <f/>
        <v>0</v>
      </c>
      <c r="AV22">
        <f/>
        <v>0</v>
      </c>
      <c r="AW22">
        <f/>
        <v>0</v>
      </c>
      <c r="AX22">
        <f/>
        <v>0</v>
      </c>
      <c r="AY22">
        <f/>
        <v>0</v>
      </c>
      <c r="AZ22">
        <f/>
        <v>0</v>
      </c>
      <c r="BA22">
        <f/>
        <v>0</v>
      </c>
      <c r="BB22">
        <f/>
        <v>0</v>
      </c>
      <c r="BC22">
        <f/>
        <v>0</v>
      </c>
      <c r="BD22">
        <f/>
        <v>0</v>
      </c>
      <c r="BE22">
        <f/>
        <v>0</v>
      </c>
      <c r="BF22">
        <f/>
        <v>0</v>
      </c>
      <c r="BG22">
        <f/>
        <v>0</v>
      </c>
      <c r="BH22">
        <f/>
        <v>0</v>
      </c>
      <c r="BI22">
        <f/>
        <v>0</v>
      </c>
      <c r="BJ22">
        <f/>
        <v>0</v>
      </c>
      <c r="BK22">
        <f/>
        <v>0</v>
      </c>
      <c r="BL22">
        <f/>
        <v>0</v>
      </c>
      <c r="BM22">
        <f/>
        <v>0</v>
      </c>
      <c r="BN22">
        <f/>
        <v>0</v>
      </c>
      <c r="BO22">
        <f/>
        <v>0</v>
      </c>
      <c r="BP22">
        <f/>
        <v>0</v>
      </c>
      <c r="BQ22">
        <f/>
        <v>0</v>
      </c>
      <c r="BR22">
        <f/>
        <v>0</v>
      </c>
      <c r="BS22">
        <f/>
        <v>0</v>
      </c>
      <c r="BT22">
        <f/>
        <v>0</v>
      </c>
      <c r="BU22">
        <f/>
        <v>0</v>
      </c>
      <c r="BV22">
        <f/>
        <v>0</v>
      </c>
      <c r="BW22">
        <f/>
        <v>0</v>
      </c>
      <c r="BX22">
        <f/>
        <v>0</v>
      </c>
      <c r="BY22">
        <f/>
        <v>0</v>
      </c>
      <c r="BZ22">
        <f/>
        <v>0</v>
      </c>
      <c r="CA22">
        <f/>
        <v>0</v>
      </c>
      <c r="CB22">
        <f/>
        <v>0</v>
      </c>
      <c r="CC22">
        <f/>
        <v>0</v>
      </c>
      <c r="CD22">
        <f/>
        <v>0</v>
      </c>
      <c r="CE22">
        <f/>
        <v>0</v>
      </c>
      <c r="CF22">
        <f/>
        <v>0</v>
      </c>
      <c r="CG22">
        <f/>
        <v>0</v>
      </c>
      <c r="CH22">
        <f/>
        <v>0</v>
      </c>
      <c r="CI22">
        <f/>
        <v>0</v>
      </c>
      <c r="CJ22">
        <f/>
        <v>0</v>
      </c>
      <c r="CK22">
        <f/>
        <v>0</v>
      </c>
      <c r="CL22">
        <f/>
        <v>0</v>
      </c>
      <c r="CM22">
        <f/>
        <v>0</v>
      </c>
      <c r="CN22">
        <f/>
        <v>0</v>
      </c>
      <c r="CO22">
        <f/>
        <v>0</v>
      </c>
      <c r="CP22">
        <f/>
        <v>0</v>
      </c>
      <c r="CQ22">
        <f/>
        <v>0</v>
      </c>
      <c r="CR22">
        <f/>
        <v>0</v>
      </c>
      <c r="CS22">
        <f/>
        <v>0</v>
      </c>
      <c r="CT22">
        <f/>
        <v>0</v>
      </c>
      <c r="CU22">
        <f/>
        <v>0</v>
      </c>
      <c r="CV22">
        <f/>
        <v>0</v>
      </c>
      <c r="CW22">
        <f/>
        <v>0</v>
      </c>
      <c r="CX22">
        <f/>
        <v>0</v>
      </c>
      <c r="CY22">
        <f/>
        <v>0</v>
      </c>
      <c r="CZ22">
        <f/>
        <v>0</v>
      </c>
      <c r="DA22">
        <f/>
        <v>0</v>
      </c>
      <c r="DB22">
        <f/>
        <v>0</v>
      </c>
      <c r="DC22">
        <f/>
        <v>0</v>
      </c>
      <c r="DD22">
        <f/>
        <v>0</v>
      </c>
      <c r="DE22">
        <f/>
        <v>0</v>
      </c>
      <c r="DF22">
        <f/>
        <v>0</v>
      </c>
      <c r="DG22">
        <f/>
        <v>0</v>
      </c>
      <c r="DH22">
        <f/>
        <v>0</v>
      </c>
      <c r="DI22">
        <f/>
        <v>0</v>
      </c>
      <c r="DJ22">
        <f/>
        <v>0</v>
      </c>
      <c r="DK22">
        <f/>
        <v>0</v>
      </c>
      <c r="DL22">
        <f/>
        <v>0</v>
      </c>
      <c r="DM22">
        <f/>
        <v>0</v>
      </c>
      <c r="DN22">
        <f/>
        <v>0</v>
      </c>
      <c r="DO22">
        <f/>
        <v>0</v>
      </c>
      <c r="DP22">
        <f/>
        <v>0</v>
      </c>
      <c r="DQ22">
        <f/>
        <v>0</v>
      </c>
      <c r="DR22">
        <f/>
        <v>0</v>
      </c>
      <c r="DS22">
        <f/>
        <v>0</v>
      </c>
      <c r="DT22">
        <f/>
        <v>0</v>
      </c>
      <c r="DU22">
        <f/>
        <v>0</v>
      </c>
      <c r="DV22">
        <f/>
        <v>0</v>
      </c>
      <c r="DW22">
        <f/>
        <v>0</v>
      </c>
      <c r="DX22">
        <f/>
        <v>0</v>
      </c>
      <c r="DY22">
        <f/>
        <v>0</v>
      </c>
      <c r="DZ22">
        <f/>
        <v>0</v>
      </c>
      <c r="EA22">
        <f/>
        <v>0</v>
      </c>
      <c r="EB22">
        <f/>
        <v>0</v>
      </c>
      <c r="EC22">
        <f/>
        <v>0</v>
      </c>
      <c r="ED22">
        <f/>
        <v>0</v>
      </c>
      <c r="EE22">
        <f/>
        <v>0</v>
      </c>
      <c r="EF22">
        <f/>
        <v>0</v>
      </c>
      <c r="EG22">
        <f/>
        <v>0</v>
      </c>
      <c r="EH22">
        <f/>
        <v>0</v>
      </c>
      <c r="EI22">
        <f/>
        <v>0</v>
      </c>
      <c r="EJ22">
        <f/>
        <v>0</v>
      </c>
      <c r="EK22">
        <f/>
        <v>0</v>
      </c>
      <c r="EL22">
        <f/>
        <v>0</v>
      </c>
      <c r="EM22">
        <f/>
        <v>0</v>
      </c>
      <c r="EN22">
        <f/>
        <v>0</v>
      </c>
      <c r="EO22">
        <f/>
        <v>0</v>
      </c>
      <c r="EP22">
        <f/>
        <v>0</v>
      </c>
      <c r="EQ22">
        <f/>
        <v>0</v>
      </c>
      <c r="ER22">
        <f/>
        <v>0</v>
      </c>
      <c r="ES22">
        <f/>
        <v>0</v>
      </c>
      <c r="ET22">
        <f/>
        <v>0</v>
      </c>
      <c r="EU22">
        <f/>
        <v>0</v>
      </c>
      <c r="EV22">
        <f/>
        <v>0</v>
      </c>
      <c r="EW22">
        <f/>
        <v>0</v>
      </c>
      <c r="EX22">
        <f/>
        <v>0</v>
      </c>
      <c r="EY22">
        <f/>
        <v>0</v>
      </c>
      <c r="EZ22">
        <f/>
        <v>0</v>
      </c>
      <c r="FA22">
        <f/>
        <v>0</v>
      </c>
      <c r="FB22">
        <f/>
        <v>0</v>
      </c>
      <c r="FC22">
        <f/>
        <v>0</v>
      </c>
      <c r="FD22">
        <f/>
        <v>0</v>
      </c>
      <c r="FE22">
        <f/>
        <v>0</v>
      </c>
      <c r="FF22">
        <f/>
        <v>0</v>
      </c>
      <c r="FG22">
        <f/>
        <v>0</v>
      </c>
      <c r="FH22">
        <f/>
        <v>0</v>
      </c>
      <c r="FI22">
        <f/>
        <v>0</v>
      </c>
      <c r="FJ22">
        <f/>
        <v>0</v>
      </c>
      <c r="FK22">
        <f/>
        <v>0</v>
      </c>
      <c r="FL22">
        <f/>
        <v>0</v>
      </c>
      <c r="FM22">
        <f/>
        <v>0</v>
      </c>
      <c r="FN22">
        <f/>
        <v>0</v>
      </c>
      <c r="FO22">
        <f/>
        <v>0</v>
      </c>
      <c r="FP22">
        <f/>
        <v>0</v>
      </c>
      <c r="FQ22">
        <f/>
        <v>0</v>
      </c>
      <c r="FR22">
        <f/>
        <v>0</v>
      </c>
      <c r="FS22">
        <f/>
        <v>0</v>
      </c>
      <c r="FT22">
        <f/>
        <v>0</v>
      </c>
      <c r="FU22">
        <f/>
        <v>0</v>
      </c>
      <c r="FV22">
        <f/>
        <v>0</v>
      </c>
      <c r="FW22">
        <f/>
        <v>0</v>
      </c>
      <c r="FX22">
        <f/>
        <v>0</v>
      </c>
      <c r="FY22">
        <f/>
        <v>0</v>
      </c>
      <c r="FZ22">
        <f/>
        <v>0</v>
      </c>
      <c r="GA22">
        <f/>
        <v>0</v>
      </c>
      <c r="GB22">
        <f/>
        <v>0</v>
      </c>
      <c r="GC22">
        <f/>
        <v>0</v>
      </c>
      <c r="GD22">
        <f/>
        <v>0</v>
      </c>
      <c r="GE22">
        <f/>
        <v>0</v>
      </c>
      <c r="GF22">
        <f/>
        <v>0</v>
      </c>
      <c r="GG22">
        <f/>
        <v>0</v>
      </c>
      <c r="GH22">
        <f/>
        <v>0</v>
      </c>
      <c r="GI22">
        <f/>
        <v>0</v>
      </c>
      <c r="GJ22">
        <f/>
        <v>0</v>
      </c>
      <c r="GK22">
        <f/>
        <v>0</v>
      </c>
      <c r="GL22">
        <f/>
        <v>0</v>
      </c>
      <c r="GM22">
        <f/>
        <v>0</v>
      </c>
      <c r="GN22">
        <f/>
        <v>0</v>
      </c>
      <c r="GO22">
        <f/>
        <v>0</v>
      </c>
      <c r="GP22">
        <f/>
        <v>0</v>
      </c>
      <c r="GQ22">
        <f/>
        <v>0</v>
      </c>
      <c r="GR22">
        <f/>
        <v>0</v>
      </c>
      <c r="GS22">
        <f/>
        <v>0</v>
      </c>
      <c r="GT22">
        <f/>
        <v>0</v>
      </c>
      <c r="GU22">
        <f/>
        <v>0</v>
      </c>
      <c r="GV22">
        <f/>
        <v>0</v>
      </c>
      <c r="GW22">
        <f/>
        <v>0</v>
      </c>
      <c r="GX22">
        <f/>
        <v>0</v>
      </c>
      <c r="GY22">
        <f/>
        <v>0</v>
      </c>
      <c r="GZ22">
        <f/>
        <v>0</v>
      </c>
      <c r="HA22">
        <f/>
        <v>0</v>
      </c>
      <c r="HB22">
        <f/>
        <v>0</v>
      </c>
      <c r="HC22">
        <f/>
        <v>0</v>
      </c>
      <c r="HD22">
        <f/>
        <v>0</v>
      </c>
      <c r="HE22">
        <f/>
        <v>0</v>
      </c>
      <c r="HF22">
        <f/>
        <v>0</v>
      </c>
      <c r="HG22">
        <f/>
        <v>0</v>
      </c>
      <c r="HH22">
        <f/>
        <v>0</v>
      </c>
      <c r="HI22">
        <f/>
        <v>0</v>
      </c>
      <c r="HJ22">
        <f/>
        <v>0</v>
      </c>
      <c r="HK22">
        <f/>
        <v>0</v>
      </c>
      <c r="HL22">
        <f/>
        <v>0</v>
      </c>
      <c r="HM22">
        <f/>
        <v>0</v>
      </c>
      <c r="HN22">
        <f/>
        <v>0</v>
      </c>
      <c r="HO22">
        <f/>
        <v>0</v>
      </c>
      <c r="HP22">
        <f/>
        <v>0</v>
      </c>
      <c r="HQ22">
        <f/>
        <v>0</v>
      </c>
      <c r="HR22">
        <f/>
        <v>0</v>
      </c>
      <c r="HS22">
        <f/>
        <v>0</v>
      </c>
      <c r="HT22">
        <f/>
        <v>0</v>
      </c>
      <c r="HU22">
        <f/>
        <v>0</v>
      </c>
      <c r="HV22">
        <f/>
        <v>0</v>
      </c>
      <c r="HW22">
        <f/>
        <v>0</v>
      </c>
      <c r="HX22">
        <f/>
        <v>0</v>
      </c>
      <c r="HY22">
        <f/>
        <v>0</v>
      </c>
      <c r="HZ22">
        <f/>
        <v>0</v>
      </c>
      <c r="IA22">
        <f/>
        <v>0</v>
      </c>
      <c r="IB22">
        <f/>
        <v>0</v>
      </c>
      <c r="IC22">
        <f/>
        <v>0</v>
      </c>
      <c r="ID22">
        <f/>
        <v>0</v>
      </c>
      <c r="IE22">
        <f/>
        <v>0</v>
      </c>
      <c r="IF22">
        <f/>
        <v>0</v>
      </c>
      <c r="IG22">
        <f/>
        <v>0</v>
      </c>
      <c r="IH22">
        <f/>
        <v>0</v>
      </c>
      <c r="II22">
        <f/>
        <v>0</v>
      </c>
      <c r="IJ22">
        <f/>
        <v>0</v>
      </c>
      <c r="IK22">
        <f/>
        <v>0</v>
      </c>
      <c r="IL22">
        <f/>
        <v>0</v>
      </c>
      <c r="IM22">
        <f/>
        <v>0</v>
      </c>
      <c r="IN22">
        <f/>
        <v>0</v>
      </c>
      <c r="IO22">
        <f/>
        <v>0</v>
      </c>
      <c r="IP22">
        <f/>
        <v>0</v>
      </c>
      <c r="IQ22">
        <f/>
        <v>0</v>
      </c>
      <c r="IR22">
        <f/>
        <v>0</v>
      </c>
      <c r="IS22">
        <f/>
        <v>0</v>
      </c>
      <c r="IT22">
        <f/>
        <v>0</v>
      </c>
      <c r="IU22">
        <f/>
        <v>0</v>
      </c>
      <c r="IV22">
        <f/>
        <v>0</v>
      </c>
      <c r="IW22">
        <f/>
        <v>0</v>
      </c>
      <c r="IX22">
        <f/>
        <v>0</v>
      </c>
      <c r="IY22">
        <f/>
        <v>0</v>
      </c>
      <c r="IZ22">
        <f/>
        <v>0</v>
      </c>
      <c r="JA22">
        <f/>
        <v>0</v>
      </c>
      <c r="JB22">
        <f/>
        <v>0</v>
      </c>
      <c r="JC22">
        <f/>
        <v>0</v>
      </c>
      <c r="JD22">
        <f/>
        <v>0</v>
      </c>
      <c r="JE22">
        <f/>
        <v>0</v>
      </c>
      <c r="JF22">
        <f/>
        <v>0</v>
      </c>
      <c r="JG22">
        <f/>
        <v>0</v>
      </c>
      <c r="JH22">
        <f/>
        <v>0</v>
      </c>
      <c r="JI22">
        <f/>
        <v>0</v>
      </c>
      <c r="JJ22">
        <f/>
        <v>0</v>
      </c>
      <c r="JK22">
        <f/>
        <v>0</v>
      </c>
      <c r="JL22">
        <f/>
        <v>0</v>
      </c>
      <c r="JM22">
        <f/>
        <v>0</v>
      </c>
      <c r="JN22">
        <f/>
        <v>0</v>
      </c>
      <c r="JO22">
        <f/>
        <v>0</v>
      </c>
      <c r="JP22">
        <f/>
        <v>0</v>
      </c>
      <c r="JQ22">
        <f/>
        <v>0</v>
      </c>
      <c r="JR22">
        <f/>
        <v>0</v>
      </c>
      <c r="JS22">
        <f/>
        <v>0</v>
      </c>
      <c r="JT22">
        <f/>
        <v>0</v>
      </c>
      <c r="JU22">
        <f/>
        <v>0</v>
      </c>
      <c r="JV22">
        <f/>
        <v>0</v>
      </c>
      <c r="JW22">
        <f/>
        <v>0</v>
      </c>
      <c r="JX22">
        <f/>
        <v>0</v>
      </c>
      <c r="JY22">
        <f/>
        <v>0</v>
      </c>
      <c r="JZ22">
        <f/>
        <v>0</v>
      </c>
      <c r="KA22">
        <f/>
        <v>0</v>
      </c>
      <c r="KB22">
        <f/>
        <v>0</v>
      </c>
      <c r="KC22">
        <f/>
        <v>0</v>
      </c>
      <c r="KD22">
        <f/>
        <v>0</v>
      </c>
      <c r="KE22">
        <f/>
        <v>0</v>
      </c>
      <c r="KF22">
        <f/>
        <v>0</v>
      </c>
      <c r="KG22">
        <f/>
        <v>0</v>
      </c>
      <c r="KH22">
        <f/>
        <v>0</v>
      </c>
      <c r="KI22">
        <f/>
        <v>0</v>
      </c>
      <c r="KJ22">
        <f/>
        <v>0</v>
      </c>
      <c r="KK22">
        <f/>
        <v>0</v>
      </c>
      <c r="KL22">
        <f/>
        <v>0</v>
      </c>
      <c r="KM22">
        <f/>
        <v>0</v>
      </c>
      <c r="KN22">
        <f/>
        <v>0</v>
      </c>
      <c r="KO22">
        <f/>
        <v>0</v>
      </c>
      <c r="KP22">
        <f/>
        <v>0</v>
      </c>
      <c r="KQ22">
        <f/>
        <v>0</v>
      </c>
      <c r="KR22">
        <f/>
        <v>0</v>
      </c>
      <c r="KS22">
        <f/>
        <v>0</v>
      </c>
      <c r="KT22">
        <f/>
        <v>0</v>
      </c>
      <c r="KU22">
        <f/>
        <v>0</v>
      </c>
      <c r="KV22">
        <f/>
        <v>0</v>
      </c>
      <c r="KW22">
        <f/>
        <v>0</v>
      </c>
      <c r="KX22">
        <f/>
        <v>0</v>
      </c>
      <c r="KY22">
        <f/>
        <v>0</v>
      </c>
      <c r="KZ22">
        <f/>
        <v>0</v>
      </c>
      <c r="LA22">
        <f/>
        <v>0</v>
      </c>
      <c r="LB22">
        <f/>
        <v>0</v>
      </c>
      <c r="LC22">
        <f/>
        <v>0</v>
      </c>
      <c r="LD22">
        <f/>
        <v>0</v>
      </c>
      <c r="LE22">
        <f/>
        <v>0</v>
      </c>
      <c r="LF22">
        <f/>
        <v>0</v>
      </c>
      <c r="LG22">
        <f/>
        <v>0</v>
      </c>
      <c r="LH22">
        <f/>
        <v>0</v>
      </c>
      <c r="LI22">
        <f/>
        <v>0</v>
      </c>
      <c r="LJ22">
        <f/>
        <v>0</v>
      </c>
      <c r="LK22">
        <f/>
        <v>0</v>
      </c>
      <c r="LL22">
        <f/>
        <v>0</v>
      </c>
      <c r="LM22">
        <f/>
        <v>0</v>
      </c>
      <c r="LN22">
        <f/>
        <v>0</v>
      </c>
      <c r="LO22">
        <f/>
        <v>0</v>
      </c>
      <c r="LP22">
        <f/>
        <v>0</v>
      </c>
      <c r="LQ22">
        <f/>
        <v>0</v>
      </c>
      <c r="LR22">
        <f/>
        <v>0</v>
      </c>
      <c r="LS22">
        <f/>
        <v>0</v>
      </c>
      <c r="LT22">
        <f/>
        <v>0</v>
      </c>
      <c r="LU22">
        <f/>
        <v>0</v>
      </c>
      <c r="LV22">
        <f/>
        <v>0</v>
      </c>
      <c r="LW22">
        <f/>
        <v>0</v>
      </c>
      <c r="LX22">
        <f/>
        <v>0</v>
      </c>
      <c r="LY22">
        <f/>
        <v>0</v>
      </c>
      <c r="LZ22">
        <f/>
        <v>0</v>
      </c>
      <c r="MA22">
        <f/>
        <v>0</v>
      </c>
      <c r="MB22">
        <f/>
        <v>0</v>
      </c>
      <c r="MC22">
        <f/>
        <v>0</v>
      </c>
      <c r="MD22">
        <f/>
        <v>0</v>
      </c>
      <c r="ME22">
        <f/>
        <v>0</v>
      </c>
      <c r="MF22">
        <f/>
        <v>0</v>
      </c>
      <c r="MG22">
        <f/>
        <v>0</v>
      </c>
      <c r="MH22">
        <f/>
        <v>0</v>
      </c>
      <c r="MI22">
        <f/>
        <v>0</v>
      </c>
      <c r="MJ22">
        <f/>
        <v>0</v>
      </c>
      <c r="MK22">
        <f/>
        <v>0</v>
      </c>
      <c r="ML22">
        <f/>
        <v>0</v>
      </c>
      <c r="MM22">
        <f/>
        <v>0</v>
      </c>
      <c r="MN22">
        <f/>
        <v>0</v>
      </c>
      <c r="MO22">
        <f/>
        <v>0</v>
      </c>
      <c r="MP22">
        <f/>
        <v>0</v>
      </c>
      <c r="MQ22">
        <f/>
        <v>0</v>
      </c>
      <c r="MR22">
        <f/>
        <v>0</v>
      </c>
      <c r="MS22">
        <f/>
        <v>0</v>
      </c>
      <c r="MT22">
        <f/>
        <v>0</v>
      </c>
      <c r="MU22">
        <f/>
        <v>0</v>
      </c>
      <c r="MV22">
        <f/>
        <v>0</v>
      </c>
      <c r="MW22">
        <f/>
        <v>0</v>
      </c>
      <c r="MX22">
        <f/>
        <v>0</v>
      </c>
      <c r="MY22">
        <f/>
        <v>0</v>
      </c>
      <c r="MZ22">
        <f/>
        <v>0</v>
      </c>
      <c r="NA22">
        <f/>
        <v>0</v>
      </c>
      <c r="NB22">
        <f/>
        <v>0</v>
      </c>
      <c r="NC22">
        <f/>
        <v>0</v>
      </c>
    </row>
    <row r="23" spans="1:367" x14ac:dyDescent="0.25">
      <c r="A23" s="141">
        <v>46211</v>
      </c>
      <c r="B23" s="162" cm="1">
        <f t="array" ref="B23">nabla.f.TimelineOffsetλ(A23,_xlfn.ANCHORARRAY( $C$18))</f>
        <v>10</v>
      </c>
      <c r="C23" cm="1">
        <f t="array" ref="C23:NC23">N(_xlfn.ANCHORARRAY($C$18)=INDEX(_xlfn.ANCHORARRAY($C$18),B23+1))</f>
        <v>0</v>
      </c>
      <c r="D23">
        <f/>
        <v>0</v>
      </c>
      <c r="E23">
        <f/>
        <v>0</v>
      </c>
      <c r="F23">
        <f/>
        <v>0</v>
      </c>
      <c r="G23">
        <f/>
        <v>0</v>
      </c>
      <c r="H23">
        <f/>
        <v>0</v>
      </c>
      <c r="I23">
        <f/>
        <v>0</v>
      </c>
      <c r="J23">
        <f/>
        <v>0</v>
      </c>
      <c r="K23">
        <f/>
        <v>0</v>
      </c>
      <c r="L23">
        <f/>
        <v>0</v>
      </c>
      <c r="M23">
        <f/>
        <v>1</v>
      </c>
      <c r="N23">
        <f/>
        <v>0</v>
      </c>
      <c r="O23">
        <f/>
        <v>0</v>
      </c>
      <c r="P23">
        <f/>
        <v>0</v>
      </c>
      <c r="Q23">
        <f/>
        <v>0</v>
      </c>
      <c r="R23">
        <f/>
        <v>0</v>
      </c>
      <c r="S23">
        <f/>
        <v>0</v>
      </c>
      <c r="T23">
        <f/>
        <v>0</v>
      </c>
      <c r="U23">
        <f/>
        <v>0</v>
      </c>
      <c r="V23">
        <f/>
        <v>0</v>
      </c>
      <c r="W23">
        <f/>
        <v>0</v>
      </c>
      <c r="X23">
        <f/>
        <v>0</v>
      </c>
      <c r="Y23">
        <f/>
        <v>0</v>
      </c>
      <c r="Z23">
        <f/>
        <v>0</v>
      </c>
      <c r="AA23">
        <f/>
        <v>0</v>
      </c>
      <c r="AB23">
        <f/>
        <v>0</v>
      </c>
      <c r="AC23">
        <f/>
        <v>0</v>
      </c>
      <c r="AD23">
        <f/>
        <v>0</v>
      </c>
      <c r="AE23">
        <f/>
        <v>0</v>
      </c>
      <c r="AF23">
        <f/>
        <v>0</v>
      </c>
      <c r="AG23">
        <f/>
        <v>0</v>
      </c>
      <c r="AH23">
        <f/>
        <v>0</v>
      </c>
      <c r="AI23">
        <f/>
        <v>0</v>
      </c>
      <c r="AJ23">
        <f/>
        <v>0</v>
      </c>
      <c r="AK23">
        <f/>
        <v>0</v>
      </c>
      <c r="AL23">
        <f/>
        <v>0</v>
      </c>
      <c r="AM23">
        <f/>
        <v>0</v>
      </c>
      <c r="AN23">
        <f/>
        <v>0</v>
      </c>
      <c r="AO23">
        <f/>
        <v>0</v>
      </c>
      <c r="AP23">
        <f/>
        <v>0</v>
      </c>
      <c r="AQ23">
        <f/>
        <v>0</v>
      </c>
      <c r="AR23">
        <f/>
        <v>0</v>
      </c>
      <c r="AS23">
        <f/>
        <v>0</v>
      </c>
      <c r="AT23">
        <f/>
        <v>0</v>
      </c>
      <c r="AU23">
        <f/>
        <v>0</v>
      </c>
      <c r="AV23">
        <f/>
        <v>0</v>
      </c>
      <c r="AW23">
        <f/>
        <v>0</v>
      </c>
      <c r="AX23">
        <f/>
        <v>0</v>
      </c>
      <c r="AY23">
        <f/>
        <v>0</v>
      </c>
      <c r="AZ23">
        <f/>
        <v>0</v>
      </c>
      <c r="BA23">
        <f/>
        <v>0</v>
      </c>
      <c r="BB23">
        <f/>
        <v>0</v>
      </c>
      <c r="BC23">
        <f/>
        <v>0</v>
      </c>
      <c r="BD23">
        <f/>
        <v>0</v>
      </c>
      <c r="BE23">
        <f/>
        <v>0</v>
      </c>
      <c r="BF23">
        <f/>
        <v>0</v>
      </c>
      <c r="BG23">
        <f/>
        <v>0</v>
      </c>
      <c r="BH23">
        <f/>
        <v>0</v>
      </c>
      <c r="BI23">
        <f/>
        <v>0</v>
      </c>
      <c r="BJ23">
        <f/>
        <v>0</v>
      </c>
      <c r="BK23">
        <f/>
        <v>0</v>
      </c>
      <c r="BL23">
        <f/>
        <v>0</v>
      </c>
      <c r="BM23">
        <f/>
        <v>0</v>
      </c>
      <c r="BN23">
        <f/>
        <v>0</v>
      </c>
      <c r="BO23">
        <f/>
        <v>0</v>
      </c>
      <c r="BP23">
        <f/>
        <v>0</v>
      </c>
      <c r="BQ23">
        <f/>
        <v>0</v>
      </c>
      <c r="BR23">
        <f/>
        <v>0</v>
      </c>
      <c r="BS23">
        <f/>
        <v>0</v>
      </c>
      <c r="BT23">
        <f/>
        <v>0</v>
      </c>
      <c r="BU23">
        <f/>
        <v>0</v>
      </c>
      <c r="BV23">
        <f/>
        <v>0</v>
      </c>
      <c r="BW23">
        <f/>
        <v>0</v>
      </c>
      <c r="BX23">
        <f/>
        <v>0</v>
      </c>
      <c r="BY23">
        <f/>
        <v>0</v>
      </c>
      <c r="BZ23">
        <f/>
        <v>0</v>
      </c>
      <c r="CA23">
        <f/>
        <v>0</v>
      </c>
      <c r="CB23">
        <f/>
        <v>0</v>
      </c>
      <c r="CC23">
        <f/>
        <v>0</v>
      </c>
      <c r="CD23">
        <f/>
        <v>0</v>
      </c>
      <c r="CE23">
        <f/>
        <v>0</v>
      </c>
      <c r="CF23">
        <f/>
        <v>0</v>
      </c>
      <c r="CG23">
        <f/>
        <v>0</v>
      </c>
      <c r="CH23">
        <f/>
        <v>0</v>
      </c>
      <c r="CI23">
        <f/>
        <v>0</v>
      </c>
      <c r="CJ23">
        <f/>
        <v>0</v>
      </c>
      <c r="CK23">
        <f/>
        <v>0</v>
      </c>
      <c r="CL23">
        <f/>
        <v>0</v>
      </c>
      <c r="CM23">
        <f/>
        <v>0</v>
      </c>
      <c r="CN23">
        <f/>
        <v>0</v>
      </c>
      <c r="CO23">
        <f/>
        <v>0</v>
      </c>
      <c r="CP23">
        <f/>
        <v>0</v>
      </c>
      <c r="CQ23">
        <f/>
        <v>0</v>
      </c>
      <c r="CR23">
        <f/>
        <v>0</v>
      </c>
      <c r="CS23">
        <f/>
        <v>0</v>
      </c>
      <c r="CT23">
        <f/>
        <v>0</v>
      </c>
      <c r="CU23">
        <f/>
        <v>0</v>
      </c>
      <c r="CV23">
        <f/>
        <v>0</v>
      </c>
      <c r="CW23">
        <f/>
        <v>0</v>
      </c>
      <c r="CX23">
        <f/>
        <v>0</v>
      </c>
      <c r="CY23">
        <f/>
        <v>0</v>
      </c>
      <c r="CZ23">
        <f/>
        <v>0</v>
      </c>
      <c r="DA23">
        <f/>
        <v>0</v>
      </c>
      <c r="DB23">
        <f/>
        <v>0</v>
      </c>
      <c r="DC23">
        <f/>
        <v>0</v>
      </c>
      <c r="DD23">
        <f/>
        <v>0</v>
      </c>
      <c r="DE23">
        <f/>
        <v>0</v>
      </c>
      <c r="DF23">
        <f/>
        <v>0</v>
      </c>
      <c r="DG23">
        <f/>
        <v>0</v>
      </c>
      <c r="DH23">
        <f/>
        <v>0</v>
      </c>
      <c r="DI23">
        <f/>
        <v>0</v>
      </c>
      <c r="DJ23">
        <f/>
        <v>0</v>
      </c>
      <c r="DK23">
        <f/>
        <v>0</v>
      </c>
      <c r="DL23">
        <f/>
        <v>0</v>
      </c>
      <c r="DM23">
        <f/>
        <v>0</v>
      </c>
      <c r="DN23">
        <f/>
        <v>0</v>
      </c>
      <c r="DO23">
        <f/>
        <v>0</v>
      </c>
      <c r="DP23">
        <f/>
        <v>0</v>
      </c>
      <c r="DQ23">
        <f/>
        <v>0</v>
      </c>
      <c r="DR23">
        <f/>
        <v>0</v>
      </c>
      <c r="DS23">
        <f/>
        <v>0</v>
      </c>
      <c r="DT23">
        <f/>
        <v>0</v>
      </c>
      <c r="DU23">
        <f/>
        <v>0</v>
      </c>
      <c r="DV23">
        <f/>
        <v>0</v>
      </c>
      <c r="DW23">
        <f/>
        <v>0</v>
      </c>
      <c r="DX23">
        <f/>
        <v>0</v>
      </c>
      <c r="DY23">
        <f/>
        <v>0</v>
      </c>
      <c r="DZ23">
        <f/>
        <v>0</v>
      </c>
      <c r="EA23">
        <f/>
        <v>0</v>
      </c>
      <c r="EB23">
        <f/>
        <v>0</v>
      </c>
      <c r="EC23">
        <f/>
        <v>0</v>
      </c>
      <c r="ED23">
        <f/>
        <v>0</v>
      </c>
      <c r="EE23">
        <f/>
        <v>0</v>
      </c>
      <c r="EF23">
        <f/>
        <v>0</v>
      </c>
      <c r="EG23">
        <f/>
        <v>0</v>
      </c>
      <c r="EH23">
        <f/>
        <v>0</v>
      </c>
      <c r="EI23">
        <f/>
        <v>0</v>
      </c>
      <c r="EJ23">
        <f/>
        <v>0</v>
      </c>
      <c r="EK23">
        <f/>
        <v>0</v>
      </c>
      <c r="EL23">
        <f/>
        <v>0</v>
      </c>
      <c r="EM23">
        <f/>
        <v>0</v>
      </c>
      <c r="EN23">
        <f/>
        <v>0</v>
      </c>
      <c r="EO23">
        <f/>
        <v>0</v>
      </c>
      <c r="EP23">
        <f/>
        <v>0</v>
      </c>
      <c r="EQ23">
        <f/>
        <v>0</v>
      </c>
      <c r="ER23">
        <f/>
        <v>0</v>
      </c>
      <c r="ES23">
        <f/>
        <v>0</v>
      </c>
      <c r="ET23">
        <f/>
        <v>0</v>
      </c>
      <c r="EU23">
        <f/>
        <v>0</v>
      </c>
      <c r="EV23">
        <f/>
        <v>0</v>
      </c>
      <c r="EW23">
        <f/>
        <v>0</v>
      </c>
      <c r="EX23">
        <f/>
        <v>0</v>
      </c>
      <c r="EY23">
        <f/>
        <v>0</v>
      </c>
      <c r="EZ23">
        <f/>
        <v>0</v>
      </c>
      <c r="FA23">
        <f/>
        <v>0</v>
      </c>
      <c r="FB23">
        <f/>
        <v>0</v>
      </c>
      <c r="FC23">
        <f/>
        <v>0</v>
      </c>
      <c r="FD23">
        <f/>
        <v>0</v>
      </c>
      <c r="FE23">
        <f/>
        <v>0</v>
      </c>
      <c r="FF23">
        <f/>
        <v>0</v>
      </c>
      <c r="FG23">
        <f/>
        <v>0</v>
      </c>
      <c r="FH23">
        <f/>
        <v>0</v>
      </c>
      <c r="FI23">
        <f/>
        <v>0</v>
      </c>
      <c r="FJ23">
        <f/>
        <v>0</v>
      </c>
      <c r="FK23">
        <f/>
        <v>0</v>
      </c>
      <c r="FL23">
        <f/>
        <v>0</v>
      </c>
      <c r="FM23">
        <f/>
        <v>0</v>
      </c>
      <c r="FN23">
        <f/>
        <v>0</v>
      </c>
      <c r="FO23">
        <f/>
        <v>0</v>
      </c>
      <c r="FP23">
        <f/>
        <v>0</v>
      </c>
      <c r="FQ23">
        <f/>
        <v>0</v>
      </c>
      <c r="FR23">
        <f/>
        <v>0</v>
      </c>
      <c r="FS23">
        <f/>
        <v>0</v>
      </c>
      <c r="FT23">
        <f/>
        <v>0</v>
      </c>
      <c r="FU23">
        <f/>
        <v>0</v>
      </c>
      <c r="FV23">
        <f/>
        <v>0</v>
      </c>
      <c r="FW23">
        <f/>
        <v>0</v>
      </c>
      <c r="FX23">
        <f/>
        <v>0</v>
      </c>
      <c r="FY23">
        <f/>
        <v>0</v>
      </c>
      <c r="FZ23">
        <f/>
        <v>0</v>
      </c>
      <c r="GA23">
        <f/>
        <v>0</v>
      </c>
      <c r="GB23">
        <f/>
        <v>0</v>
      </c>
      <c r="GC23">
        <f/>
        <v>0</v>
      </c>
      <c r="GD23">
        <f/>
        <v>0</v>
      </c>
      <c r="GE23">
        <f/>
        <v>0</v>
      </c>
      <c r="GF23">
        <f/>
        <v>0</v>
      </c>
      <c r="GG23">
        <f/>
        <v>0</v>
      </c>
      <c r="GH23">
        <f/>
        <v>0</v>
      </c>
      <c r="GI23">
        <f/>
        <v>0</v>
      </c>
      <c r="GJ23">
        <f/>
        <v>0</v>
      </c>
      <c r="GK23">
        <f/>
        <v>0</v>
      </c>
      <c r="GL23">
        <f/>
        <v>0</v>
      </c>
      <c r="GM23">
        <f/>
        <v>0</v>
      </c>
      <c r="GN23">
        <f/>
        <v>0</v>
      </c>
      <c r="GO23">
        <f/>
        <v>0</v>
      </c>
      <c r="GP23">
        <f/>
        <v>0</v>
      </c>
      <c r="GQ23">
        <f/>
        <v>0</v>
      </c>
      <c r="GR23">
        <f/>
        <v>0</v>
      </c>
      <c r="GS23">
        <f/>
        <v>0</v>
      </c>
      <c r="GT23">
        <f/>
        <v>0</v>
      </c>
      <c r="GU23">
        <f/>
        <v>0</v>
      </c>
      <c r="GV23">
        <f/>
        <v>0</v>
      </c>
      <c r="GW23">
        <f/>
        <v>0</v>
      </c>
      <c r="GX23">
        <f/>
        <v>0</v>
      </c>
      <c r="GY23">
        <f/>
        <v>0</v>
      </c>
      <c r="GZ23">
        <f/>
        <v>0</v>
      </c>
      <c r="HA23">
        <f/>
        <v>0</v>
      </c>
      <c r="HB23">
        <f/>
        <v>0</v>
      </c>
      <c r="HC23">
        <f/>
        <v>0</v>
      </c>
      <c r="HD23">
        <f/>
        <v>0</v>
      </c>
      <c r="HE23">
        <f/>
        <v>0</v>
      </c>
      <c r="HF23">
        <f/>
        <v>0</v>
      </c>
      <c r="HG23">
        <f/>
        <v>0</v>
      </c>
      <c r="HH23">
        <f/>
        <v>0</v>
      </c>
      <c r="HI23">
        <f/>
        <v>0</v>
      </c>
      <c r="HJ23">
        <f/>
        <v>0</v>
      </c>
      <c r="HK23">
        <f/>
        <v>0</v>
      </c>
      <c r="HL23">
        <f/>
        <v>0</v>
      </c>
      <c r="HM23">
        <f/>
        <v>0</v>
      </c>
      <c r="HN23">
        <f/>
        <v>0</v>
      </c>
      <c r="HO23">
        <f/>
        <v>0</v>
      </c>
      <c r="HP23">
        <f/>
        <v>0</v>
      </c>
      <c r="HQ23">
        <f/>
        <v>0</v>
      </c>
      <c r="HR23">
        <f/>
        <v>0</v>
      </c>
      <c r="HS23">
        <f/>
        <v>0</v>
      </c>
      <c r="HT23">
        <f/>
        <v>0</v>
      </c>
      <c r="HU23">
        <f/>
        <v>0</v>
      </c>
      <c r="HV23">
        <f/>
        <v>0</v>
      </c>
      <c r="HW23">
        <f/>
        <v>0</v>
      </c>
      <c r="HX23">
        <f/>
        <v>0</v>
      </c>
      <c r="HY23">
        <f/>
        <v>0</v>
      </c>
      <c r="HZ23">
        <f/>
        <v>0</v>
      </c>
      <c r="IA23">
        <f/>
        <v>0</v>
      </c>
      <c r="IB23">
        <f/>
        <v>0</v>
      </c>
      <c r="IC23">
        <f/>
        <v>0</v>
      </c>
      <c r="ID23">
        <f/>
        <v>0</v>
      </c>
      <c r="IE23">
        <f/>
        <v>0</v>
      </c>
      <c r="IF23">
        <f/>
        <v>0</v>
      </c>
      <c r="IG23">
        <f/>
        <v>0</v>
      </c>
      <c r="IH23">
        <f/>
        <v>0</v>
      </c>
      <c r="II23">
        <f/>
        <v>0</v>
      </c>
      <c r="IJ23">
        <f/>
        <v>0</v>
      </c>
      <c r="IK23">
        <f/>
        <v>0</v>
      </c>
      <c r="IL23">
        <f/>
        <v>0</v>
      </c>
      <c r="IM23">
        <f/>
        <v>0</v>
      </c>
      <c r="IN23">
        <f/>
        <v>0</v>
      </c>
      <c r="IO23">
        <f/>
        <v>0</v>
      </c>
      <c r="IP23">
        <f/>
        <v>0</v>
      </c>
      <c r="IQ23">
        <f/>
        <v>0</v>
      </c>
      <c r="IR23">
        <f/>
        <v>0</v>
      </c>
      <c r="IS23">
        <f/>
        <v>0</v>
      </c>
      <c r="IT23">
        <f/>
        <v>0</v>
      </c>
      <c r="IU23">
        <f/>
        <v>0</v>
      </c>
      <c r="IV23">
        <f/>
        <v>0</v>
      </c>
      <c r="IW23">
        <f/>
        <v>0</v>
      </c>
      <c r="IX23">
        <f/>
        <v>0</v>
      </c>
      <c r="IY23">
        <f/>
        <v>0</v>
      </c>
      <c r="IZ23">
        <f/>
        <v>0</v>
      </c>
      <c r="JA23">
        <f/>
        <v>0</v>
      </c>
      <c r="JB23">
        <f/>
        <v>0</v>
      </c>
      <c r="JC23">
        <f/>
        <v>0</v>
      </c>
      <c r="JD23">
        <f/>
        <v>0</v>
      </c>
      <c r="JE23">
        <f/>
        <v>0</v>
      </c>
      <c r="JF23">
        <f/>
        <v>0</v>
      </c>
      <c r="JG23">
        <f/>
        <v>0</v>
      </c>
      <c r="JH23">
        <f/>
        <v>0</v>
      </c>
      <c r="JI23">
        <f/>
        <v>0</v>
      </c>
      <c r="JJ23">
        <f/>
        <v>0</v>
      </c>
      <c r="JK23">
        <f/>
        <v>0</v>
      </c>
      <c r="JL23">
        <f/>
        <v>0</v>
      </c>
      <c r="JM23">
        <f/>
        <v>0</v>
      </c>
      <c r="JN23">
        <f/>
        <v>0</v>
      </c>
      <c r="JO23">
        <f/>
        <v>0</v>
      </c>
      <c r="JP23">
        <f/>
        <v>0</v>
      </c>
      <c r="JQ23">
        <f/>
        <v>0</v>
      </c>
      <c r="JR23">
        <f/>
        <v>0</v>
      </c>
      <c r="JS23">
        <f/>
        <v>0</v>
      </c>
      <c r="JT23">
        <f/>
        <v>0</v>
      </c>
      <c r="JU23">
        <f/>
        <v>0</v>
      </c>
      <c r="JV23">
        <f/>
        <v>0</v>
      </c>
      <c r="JW23">
        <f/>
        <v>0</v>
      </c>
      <c r="JX23">
        <f/>
        <v>0</v>
      </c>
      <c r="JY23">
        <f/>
        <v>0</v>
      </c>
      <c r="JZ23">
        <f/>
        <v>0</v>
      </c>
      <c r="KA23">
        <f/>
        <v>0</v>
      </c>
      <c r="KB23">
        <f/>
        <v>0</v>
      </c>
      <c r="KC23">
        <f/>
        <v>0</v>
      </c>
      <c r="KD23">
        <f/>
        <v>0</v>
      </c>
      <c r="KE23">
        <f/>
        <v>0</v>
      </c>
      <c r="KF23">
        <f/>
        <v>0</v>
      </c>
      <c r="KG23">
        <f/>
        <v>0</v>
      </c>
      <c r="KH23">
        <f/>
        <v>0</v>
      </c>
      <c r="KI23">
        <f/>
        <v>0</v>
      </c>
      <c r="KJ23">
        <f/>
        <v>0</v>
      </c>
      <c r="KK23">
        <f/>
        <v>0</v>
      </c>
      <c r="KL23">
        <f/>
        <v>0</v>
      </c>
      <c r="KM23">
        <f/>
        <v>0</v>
      </c>
      <c r="KN23">
        <f/>
        <v>0</v>
      </c>
      <c r="KO23">
        <f/>
        <v>0</v>
      </c>
      <c r="KP23">
        <f/>
        <v>0</v>
      </c>
      <c r="KQ23">
        <f/>
        <v>0</v>
      </c>
      <c r="KR23">
        <f/>
        <v>0</v>
      </c>
      <c r="KS23">
        <f/>
        <v>0</v>
      </c>
      <c r="KT23">
        <f/>
        <v>0</v>
      </c>
      <c r="KU23">
        <f/>
        <v>0</v>
      </c>
      <c r="KV23">
        <f/>
        <v>0</v>
      </c>
      <c r="KW23">
        <f/>
        <v>0</v>
      </c>
      <c r="KX23">
        <f/>
        <v>0</v>
      </c>
      <c r="KY23">
        <f/>
        <v>0</v>
      </c>
      <c r="KZ23">
        <f/>
        <v>0</v>
      </c>
      <c r="LA23">
        <f/>
        <v>0</v>
      </c>
      <c r="LB23">
        <f/>
        <v>0</v>
      </c>
      <c r="LC23">
        <f/>
        <v>0</v>
      </c>
      <c r="LD23">
        <f/>
        <v>0</v>
      </c>
      <c r="LE23">
        <f/>
        <v>0</v>
      </c>
      <c r="LF23">
        <f/>
        <v>0</v>
      </c>
      <c r="LG23">
        <f/>
        <v>0</v>
      </c>
      <c r="LH23">
        <f/>
        <v>0</v>
      </c>
      <c r="LI23">
        <f/>
        <v>0</v>
      </c>
      <c r="LJ23">
        <f/>
        <v>0</v>
      </c>
      <c r="LK23">
        <f/>
        <v>0</v>
      </c>
      <c r="LL23">
        <f/>
        <v>0</v>
      </c>
      <c r="LM23">
        <f/>
        <v>0</v>
      </c>
      <c r="LN23">
        <f/>
        <v>0</v>
      </c>
      <c r="LO23">
        <f/>
        <v>0</v>
      </c>
      <c r="LP23">
        <f/>
        <v>0</v>
      </c>
      <c r="LQ23">
        <f/>
        <v>0</v>
      </c>
      <c r="LR23">
        <f/>
        <v>0</v>
      </c>
      <c r="LS23">
        <f/>
        <v>0</v>
      </c>
      <c r="LT23">
        <f/>
        <v>0</v>
      </c>
      <c r="LU23">
        <f/>
        <v>0</v>
      </c>
      <c r="LV23">
        <f/>
        <v>0</v>
      </c>
      <c r="LW23">
        <f/>
        <v>0</v>
      </c>
      <c r="LX23">
        <f/>
        <v>0</v>
      </c>
      <c r="LY23">
        <f/>
        <v>0</v>
      </c>
      <c r="LZ23">
        <f/>
        <v>0</v>
      </c>
      <c r="MA23">
        <f/>
        <v>0</v>
      </c>
      <c r="MB23">
        <f/>
        <v>0</v>
      </c>
      <c r="MC23">
        <f/>
        <v>0</v>
      </c>
      <c r="MD23">
        <f/>
        <v>0</v>
      </c>
      <c r="ME23">
        <f/>
        <v>0</v>
      </c>
      <c r="MF23">
        <f/>
        <v>0</v>
      </c>
      <c r="MG23">
        <f/>
        <v>0</v>
      </c>
      <c r="MH23">
        <f/>
        <v>0</v>
      </c>
      <c r="MI23">
        <f/>
        <v>0</v>
      </c>
      <c r="MJ23">
        <f/>
        <v>0</v>
      </c>
      <c r="MK23">
        <f/>
        <v>0</v>
      </c>
      <c r="ML23">
        <f/>
        <v>0</v>
      </c>
      <c r="MM23">
        <f/>
        <v>0</v>
      </c>
      <c r="MN23">
        <f/>
        <v>0</v>
      </c>
      <c r="MO23">
        <f/>
        <v>0</v>
      </c>
      <c r="MP23">
        <f/>
        <v>0</v>
      </c>
      <c r="MQ23">
        <f/>
        <v>0</v>
      </c>
      <c r="MR23">
        <f/>
        <v>0</v>
      </c>
      <c r="MS23">
        <f/>
        <v>0</v>
      </c>
      <c r="MT23">
        <f/>
        <v>0</v>
      </c>
      <c r="MU23">
        <f/>
        <v>0</v>
      </c>
      <c r="MV23">
        <f/>
        <v>0</v>
      </c>
      <c r="MW23">
        <f/>
        <v>0</v>
      </c>
      <c r="MX23">
        <f/>
        <v>0</v>
      </c>
      <c r="MY23">
        <f/>
        <v>0</v>
      </c>
      <c r="MZ23">
        <f/>
        <v>0</v>
      </c>
      <c r="NA23">
        <f/>
        <v>0</v>
      </c>
      <c r="NB23">
        <f/>
        <v>0</v>
      </c>
      <c r="NC23">
        <f/>
        <v>0</v>
      </c>
    </row>
    <row r="24" spans="1:367" x14ac:dyDescent="0.25">
      <c r="A24" s="141">
        <v>46258</v>
      </c>
      <c r="B24" s="162" cm="1">
        <f t="array" ref="B24">nabla.f.TimelineOffsetλ(A24,_xlfn.ANCHORARRAY( $C$18))</f>
        <v>5</v>
      </c>
      <c r="C24" cm="1">
        <f t="array" ref="C24:NC24">N(_xlfn.ANCHORARRAY($C$18)=INDEX(_xlfn.ANCHORARRAY($C$18),B24+1))</f>
        <v>0</v>
      </c>
      <c r="D24">
        <f/>
        <v>0</v>
      </c>
      <c r="E24">
        <f/>
        <v>0</v>
      </c>
      <c r="F24">
        <f/>
        <v>0</v>
      </c>
      <c r="G24">
        <f/>
        <v>0</v>
      </c>
      <c r="H24">
        <f/>
        <v>1</v>
      </c>
      <c r="I24">
        <f/>
        <v>0</v>
      </c>
      <c r="J24">
        <f/>
        <v>0</v>
      </c>
      <c r="K24">
        <f/>
        <v>0</v>
      </c>
      <c r="L24">
        <f/>
        <v>0</v>
      </c>
      <c r="M24">
        <f/>
        <v>0</v>
      </c>
      <c r="N24">
        <f/>
        <v>0</v>
      </c>
      <c r="O24">
        <f/>
        <v>0</v>
      </c>
      <c r="P24">
        <f/>
        <v>0</v>
      </c>
      <c r="Q24">
        <f/>
        <v>0</v>
      </c>
      <c r="R24">
        <f/>
        <v>0</v>
      </c>
      <c r="S24">
        <f/>
        <v>0</v>
      </c>
      <c r="T24">
        <f/>
        <v>0</v>
      </c>
      <c r="U24">
        <f/>
        <v>0</v>
      </c>
      <c r="V24">
        <f/>
        <v>0</v>
      </c>
      <c r="W24">
        <f/>
        <v>0</v>
      </c>
      <c r="X24">
        <f/>
        <v>0</v>
      </c>
      <c r="Y24">
        <f/>
        <v>0</v>
      </c>
      <c r="Z24">
        <f/>
        <v>0</v>
      </c>
      <c r="AA24">
        <f/>
        <v>0</v>
      </c>
      <c r="AB24">
        <f/>
        <v>0</v>
      </c>
      <c r="AC24">
        <f/>
        <v>0</v>
      </c>
      <c r="AD24">
        <f/>
        <v>0</v>
      </c>
      <c r="AE24">
        <f/>
        <v>0</v>
      </c>
      <c r="AF24">
        <f/>
        <v>0</v>
      </c>
      <c r="AG24">
        <f/>
        <v>0</v>
      </c>
      <c r="AH24">
        <f/>
        <v>0</v>
      </c>
      <c r="AI24">
        <f/>
        <v>0</v>
      </c>
      <c r="AJ24">
        <f/>
        <v>0</v>
      </c>
      <c r="AK24">
        <f/>
        <v>0</v>
      </c>
      <c r="AL24">
        <f/>
        <v>0</v>
      </c>
      <c r="AM24">
        <f/>
        <v>0</v>
      </c>
      <c r="AN24">
        <f/>
        <v>0</v>
      </c>
      <c r="AO24">
        <f/>
        <v>0</v>
      </c>
      <c r="AP24">
        <f/>
        <v>0</v>
      </c>
      <c r="AQ24">
        <f/>
        <v>0</v>
      </c>
      <c r="AR24">
        <f/>
        <v>0</v>
      </c>
      <c r="AS24">
        <f/>
        <v>0</v>
      </c>
      <c r="AT24">
        <f/>
        <v>0</v>
      </c>
      <c r="AU24">
        <f/>
        <v>0</v>
      </c>
      <c r="AV24">
        <f/>
        <v>0</v>
      </c>
      <c r="AW24">
        <f/>
        <v>0</v>
      </c>
      <c r="AX24">
        <f/>
        <v>0</v>
      </c>
      <c r="AY24">
        <f/>
        <v>0</v>
      </c>
      <c r="AZ24">
        <f/>
        <v>0</v>
      </c>
      <c r="BA24">
        <f/>
        <v>0</v>
      </c>
      <c r="BB24">
        <f/>
        <v>0</v>
      </c>
      <c r="BC24">
        <f/>
        <v>0</v>
      </c>
      <c r="BD24">
        <f/>
        <v>0</v>
      </c>
      <c r="BE24">
        <f/>
        <v>0</v>
      </c>
      <c r="BF24">
        <f/>
        <v>0</v>
      </c>
      <c r="BG24">
        <f/>
        <v>0</v>
      </c>
      <c r="BH24">
        <f/>
        <v>0</v>
      </c>
      <c r="BI24">
        <f/>
        <v>0</v>
      </c>
      <c r="BJ24">
        <f/>
        <v>0</v>
      </c>
      <c r="BK24">
        <f/>
        <v>0</v>
      </c>
      <c r="BL24">
        <f/>
        <v>0</v>
      </c>
      <c r="BM24">
        <f/>
        <v>0</v>
      </c>
      <c r="BN24">
        <f/>
        <v>0</v>
      </c>
      <c r="BO24">
        <f/>
        <v>0</v>
      </c>
      <c r="BP24">
        <f/>
        <v>0</v>
      </c>
      <c r="BQ24">
        <f/>
        <v>0</v>
      </c>
      <c r="BR24">
        <f/>
        <v>0</v>
      </c>
      <c r="BS24">
        <f/>
        <v>0</v>
      </c>
      <c r="BT24">
        <f/>
        <v>0</v>
      </c>
      <c r="BU24">
        <f/>
        <v>0</v>
      </c>
      <c r="BV24">
        <f/>
        <v>0</v>
      </c>
      <c r="BW24">
        <f/>
        <v>0</v>
      </c>
      <c r="BX24">
        <f/>
        <v>0</v>
      </c>
      <c r="BY24">
        <f/>
        <v>0</v>
      </c>
      <c r="BZ24">
        <f/>
        <v>0</v>
      </c>
      <c r="CA24">
        <f/>
        <v>0</v>
      </c>
      <c r="CB24">
        <f/>
        <v>0</v>
      </c>
      <c r="CC24">
        <f/>
        <v>0</v>
      </c>
      <c r="CD24">
        <f/>
        <v>0</v>
      </c>
      <c r="CE24">
        <f/>
        <v>0</v>
      </c>
      <c r="CF24">
        <f/>
        <v>0</v>
      </c>
      <c r="CG24">
        <f/>
        <v>0</v>
      </c>
      <c r="CH24">
        <f/>
        <v>0</v>
      </c>
      <c r="CI24">
        <f/>
        <v>0</v>
      </c>
      <c r="CJ24">
        <f/>
        <v>0</v>
      </c>
      <c r="CK24">
        <f/>
        <v>0</v>
      </c>
      <c r="CL24">
        <f/>
        <v>0</v>
      </c>
      <c r="CM24">
        <f/>
        <v>0</v>
      </c>
      <c r="CN24">
        <f/>
        <v>0</v>
      </c>
      <c r="CO24">
        <f/>
        <v>0</v>
      </c>
      <c r="CP24">
        <f/>
        <v>0</v>
      </c>
      <c r="CQ24">
        <f/>
        <v>0</v>
      </c>
      <c r="CR24">
        <f/>
        <v>0</v>
      </c>
      <c r="CS24">
        <f/>
        <v>0</v>
      </c>
      <c r="CT24">
        <f/>
        <v>0</v>
      </c>
      <c r="CU24">
        <f/>
        <v>0</v>
      </c>
      <c r="CV24">
        <f/>
        <v>0</v>
      </c>
      <c r="CW24">
        <f/>
        <v>0</v>
      </c>
      <c r="CX24">
        <f/>
        <v>0</v>
      </c>
      <c r="CY24">
        <f/>
        <v>0</v>
      </c>
      <c r="CZ24">
        <f/>
        <v>0</v>
      </c>
      <c r="DA24">
        <f/>
        <v>0</v>
      </c>
      <c r="DB24">
        <f/>
        <v>0</v>
      </c>
      <c r="DC24">
        <f/>
        <v>0</v>
      </c>
      <c r="DD24">
        <f/>
        <v>0</v>
      </c>
      <c r="DE24">
        <f/>
        <v>0</v>
      </c>
      <c r="DF24">
        <f/>
        <v>0</v>
      </c>
      <c r="DG24">
        <f/>
        <v>0</v>
      </c>
      <c r="DH24">
        <f/>
        <v>0</v>
      </c>
      <c r="DI24">
        <f/>
        <v>0</v>
      </c>
      <c r="DJ24">
        <f/>
        <v>0</v>
      </c>
      <c r="DK24">
        <f/>
        <v>0</v>
      </c>
      <c r="DL24">
        <f/>
        <v>0</v>
      </c>
      <c r="DM24">
        <f/>
        <v>0</v>
      </c>
      <c r="DN24">
        <f/>
        <v>0</v>
      </c>
      <c r="DO24">
        <f/>
        <v>0</v>
      </c>
      <c r="DP24">
        <f/>
        <v>0</v>
      </c>
      <c r="DQ24">
        <f/>
        <v>0</v>
      </c>
      <c r="DR24">
        <f/>
        <v>0</v>
      </c>
      <c r="DS24">
        <f/>
        <v>0</v>
      </c>
      <c r="DT24">
        <f/>
        <v>0</v>
      </c>
      <c r="DU24">
        <f/>
        <v>0</v>
      </c>
      <c r="DV24">
        <f/>
        <v>0</v>
      </c>
      <c r="DW24">
        <f/>
        <v>0</v>
      </c>
      <c r="DX24">
        <f/>
        <v>0</v>
      </c>
      <c r="DY24">
        <f/>
        <v>0</v>
      </c>
      <c r="DZ24">
        <f/>
        <v>0</v>
      </c>
      <c r="EA24">
        <f/>
        <v>0</v>
      </c>
      <c r="EB24">
        <f/>
        <v>0</v>
      </c>
      <c r="EC24">
        <f/>
        <v>0</v>
      </c>
      <c r="ED24">
        <f/>
        <v>0</v>
      </c>
      <c r="EE24">
        <f/>
        <v>0</v>
      </c>
      <c r="EF24">
        <f/>
        <v>0</v>
      </c>
      <c r="EG24">
        <f/>
        <v>0</v>
      </c>
      <c r="EH24">
        <f/>
        <v>0</v>
      </c>
      <c r="EI24">
        <f/>
        <v>0</v>
      </c>
      <c r="EJ24">
        <f/>
        <v>0</v>
      </c>
      <c r="EK24">
        <f/>
        <v>0</v>
      </c>
      <c r="EL24">
        <f/>
        <v>0</v>
      </c>
      <c r="EM24">
        <f/>
        <v>0</v>
      </c>
      <c r="EN24">
        <f/>
        <v>0</v>
      </c>
      <c r="EO24">
        <f/>
        <v>0</v>
      </c>
      <c r="EP24">
        <f/>
        <v>0</v>
      </c>
      <c r="EQ24">
        <f/>
        <v>0</v>
      </c>
      <c r="ER24">
        <f/>
        <v>0</v>
      </c>
      <c r="ES24">
        <f/>
        <v>0</v>
      </c>
      <c r="ET24">
        <f/>
        <v>0</v>
      </c>
      <c r="EU24">
        <f/>
        <v>0</v>
      </c>
      <c r="EV24">
        <f/>
        <v>0</v>
      </c>
      <c r="EW24">
        <f/>
        <v>0</v>
      </c>
      <c r="EX24">
        <f/>
        <v>0</v>
      </c>
      <c r="EY24">
        <f/>
        <v>0</v>
      </c>
      <c r="EZ24">
        <f/>
        <v>0</v>
      </c>
      <c r="FA24">
        <f/>
        <v>0</v>
      </c>
      <c r="FB24">
        <f/>
        <v>0</v>
      </c>
      <c r="FC24">
        <f/>
        <v>0</v>
      </c>
      <c r="FD24">
        <f/>
        <v>0</v>
      </c>
      <c r="FE24">
        <f/>
        <v>0</v>
      </c>
      <c r="FF24">
        <f/>
        <v>0</v>
      </c>
      <c r="FG24">
        <f/>
        <v>0</v>
      </c>
      <c r="FH24">
        <f/>
        <v>0</v>
      </c>
      <c r="FI24">
        <f/>
        <v>0</v>
      </c>
      <c r="FJ24">
        <f/>
        <v>0</v>
      </c>
      <c r="FK24">
        <f/>
        <v>0</v>
      </c>
      <c r="FL24">
        <f/>
        <v>0</v>
      </c>
      <c r="FM24">
        <f/>
        <v>0</v>
      </c>
      <c r="FN24">
        <f/>
        <v>0</v>
      </c>
      <c r="FO24">
        <f/>
        <v>0</v>
      </c>
      <c r="FP24">
        <f/>
        <v>0</v>
      </c>
      <c r="FQ24">
        <f/>
        <v>0</v>
      </c>
      <c r="FR24">
        <f/>
        <v>0</v>
      </c>
      <c r="FS24">
        <f/>
        <v>0</v>
      </c>
      <c r="FT24">
        <f/>
        <v>0</v>
      </c>
      <c r="FU24">
        <f/>
        <v>0</v>
      </c>
      <c r="FV24">
        <f/>
        <v>0</v>
      </c>
      <c r="FW24">
        <f/>
        <v>0</v>
      </c>
      <c r="FX24">
        <f/>
        <v>0</v>
      </c>
      <c r="FY24">
        <f/>
        <v>0</v>
      </c>
      <c r="FZ24">
        <f/>
        <v>0</v>
      </c>
      <c r="GA24">
        <f/>
        <v>0</v>
      </c>
      <c r="GB24">
        <f/>
        <v>0</v>
      </c>
      <c r="GC24">
        <f/>
        <v>0</v>
      </c>
      <c r="GD24">
        <f/>
        <v>0</v>
      </c>
      <c r="GE24">
        <f/>
        <v>0</v>
      </c>
      <c r="GF24">
        <f/>
        <v>0</v>
      </c>
      <c r="GG24">
        <f/>
        <v>0</v>
      </c>
      <c r="GH24">
        <f/>
        <v>0</v>
      </c>
      <c r="GI24">
        <f/>
        <v>0</v>
      </c>
      <c r="GJ24">
        <f/>
        <v>0</v>
      </c>
      <c r="GK24">
        <f/>
        <v>0</v>
      </c>
      <c r="GL24">
        <f/>
        <v>0</v>
      </c>
      <c r="GM24">
        <f/>
        <v>0</v>
      </c>
      <c r="GN24">
        <f/>
        <v>0</v>
      </c>
      <c r="GO24">
        <f/>
        <v>0</v>
      </c>
      <c r="GP24">
        <f/>
        <v>0</v>
      </c>
      <c r="GQ24">
        <f/>
        <v>0</v>
      </c>
      <c r="GR24">
        <f/>
        <v>0</v>
      </c>
      <c r="GS24">
        <f/>
        <v>0</v>
      </c>
      <c r="GT24">
        <f/>
        <v>0</v>
      </c>
      <c r="GU24">
        <f/>
        <v>0</v>
      </c>
      <c r="GV24">
        <f/>
        <v>0</v>
      </c>
      <c r="GW24">
        <f/>
        <v>0</v>
      </c>
      <c r="GX24">
        <f/>
        <v>0</v>
      </c>
      <c r="GY24">
        <f/>
        <v>0</v>
      </c>
      <c r="GZ24">
        <f/>
        <v>0</v>
      </c>
      <c r="HA24">
        <f/>
        <v>0</v>
      </c>
      <c r="HB24">
        <f/>
        <v>0</v>
      </c>
      <c r="HC24">
        <f/>
        <v>0</v>
      </c>
      <c r="HD24">
        <f/>
        <v>0</v>
      </c>
      <c r="HE24">
        <f/>
        <v>0</v>
      </c>
      <c r="HF24">
        <f/>
        <v>0</v>
      </c>
      <c r="HG24">
        <f/>
        <v>0</v>
      </c>
      <c r="HH24">
        <f/>
        <v>0</v>
      </c>
      <c r="HI24">
        <f/>
        <v>0</v>
      </c>
      <c r="HJ24">
        <f/>
        <v>0</v>
      </c>
      <c r="HK24">
        <f/>
        <v>0</v>
      </c>
      <c r="HL24">
        <f/>
        <v>0</v>
      </c>
      <c r="HM24">
        <f/>
        <v>0</v>
      </c>
      <c r="HN24">
        <f/>
        <v>0</v>
      </c>
      <c r="HO24">
        <f/>
        <v>0</v>
      </c>
      <c r="HP24">
        <f/>
        <v>0</v>
      </c>
      <c r="HQ24">
        <f/>
        <v>0</v>
      </c>
      <c r="HR24">
        <f/>
        <v>0</v>
      </c>
      <c r="HS24">
        <f/>
        <v>0</v>
      </c>
      <c r="HT24">
        <f/>
        <v>0</v>
      </c>
      <c r="HU24">
        <f/>
        <v>0</v>
      </c>
      <c r="HV24">
        <f/>
        <v>0</v>
      </c>
      <c r="HW24">
        <f/>
        <v>0</v>
      </c>
      <c r="HX24">
        <f/>
        <v>0</v>
      </c>
      <c r="HY24">
        <f/>
        <v>0</v>
      </c>
      <c r="HZ24">
        <f/>
        <v>0</v>
      </c>
      <c r="IA24">
        <f/>
        <v>0</v>
      </c>
      <c r="IB24">
        <f/>
        <v>0</v>
      </c>
      <c r="IC24">
        <f/>
        <v>0</v>
      </c>
      <c r="ID24">
        <f/>
        <v>0</v>
      </c>
      <c r="IE24">
        <f/>
        <v>0</v>
      </c>
      <c r="IF24">
        <f/>
        <v>0</v>
      </c>
      <c r="IG24">
        <f/>
        <v>0</v>
      </c>
      <c r="IH24">
        <f/>
        <v>0</v>
      </c>
      <c r="II24">
        <f/>
        <v>0</v>
      </c>
      <c r="IJ24">
        <f/>
        <v>0</v>
      </c>
      <c r="IK24">
        <f/>
        <v>0</v>
      </c>
      <c r="IL24">
        <f/>
        <v>0</v>
      </c>
      <c r="IM24">
        <f/>
        <v>0</v>
      </c>
      <c r="IN24">
        <f/>
        <v>0</v>
      </c>
      <c r="IO24">
        <f/>
        <v>0</v>
      </c>
      <c r="IP24">
        <f/>
        <v>0</v>
      </c>
      <c r="IQ24">
        <f/>
        <v>0</v>
      </c>
      <c r="IR24">
        <f/>
        <v>0</v>
      </c>
      <c r="IS24">
        <f/>
        <v>0</v>
      </c>
      <c r="IT24">
        <f/>
        <v>0</v>
      </c>
      <c r="IU24">
        <f/>
        <v>0</v>
      </c>
      <c r="IV24">
        <f/>
        <v>0</v>
      </c>
      <c r="IW24">
        <f/>
        <v>0</v>
      </c>
      <c r="IX24">
        <f/>
        <v>0</v>
      </c>
      <c r="IY24">
        <f/>
        <v>0</v>
      </c>
      <c r="IZ24">
        <f/>
        <v>0</v>
      </c>
      <c r="JA24">
        <f/>
        <v>0</v>
      </c>
      <c r="JB24">
        <f/>
        <v>0</v>
      </c>
      <c r="JC24">
        <f/>
        <v>0</v>
      </c>
      <c r="JD24">
        <f/>
        <v>0</v>
      </c>
      <c r="JE24">
        <f/>
        <v>0</v>
      </c>
      <c r="JF24">
        <f/>
        <v>0</v>
      </c>
      <c r="JG24">
        <f/>
        <v>0</v>
      </c>
      <c r="JH24">
        <f/>
        <v>0</v>
      </c>
      <c r="JI24">
        <f/>
        <v>0</v>
      </c>
      <c r="JJ24">
        <f/>
        <v>0</v>
      </c>
      <c r="JK24">
        <f/>
        <v>0</v>
      </c>
      <c r="JL24">
        <f/>
        <v>0</v>
      </c>
      <c r="JM24">
        <f/>
        <v>0</v>
      </c>
      <c r="JN24">
        <f/>
        <v>0</v>
      </c>
      <c r="JO24">
        <f/>
        <v>0</v>
      </c>
      <c r="JP24">
        <f/>
        <v>0</v>
      </c>
      <c r="JQ24">
        <f/>
        <v>0</v>
      </c>
      <c r="JR24">
        <f/>
        <v>0</v>
      </c>
      <c r="JS24">
        <f/>
        <v>0</v>
      </c>
      <c r="JT24">
        <f/>
        <v>0</v>
      </c>
      <c r="JU24">
        <f/>
        <v>0</v>
      </c>
      <c r="JV24">
        <f/>
        <v>0</v>
      </c>
      <c r="JW24">
        <f/>
        <v>0</v>
      </c>
      <c r="JX24">
        <f/>
        <v>0</v>
      </c>
      <c r="JY24">
        <f/>
        <v>0</v>
      </c>
      <c r="JZ24">
        <f/>
        <v>0</v>
      </c>
      <c r="KA24">
        <f/>
        <v>0</v>
      </c>
      <c r="KB24">
        <f/>
        <v>0</v>
      </c>
      <c r="KC24">
        <f/>
        <v>0</v>
      </c>
      <c r="KD24">
        <f/>
        <v>0</v>
      </c>
      <c r="KE24">
        <f/>
        <v>0</v>
      </c>
      <c r="KF24">
        <f/>
        <v>0</v>
      </c>
      <c r="KG24">
        <f/>
        <v>0</v>
      </c>
      <c r="KH24">
        <f/>
        <v>0</v>
      </c>
      <c r="KI24">
        <f/>
        <v>0</v>
      </c>
      <c r="KJ24">
        <f/>
        <v>0</v>
      </c>
      <c r="KK24">
        <f/>
        <v>0</v>
      </c>
      <c r="KL24">
        <f/>
        <v>0</v>
      </c>
      <c r="KM24">
        <f/>
        <v>0</v>
      </c>
      <c r="KN24">
        <f/>
        <v>0</v>
      </c>
      <c r="KO24">
        <f/>
        <v>0</v>
      </c>
      <c r="KP24">
        <f/>
        <v>0</v>
      </c>
      <c r="KQ24">
        <f/>
        <v>0</v>
      </c>
      <c r="KR24">
        <f/>
        <v>0</v>
      </c>
      <c r="KS24">
        <f/>
        <v>0</v>
      </c>
      <c r="KT24">
        <f/>
        <v>0</v>
      </c>
      <c r="KU24">
        <f/>
        <v>0</v>
      </c>
      <c r="KV24">
        <f/>
        <v>0</v>
      </c>
      <c r="KW24">
        <f/>
        <v>0</v>
      </c>
      <c r="KX24">
        <f/>
        <v>0</v>
      </c>
      <c r="KY24">
        <f/>
        <v>0</v>
      </c>
      <c r="KZ24">
        <f/>
        <v>0</v>
      </c>
      <c r="LA24">
        <f/>
        <v>0</v>
      </c>
      <c r="LB24">
        <f/>
        <v>0</v>
      </c>
      <c r="LC24">
        <f/>
        <v>0</v>
      </c>
      <c r="LD24">
        <f/>
        <v>0</v>
      </c>
      <c r="LE24">
        <f/>
        <v>0</v>
      </c>
      <c r="LF24">
        <f/>
        <v>0</v>
      </c>
      <c r="LG24">
        <f/>
        <v>0</v>
      </c>
      <c r="LH24">
        <f/>
        <v>0</v>
      </c>
      <c r="LI24">
        <f/>
        <v>0</v>
      </c>
      <c r="LJ24">
        <f/>
        <v>0</v>
      </c>
      <c r="LK24">
        <f/>
        <v>0</v>
      </c>
      <c r="LL24">
        <f/>
        <v>0</v>
      </c>
      <c r="LM24">
        <f/>
        <v>0</v>
      </c>
      <c r="LN24">
        <f/>
        <v>0</v>
      </c>
      <c r="LO24">
        <f/>
        <v>0</v>
      </c>
      <c r="LP24">
        <f/>
        <v>0</v>
      </c>
      <c r="LQ24">
        <f/>
        <v>0</v>
      </c>
      <c r="LR24">
        <f/>
        <v>0</v>
      </c>
      <c r="LS24">
        <f/>
        <v>0</v>
      </c>
      <c r="LT24">
        <f/>
        <v>0</v>
      </c>
      <c r="LU24">
        <f/>
        <v>0</v>
      </c>
      <c r="LV24">
        <f/>
        <v>0</v>
      </c>
      <c r="LW24">
        <f/>
        <v>0</v>
      </c>
      <c r="LX24">
        <f/>
        <v>0</v>
      </c>
      <c r="LY24">
        <f/>
        <v>0</v>
      </c>
      <c r="LZ24">
        <f/>
        <v>0</v>
      </c>
      <c r="MA24">
        <f/>
        <v>0</v>
      </c>
      <c r="MB24">
        <f/>
        <v>0</v>
      </c>
      <c r="MC24">
        <f/>
        <v>0</v>
      </c>
      <c r="MD24">
        <f/>
        <v>0</v>
      </c>
      <c r="ME24">
        <f/>
        <v>0</v>
      </c>
      <c r="MF24">
        <f/>
        <v>0</v>
      </c>
      <c r="MG24">
        <f/>
        <v>0</v>
      </c>
      <c r="MH24">
        <f/>
        <v>0</v>
      </c>
      <c r="MI24">
        <f/>
        <v>0</v>
      </c>
      <c r="MJ24">
        <f/>
        <v>0</v>
      </c>
      <c r="MK24">
        <f/>
        <v>0</v>
      </c>
      <c r="ML24">
        <f/>
        <v>0</v>
      </c>
      <c r="MM24">
        <f/>
        <v>0</v>
      </c>
      <c r="MN24">
        <f/>
        <v>0</v>
      </c>
      <c r="MO24">
        <f/>
        <v>0</v>
      </c>
      <c r="MP24">
        <f/>
        <v>0</v>
      </c>
      <c r="MQ24">
        <f/>
        <v>0</v>
      </c>
      <c r="MR24">
        <f/>
        <v>0</v>
      </c>
      <c r="MS24">
        <f/>
        <v>0</v>
      </c>
      <c r="MT24">
        <f/>
        <v>0</v>
      </c>
      <c r="MU24">
        <f/>
        <v>0</v>
      </c>
      <c r="MV24">
        <f/>
        <v>0</v>
      </c>
      <c r="MW24">
        <f/>
        <v>0</v>
      </c>
      <c r="MX24">
        <f/>
        <v>0</v>
      </c>
      <c r="MY24">
        <f/>
        <v>0</v>
      </c>
      <c r="MZ24">
        <f/>
        <v>0</v>
      </c>
      <c r="NA24">
        <f/>
        <v>0</v>
      </c>
      <c r="NB24">
        <f/>
        <v>0</v>
      </c>
      <c r="NC24">
        <f/>
        <v>0</v>
      </c>
    </row>
    <row r="25" spans="1:367" x14ac:dyDescent="0.25">
      <c r="A25" s="141">
        <v>46305</v>
      </c>
      <c r="B25" s="162" cm="1">
        <f t="array" ref="B25">nabla.f.TimelineOffsetλ(A25,_xlfn.ANCHORARRAY( $C$18))</f>
        <v>4</v>
      </c>
      <c r="C25" cm="1">
        <f t="array" ref="C25:NC25">N(_xlfn.ANCHORARRAY($C$18)=INDEX(_xlfn.ANCHORARRAY($C$18),B25+1))</f>
        <v>0</v>
      </c>
      <c r="D25">
        <f/>
        <v>0</v>
      </c>
      <c r="E25">
        <f/>
        <v>0</v>
      </c>
      <c r="F25">
        <f/>
        <v>0</v>
      </c>
      <c r="G25">
        <f/>
        <v>1</v>
      </c>
      <c r="H25">
        <f/>
        <v>0</v>
      </c>
      <c r="I25">
        <f/>
        <v>0</v>
      </c>
      <c r="J25">
        <f/>
        <v>0</v>
      </c>
      <c r="K25">
        <f/>
        <v>0</v>
      </c>
      <c r="L25">
        <f/>
        <v>0</v>
      </c>
      <c r="M25">
        <f/>
        <v>0</v>
      </c>
      <c r="N25">
        <f/>
        <v>0</v>
      </c>
      <c r="O25">
        <f/>
        <v>0</v>
      </c>
      <c r="P25">
        <f/>
        <v>0</v>
      </c>
      <c r="Q25">
        <f/>
        <v>0</v>
      </c>
      <c r="R25">
        <f/>
        <v>0</v>
      </c>
      <c r="S25">
        <f/>
        <v>0</v>
      </c>
      <c r="T25">
        <f/>
        <v>0</v>
      </c>
      <c r="U25">
        <f/>
        <v>0</v>
      </c>
      <c r="V25">
        <f/>
        <v>0</v>
      </c>
      <c r="W25">
        <f/>
        <v>0</v>
      </c>
      <c r="X25">
        <f/>
        <v>0</v>
      </c>
      <c r="Y25">
        <f/>
        <v>0</v>
      </c>
      <c r="Z25">
        <f/>
        <v>0</v>
      </c>
      <c r="AA25">
        <f/>
        <v>0</v>
      </c>
      <c r="AB25">
        <f/>
        <v>0</v>
      </c>
      <c r="AC25">
        <f/>
        <v>0</v>
      </c>
      <c r="AD25">
        <f/>
        <v>0</v>
      </c>
      <c r="AE25">
        <f/>
        <v>0</v>
      </c>
      <c r="AF25">
        <f/>
        <v>0</v>
      </c>
      <c r="AG25">
        <f/>
        <v>0</v>
      </c>
      <c r="AH25">
        <f/>
        <v>0</v>
      </c>
      <c r="AI25">
        <f/>
        <v>0</v>
      </c>
      <c r="AJ25">
        <f/>
        <v>0</v>
      </c>
      <c r="AK25">
        <f/>
        <v>0</v>
      </c>
      <c r="AL25">
        <f/>
        <v>0</v>
      </c>
      <c r="AM25">
        <f/>
        <v>0</v>
      </c>
      <c r="AN25">
        <f/>
        <v>0</v>
      </c>
      <c r="AO25">
        <f/>
        <v>0</v>
      </c>
      <c r="AP25">
        <f/>
        <v>0</v>
      </c>
      <c r="AQ25">
        <f/>
        <v>0</v>
      </c>
      <c r="AR25">
        <f/>
        <v>0</v>
      </c>
      <c r="AS25">
        <f/>
        <v>0</v>
      </c>
      <c r="AT25">
        <f/>
        <v>0</v>
      </c>
      <c r="AU25">
        <f/>
        <v>0</v>
      </c>
      <c r="AV25">
        <f/>
        <v>0</v>
      </c>
      <c r="AW25">
        <f/>
        <v>0</v>
      </c>
      <c r="AX25">
        <f/>
        <v>0</v>
      </c>
      <c r="AY25">
        <f/>
        <v>0</v>
      </c>
      <c r="AZ25">
        <f/>
        <v>0</v>
      </c>
      <c r="BA25">
        <f/>
        <v>0</v>
      </c>
      <c r="BB25">
        <f/>
        <v>0</v>
      </c>
      <c r="BC25">
        <f/>
        <v>0</v>
      </c>
      <c r="BD25">
        <f/>
        <v>0</v>
      </c>
      <c r="BE25">
        <f/>
        <v>0</v>
      </c>
      <c r="BF25">
        <f/>
        <v>0</v>
      </c>
      <c r="BG25">
        <f/>
        <v>0</v>
      </c>
      <c r="BH25">
        <f/>
        <v>0</v>
      </c>
      <c r="BI25">
        <f/>
        <v>0</v>
      </c>
      <c r="BJ25">
        <f/>
        <v>0</v>
      </c>
      <c r="BK25">
        <f/>
        <v>0</v>
      </c>
      <c r="BL25">
        <f/>
        <v>0</v>
      </c>
      <c r="BM25">
        <f/>
        <v>0</v>
      </c>
      <c r="BN25">
        <f/>
        <v>0</v>
      </c>
      <c r="BO25">
        <f/>
        <v>0</v>
      </c>
      <c r="BP25">
        <f/>
        <v>0</v>
      </c>
      <c r="BQ25">
        <f/>
        <v>0</v>
      </c>
      <c r="BR25">
        <f/>
        <v>0</v>
      </c>
      <c r="BS25">
        <f/>
        <v>0</v>
      </c>
      <c r="BT25">
        <f/>
        <v>0</v>
      </c>
      <c r="BU25">
        <f/>
        <v>0</v>
      </c>
      <c r="BV25">
        <f/>
        <v>0</v>
      </c>
      <c r="BW25">
        <f/>
        <v>0</v>
      </c>
      <c r="BX25">
        <f/>
        <v>0</v>
      </c>
      <c r="BY25">
        <f/>
        <v>0</v>
      </c>
      <c r="BZ25">
        <f/>
        <v>0</v>
      </c>
      <c r="CA25">
        <f/>
        <v>0</v>
      </c>
      <c r="CB25">
        <f/>
        <v>0</v>
      </c>
      <c r="CC25">
        <f/>
        <v>0</v>
      </c>
      <c r="CD25">
        <f/>
        <v>0</v>
      </c>
      <c r="CE25">
        <f/>
        <v>0</v>
      </c>
      <c r="CF25">
        <f/>
        <v>0</v>
      </c>
      <c r="CG25">
        <f/>
        <v>0</v>
      </c>
      <c r="CH25">
        <f/>
        <v>0</v>
      </c>
      <c r="CI25">
        <f/>
        <v>0</v>
      </c>
      <c r="CJ25">
        <f/>
        <v>0</v>
      </c>
      <c r="CK25">
        <f/>
        <v>0</v>
      </c>
      <c r="CL25">
        <f/>
        <v>0</v>
      </c>
      <c r="CM25">
        <f/>
        <v>0</v>
      </c>
      <c r="CN25">
        <f/>
        <v>0</v>
      </c>
      <c r="CO25">
        <f/>
        <v>0</v>
      </c>
      <c r="CP25">
        <f/>
        <v>0</v>
      </c>
      <c r="CQ25">
        <f/>
        <v>0</v>
      </c>
      <c r="CR25">
        <f/>
        <v>0</v>
      </c>
      <c r="CS25">
        <f/>
        <v>0</v>
      </c>
      <c r="CT25">
        <f/>
        <v>0</v>
      </c>
      <c r="CU25">
        <f/>
        <v>0</v>
      </c>
      <c r="CV25">
        <f/>
        <v>0</v>
      </c>
      <c r="CW25">
        <f/>
        <v>0</v>
      </c>
      <c r="CX25">
        <f/>
        <v>0</v>
      </c>
      <c r="CY25">
        <f/>
        <v>0</v>
      </c>
      <c r="CZ25">
        <f/>
        <v>0</v>
      </c>
      <c r="DA25">
        <f/>
        <v>0</v>
      </c>
      <c r="DB25">
        <f/>
        <v>0</v>
      </c>
      <c r="DC25">
        <f/>
        <v>0</v>
      </c>
      <c r="DD25">
        <f/>
        <v>0</v>
      </c>
      <c r="DE25">
        <f/>
        <v>0</v>
      </c>
      <c r="DF25">
        <f/>
        <v>0</v>
      </c>
      <c r="DG25">
        <f/>
        <v>0</v>
      </c>
      <c r="DH25">
        <f/>
        <v>0</v>
      </c>
      <c r="DI25">
        <f/>
        <v>0</v>
      </c>
      <c r="DJ25">
        <f/>
        <v>0</v>
      </c>
      <c r="DK25">
        <f/>
        <v>0</v>
      </c>
      <c r="DL25">
        <f/>
        <v>0</v>
      </c>
      <c r="DM25">
        <f/>
        <v>0</v>
      </c>
      <c r="DN25">
        <f/>
        <v>0</v>
      </c>
      <c r="DO25">
        <f/>
        <v>0</v>
      </c>
      <c r="DP25">
        <f/>
        <v>0</v>
      </c>
      <c r="DQ25">
        <f/>
        <v>0</v>
      </c>
      <c r="DR25">
        <f/>
        <v>0</v>
      </c>
      <c r="DS25">
        <f/>
        <v>0</v>
      </c>
      <c r="DT25">
        <f/>
        <v>0</v>
      </c>
      <c r="DU25">
        <f/>
        <v>0</v>
      </c>
      <c r="DV25">
        <f/>
        <v>0</v>
      </c>
      <c r="DW25">
        <f/>
        <v>0</v>
      </c>
      <c r="DX25">
        <f/>
        <v>0</v>
      </c>
      <c r="DY25">
        <f/>
        <v>0</v>
      </c>
      <c r="DZ25">
        <f/>
        <v>0</v>
      </c>
      <c r="EA25">
        <f/>
        <v>0</v>
      </c>
      <c r="EB25">
        <f/>
        <v>0</v>
      </c>
      <c r="EC25">
        <f/>
        <v>0</v>
      </c>
      <c r="ED25">
        <f/>
        <v>0</v>
      </c>
      <c r="EE25">
        <f/>
        <v>0</v>
      </c>
      <c r="EF25">
        <f/>
        <v>0</v>
      </c>
      <c r="EG25">
        <f/>
        <v>0</v>
      </c>
      <c r="EH25">
        <f/>
        <v>0</v>
      </c>
      <c r="EI25">
        <f/>
        <v>0</v>
      </c>
      <c r="EJ25">
        <f/>
        <v>0</v>
      </c>
      <c r="EK25">
        <f/>
        <v>0</v>
      </c>
      <c r="EL25">
        <f/>
        <v>0</v>
      </c>
      <c r="EM25">
        <f/>
        <v>0</v>
      </c>
      <c r="EN25">
        <f/>
        <v>0</v>
      </c>
      <c r="EO25">
        <f/>
        <v>0</v>
      </c>
      <c r="EP25">
        <f/>
        <v>0</v>
      </c>
      <c r="EQ25">
        <f/>
        <v>0</v>
      </c>
      <c r="ER25">
        <f/>
        <v>0</v>
      </c>
      <c r="ES25">
        <f/>
        <v>0</v>
      </c>
      <c r="ET25">
        <f/>
        <v>0</v>
      </c>
      <c r="EU25">
        <f/>
        <v>0</v>
      </c>
      <c r="EV25">
        <f/>
        <v>0</v>
      </c>
      <c r="EW25">
        <f/>
        <v>0</v>
      </c>
      <c r="EX25">
        <f/>
        <v>0</v>
      </c>
      <c r="EY25">
        <f/>
        <v>0</v>
      </c>
      <c r="EZ25">
        <f/>
        <v>0</v>
      </c>
      <c r="FA25">
        <f/>
        <v>0</v>
      </c>
      <c r="FB25">
        <f/>
        <v>0</v>
      </c>
      <c r="FC25">
        <f/>
        <v>0</v>
      </c>
      <c r="FD25">
        <f/>
        <v>0</v>
      </c>
      <c r="FE25">
        <f/>
        <v>0</v>
      </c>
      <c r="FF25">
        <f/>
        <v>0</v>
      </c>
      <c r="FG25">
        <f/>
        <v>0</v>
      </c>
      <c r="FH25">
        <f/>
        <v>0</v>
      </c>
      <c r="FI25">
        <f/>
        <v>0</v>
      </c>
      <c r="FJ25">
        <f/>
        <v>0</v>
      </c>
      <c r="FK25">
        <f/>
        <v>0</v>
      </c>
      <c r="FL25">
        <f/>
        <v>0</v>
      </c>
      <c r="FM25">
        <f/>
        <v>0</v>
      </c>
      <c r="FN25">
        <f/>
        <v>0</v>
      </c>
      <c r="FO25">
        <f/>
        <v>0</v>
      </c>
      <c r="FP25">
        <f/>
        <v>0</v>
      </c>
      <c r="FQ25">
        <f/>
        <v>0</v>
      </c>
      <c r="FR25">
        <f/>
        <v>0</v>
      </c>
      <c r="FS25">
        <f/>
        <v>0</v>
      </c>
      <c r="FT25">
        <f/>
        <v>0</v>
      </c>
      <c r="FU25">
        <f/>
        <v>0</v>
      </c>
      <c r="FV25">
        <f/>
        <v>0</v>
      </c>
      <c r="FW25">
        <f/>
        <v>0</v>
      </c>
      <c r="FX25">
        <f/>
        <v>0</v>
      </c>
      <c r="FY25">
        <f/>
        <v>0</v>
      </c>
      <c r="FZ25">
        <f/>
        <v>0</v>
      </c>
      <c r="GA25">
        <f/>
        <v>0</v>
      </c>
      <c r="GB25">
        <f/>
        <v>0</v>
      </c>
      <c r="GC25">
        <f/>
        <v>0</v>
      </c>
      <c r="GD25">
        <f/>
        <v>0</v>
      </c>
      <c r="GE25">
        <f/>
        <v>0</v>
      </c>
      <c r="GF25">
        <f/>
        <v>0</v>
      </c>
      <c r="GG25">
        <f/>
        <v>0</v>
      </c>
      <c r="GH25">
        <f/>
        <v>0</v>
      </c>
      <c r="GI25">
        <f/>
        <v>0</v>
      </c>
      <c r="GJ25">
        <f/>
        <v>0</v>
      </c>
      <c r="GK25">
        <f/>
        <v>0</v>
      </c>
      <c r="GL25">
        <f/>
        <v>0</v>
      </c>
      <c r="GM25">
        <f/>
        <v>0</v>
      </c>
      <c r="GN25">
        <f/>
        <v>0</v>
      </c>
      <c r="GO25">
        <f/>
        <v>0</v>
      </c>
      <c r="GP25">
        <f/>
        <v>0</v>
      </c>
      <c r="GQ25">
        <f/>
        <v>0</v>
      </c>
      <c r="GR25">
        <f/>
        <v>0</v>
      </c>
      <c r="GS25">
        <f/>
        <v>0</v>
      </c>
      <c r="GT25">
        <f/>
        <v>0</v>
      </c>
      <c r="GU25">
        <f/>
        <v>0</v>
      </c>
      <c r="GV25">
        <f/>
        <v>0</v>
      </c>
      <c r="GW25">
        <f/>
        <v>0</v>
      </c>
      <c r="GX25">
        <f/>
        <v>0</v>
      </c>
      <c r="GY25">
        <f/>
        <v>0</v>
      </c>
      <c r="GZ25">
        <f/>
        <v>0</v>
      </c>
      <c r="HA25">
        <f/>
        <v>0</v>
      </c>
      <c r="HB25">
        <f/>
        <v>0</v>
      </c>
      <c r="HC25">
        <f/>
        <v>0</v>
      </c>
      <c r="HD25">
        <f/>
        <v>0</v>
      </c>
      <c r="HE25">
        <f/>
        <v>0</v>
      </c>
      <c r="HF25">
        <f/>
        <v>0</v>
      </c>
      <c r="HG25">
        <f/>
        <v>0</v>
      </c>
      <c r="HH25">
        <f/>
        <v>0</v>
      </c>
      <c r="HI25">
        <f/>
        <v>0</v>
      </c>
      <c r="HJ25">
        <f/>
        <v>0</v>
      </c>
      <c r="HK25">
        <f/>
        <v>0</v>
      </c>
      <c r="HL25">
        <f/>
        <v>0</v>
      </c>
      <c r="HM25">
        <f/>
        <v>0</v>
      </c>
      <c r="HN25">
        <f/>
        <v>0</v>
      </c>
      <c r="HO25">
        <f/>
        <v>0</v>
      </c>
      <c r="HP25">
        <f/>
        <v>0</v>
      </c>
      <c r="HQ25">
        <f/>
        <v>0</v>
      </c>
      <c r="HR25">
        <f/>
        <v>0</v>
      </c>
      <c r="HS25">
        <f/>
        <v>0</v>
      </c>
      <c r="HT25">
        <f/>
        <v>0</v>
      </c>
      <c r="HU25">
        <f/>
        <v>0</v>
      </c>
      <c r="HV25">
        <f/>
        <v>0</v>
      </c>
      <c r="HW25">
        <f/>
        <v>0</v>
      </c>
      <c r="HX25">
        <f/>
        <v>0</v>
      </c>
      <c r="HY25">
        <f/>
        <v>0</v>
      </c>
      <c r="HZ25">
        <f/>
        <v>0</v>
      </c>
      <c r="IA25">
        <f/>
        <v>0</v>
      </c>
      <c r="IB25">
        <f/>
        <v>0</v>
      </c>
      <c r="IC25">
        <f/>
        <v>0</v>
      </c>
      <c r="ID25">
        <f/>
        <v>0</v>
      </c>
      <c r="IE25">
        <f/>
        <v>0</v>
      </c>
      <c r="IF25">
        <f/>
        <v>0</v>
      </c>
      <c r="IG25">
        <f/>
        <v>0</v>
      </c>
      <c r="IH25">
        <f/>
        <v>0</v>
      </c>
      <c r="II25">
        <f/>
        <v>0</v>
      </c>
      <c r="IJ25">
        <f/>
        <v>0</v>
      </c>
      <c r="IK25">
        <f/>
        <v>0</v>
      </c>
      <c r="IL25">
        <f/>
        <v>0</v>
      </c>
      <c r="IM25">
        <f/>
        <v>0</v>
      </c>
      <c r="IN25">
        <f/>
        <v>0</v>
      </c>
      <c r="IO25">
        <f/>
        <v>0</v>
      </c>
      <c r="IP25">
        <f/>
        <v>0</v>
      </c>
      <c r="IQ25">
        <f/>
        <v>0</v>
      </c>
      <c r="IR25">
        <f/>
        <v>0</v>
      </c>
      <c r="IS25">
        <f/>
        <v>0</v>
      </c>
      <c r="IT25">
        <f/>
        <v>0</v>
      </c>
      <c r="IU25">
        <f/>
        <v>0</v>
      </c>
      <c r="IV25">
        <f/>
        <v>0</v>
      </c>
      <c r="IW25">
        <f/>
        <v>0</v>
      </c>
      <c r="IX25">
        <f/>
        <v>0</v>
      </c>
      <c r="IY25">
        <f/>
        <v>0</v>
      </c>
      <c r="IZ25">
        <f/>
        <v>0</v>
      </c>
      <c r="JA25">
        <f/>
        <v>0</v>
      </c>
      <c r="JB25">
        <f/>
        <v>0</v>
      </c>
      <c r="JC25">
        <f/>
        <v>0</v>
      </c>
      <c r="JD25">
        <f/>
        <v>0</v>
      </c>
      <c r="JE25">
        <f/>
        <v>0</v>
      </c>
      <c r="JF25">
        <f/>
        <v>0</v>
      </c>
      <c r="JG25">
        <f/>
        <v>0</v>
      </c>
      <c r="JH25">
        <f/>
        <v>0</v>
      </c>
      <c r="JI25">
        <f/>
        <v>0</v>
      </c>
      <c r="JJ25">
        <f/>
        <v>0</v>
      </c>
      <c r="JK25">
        <f/>
        <v>0</v>
      </c>
      <c r="JL25">
        <f/>
        <v>0</v>
      </c>
      <c r="JM25">
        <f/>
        <v>0</v>
      </c>
      <c r="JN25">
        <f/>
        <v>0</v>
      </c>
      <c r="JO25">
        <f/>
        <v>0</v>
      </c>
      <c r="JP25">
        <f/>
        <v>0</v>
      </c>
      <c r="JQ25">
        <f/>
        <v>0</v>
      </c>
      <c r="JR25">
        <f/>
        <v>0</v>
      </c>
      <c r="JS25">
        <f/>
        <v>0</v>
      </c>
      <c r="JT25">
        <f/>
        <v>0</v>
      </c>
      <c r="JU25">
        <f/>
        <v>0</v>
      </c>
      <c r="JV25">
        <f/>
        <v>0</v>
      </c>
      <c r="JW25">
        <f/>
        <v>0</v>
      </c>
      <c r="JX25">
        <f/>
        <v>0</v>
      </c>
      <c r="JY25">
        <f/>
        <v>0</v>
      </c>
      <c r="JZ25">
        <f/>
        <v>0</v>
      </c>
      <c r="KA25">
        <f/>
        <v>0</v>
      </c>
      <c r="KB25">
        <f/>
        <v>0</v>
      </c>
      <c r="KC25">
        <f/>
        <v>0</v>
      </c>
      <c r="KD25">
        <f/>
        <v>0</v>
      </c>
      <c r="KE25">
        <f/>
        <v>0</v>
      </c>
      <c r="KF25">
        <f/>
        <v>0</v>
      </c>
      <c r="KG25">
        <f/>
        <v>0</v>
      </c>
      <c r="KH25">
        <f/>
        <v>0</v>
      </c>
      <c r="KI25">
        <f/>
        <v>0</v>
      </c>
      <c r="KJ25">
        <f/>
        <v>0</v>
      </c>
      <c r="KK25">
        <f/>
        <v>0</v>
      </c>
      <c r="KL25">
        <f/>
        <v>0</v>
      </c>
      <c r="KM25">
        <f/>
        <v>0</v>
      </c>
      <c r="KN25">
        <f/>
        <v>0</v>
      </c>
      <c r="KO25">
        <f/>
        <v>0</v>
      </c>
      <c r="KP25">
        <f/>
        <v>0</v>
      </c>
      <c r="KQ25">
        <f/>
        <v>0</v>
      </c>
      <c r="KR25">
        <f/>
        <v>0</v>
      </c>
      <c r="KS25">
        <f/>
        <v>0</v>
      </c>
      <c r="KT25">
        <f/>
        <v>0</v>
      </c>
      <c r="KU25">
        <f/>
        <v>0</v>
      </c>
      <c r="KV25">
        <f/>
        <v>0</v>
      </c>
      <c r="KW25">
        <f/>
        <v>0</v>
      </c>
      <c r="KX25">
        <f/>
        <v>0</v>
      </c>
      <c r="KY25">
        <f/>
        <v>0</v>
      </c>
      <c r="KZ25">
        <f/>
        <v>0</v>
      </c>
      <c r="LA25">
        <f/>
        <v>0</v>
      </c>
      <c r="LB25">
        <f/>
        <v>0</v>
      </c>
      <c r="LC25">
        <f/>
        <v>0</v>
      </c>
      <c r="LD25">
        <f/>
        <v>0</v>
      </c>
      <c r="LE25">
        <f/>
        <v>0</v>
      </c>
      <c r="LF25">
        <f/>
        <v>0</v>
      </c>
      <c r="LG25">
        <f/>
        <v>0</v>
      </c>
      <c r="LH25">
        <f/>
        <v>0</v>
      </c>
      <c r="LI25">
        <f/>
        <v>0</v>
      </c>
      <c r="LJ25">
        <f/>
        <v>0</v>
      </c>
      <c r="LK25">
        <f/>
        <v>0</v>
      </c>
      <c r="LL25">
        <f/>
        <v>0</v>
      </c>
      <c r="LM25">
        <f/>
        <v>0</v>
      </c>
      <c r="LN25">
        <f/>
        <v>0</v>
      </c>
      <c r="LO25">
        <f/>
        <v>0</v>
      </c>
      <c r="LP25">
        <f/>
        <v>0</v>
      </c>
      <c r="LQ25">
        <f/>
        <v>0</v>
      </c>
      <c r="LR25">
        <f/>
        <v>0</v>
      </c>
      <c r="LS25">
        <f/>
        <v>0</v>
      </c>
      <c r="LT25">
        <f/>
        <v>0</v>
      </c>
      <c r="LU25">
        <f/>
        <v>0</v>
      </c>
      <c r="LV25">
        <f/>
        <v>0</v>
      </c>
      <c r="LW25">
        <f/>
        <v>0</v>
      </c>
      <c r="LX25">
        <f/>
        <v>0</v>
      </c>
      <c r="LY25">
        <f/>
        <v>0</v>
      </c>
      <c r="LZ25">
        <f/>
        <v>0</v>
      </c>
      <c r="MA25">
        <f/>
        <v>0</v>
      </c>
      <c r="MB25">
        <f/>
        <v>0</v>
      </c>
      <c r="MC25">
        <f/>
        <v>0</v>
      </c>
      <c r="MD25">
        <f/>
        <v>0</v>
      </c>
      <c r="ME25">
        <f/>
        <v>0</v>
      </c>
      <c r="MF25">
        <f/>
        <v>0</v>
      </c>
      <c r="MG25">
        <f/>
        <v>0</v>
      </c>
      <c r="MH25">
        <f/>
        <v>0</v>
      </c>
      <c r="MI25">
        <f/>
        <v>0</v>
      </c>
      <c r="MJ25">
        <f/>
        <v>0</v>
      </c>
      <c r="MK25">
        <f/>
        <v>0</v>
      </c>
      <c r="ML25">
        <f/>
        <v>0</v>
      </c>
      <c r="MM25">
        <f/>
        <v>0</v>
      </c>
      <c r="MN25">
        <f/>
        <v>0</v>
      </c>
      <c r="MO25">
        <f/>
        <v>0</v>
      </c>
      <c r="MP25">
        <f/>
        <v>0</v>
      </c>
      <c r="MQ25">
        <f/>
        <v>0</v>
      </c>
      <c r="MR25">
        <f/>
        <v>0</v>
      </c>
      <c r="MS25">
        <f/>
        <v>0</v>
      </c>
      <c r="MT25">
        <f/>
        <v>0</v>
      </c>
      <c r="MU25">
        <f/>
        <v>0</v>
      </c>
      <c r="MV25">
        <f/>
        <v>0</v>
      </c>
      <c r="MW25">
        <f/>
        <v>0</v>
      </c>
      <c r="MX25">
        <f/>
        <v>0</v>
      </c>
      <c r="MY25">
        <f/>
        <v>0</v>
      </c>
      <c r="MZ25">
        <f/>
        <v>0</v>
      </c>
      <c r="NA25">
        <f/>
        <v>0</v>
      </c>
      <c r="NB25">
        <f/>
        <v>0</v>
      </c>
      <c r="NC25">
        <f/>
        <v>0</v>
      </c>
    </row>
  </sheetData>
  <mergeCells count="2">
    <mergeCell ref="A1:P1"/>
    <mergeCell ref="A2:R2"/>
  </mergeCells>
  <hyperlinks>
    <hyperlink ref="A1" location="'TOC'!$A$1" display="'TOC'!$A$1" xr:uid="{C09E2D57-B276-4982-9619-1542857F4CDF}"/>
  </hyperlinks>
  <pageMargins left="0.7" right="0.7" top="0.75" bottom="0.75" header="0.3" footer="0.3"/>
  <customProperties>
    <customPr name="Description" r:id="rId1"/>
  </customProperties>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157A5F"/>
  </sheetPr>
  <dimension ref="A1:W38"/>
  <sheetViews>
    <sheetView showGridLines="0" workbookViewId="0">
      <selection activeCell="A1" sqref="A1"/>
    </sheetView>
  </sheetViews>
  <sheetFormatPr defaultRowHeight="15" x14ac:dyDescent="0.25"/>
  <cols>
    <col min="1" max="1" width="12.7109375" bestFit="1" customWidth="1"/>
    <col min="5" max="5" width="10" bestFit="1" customWidth="1"/>
    <col min="7" max="7" width="24.42578125" bestFit="1" customWidth="1"/>
    <col min="8" max="8" width="7.5703125" bestFit="1" customWidth="1"/>
    <col min="9" max="38" width="10.140625" bestFit="1" customWidth="1"/>
  </cols>
  <sheetData>
    <row r="1" spans="1:17" ht="45.75" x14ac:dyDescent="0.65">
      <c r="A1" s="270" t="str">
        <f>_xlfn.TEXTAFTER(CELL("filename",A1),"]")</f>
        <v>nabla.f.TimelinePositionλ</v>
      </c>
      <c r="B1" s="270"/>
      <c r="C1" s="270"/>
      <c r="D1" s="270"/>
      <c r="E1" s="270"/>
      <c r="F1" s="270"/>
      <c r="G1" s="270"/>
      <c r="H1" s="270"/>
      <c r="I1" s="270"/>
      <c r="J1" s="270"/>
      <c r="K1" s="270"/>
      <c r="L1" s="270"/>
      <c r="M1" s="270"/>
      <c r="N1" s="270"/>
      <c r="O1" s="270"/>
      <c r="P1" s="270"/>
    </row>
    <row r="2" spans="1:17" x14ac:dyDescent="0.25">
      <c r="A2" s="273" t="s">
        <v>218</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nabla.f.TimelinePositionλ()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(nabla.f is assumed to be the module's name)</v>
      </c>
    </row>
    <row r="16" spans="1:17" x14ac:dyDescent="0.25">
      <c r="A16" t="str">
        <v/>
      </c>
      <c r="B16" t="str">
        <v>=nabla.f.TimelinePositionλ(SEQUENCE(3,3), EDATE("1/1/2025", SEQUENCE( , 12, 0)), 12)</v>
      </c>
    </row>
    <row r="20" spans="1:23" ht="20.25" x14ac:dyDescent="0.3">
      <c r="A20" s="302" t="s">
        <v>317</v>
      </c>
      <c r="B20" s="302"/>
      <c r="C20" s="302"/>
      <c r="G20" s="289" t="s">
        <v>325</v>
      </c>
      <c r="H20" s="307"/>
      <c r="I20" s="307"/>
      <c r="J20" s="307"/>
      <c r="K20" s="307"/>
      <c r="L20" s="307"/>
      <c r="M20" s="307"/>
      <c r="N20" s="307"/>
      <c r="O20" s="307"/>
      <c r="P20" s="307"/>
      <c r="Q20" s="307"/>
      <c r="R20" s="307"/>
      <c r="S20" s="307"/>
      <c r="T20" s="307"/>
      <c r="U20" s="307"/>
      <c r="V20" s="307"/>
      <c r="W20" s="290"/>
    </row>
    <row r="22" spans="1:23" x14ac:dyDescent="0.25">
      <c r="A22" s="161" t="s">
        <v>131</v>
      </c>
      <c r="B22" s="160" t="s">
        <v>285</v>
      </c>
      <c r="C22" s="160" t="s">
        <v>286</v>
      </c>
      <c r="D22" s="160" t="s">
        <v>287</v>
      </c>
      <c r="E22" s="160" t="s">
        <v>288</v>
      </c>
      <c r="F22" s="174"/>
      <c r="G22" s="228" t="s">
        <v>66</v>
      </c>
      <c r="H22" s="115" t="s">
        <v>289</v>
      </c>
      <c r="I22" s="1" cm="1">
        <f t="array" ref="I22:R22">nabla.d.Timelineλ( E23, D23, "Y")</f>
        <v>43831</v>
      </c>
      <c r="J22" s="1">
        <v>44927</v>
      </c>
      <c r="K22" s="1">
        <v>45292</v>
      </c>
      <c r="L22" s="1">
        <v>45658</v>
      </c>
      <c r="M22" s="1">
        <v>46023</v>
      </c>
      <c r="N22" s="1">
        <v>46388</v>
      </c>
      <c r="O22" s="1">
        <v>46753</v>
      </c>
      <c r="P22" s="1">
        <v>47119</v>
      </c>
      <c r="Q22" s="1">
        <v>47484</v>
      </c>
      <c r="R22" s="1">
        <v>47849</v>
      </c>
      <c r="S22" s="1"/>
      <c r="T22" s="1"/>
      <c r="U22" s="1"/>
      <c r="V22" s="1"/>
      <c r="W22" s="1"/>
    </row>
    <row r="23" spans="1:23" x14ac:dyDescent="0.25">
      <c r="A23" s="189" t="s">
        <v>290</v>
      </c>
      <c r="B23" s="178">
        <v>50000</v>
      </c>
      <c r="C23" s="179">
        <v>7.0000000000000007E-2</v>
      </c>
      <c r="D23" s="180">
        <v>10</v>
      </c>
      <c r="E23" s="231">
        <v>44562</v>
      </c>
      <c r="G23" s="182" t="str" cm="1">
        <f t="array" ref="G23:G28">nabla.f.LabelAmortiseλ(A23)</f>
        <v>Renovation Debt Issuance</v>
      </c>
      <c r="H23" s="202" cm="1">
        <f t="array" ref="H23:H28">nabla.f.SumAmortiseλ(_xlfn.ANCHORARRAY(I23))</f>
        <v>0</v>
      </c>
      <c r="I23" s="202" cm="1">
        <f t="array" ref="I23:R28">nabla.f.Amortiseλ( B23,C23,D23,E23,_xlfn.ANCHORARRAY( I22))</f>
        <v>50000</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50000</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1618.161546888447</v>
      </c>
      <c r="I25" s="186">
        <v>1618.161546888447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-51618.161546888448</v>
      </c>
      <c r="I26" s="186">
        <v>-51618.161546888448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0</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50000</v>
      </c>
      <c r="I28" s="186">
        <v>50000</v>
      </c>
      <c r="J28" s="186">
        <v>0</v>
      </c>
      <c r="K28" s="186">
        <v>0</v>
      </c>
      <c r="L28" s="186">
        <v>0</v>
      </c>
      <c r="M28" s="186">
        <v>0</v>
      </c>
      <c r="N28" s="186">
        <v>0</v>
      </c>
      <c r="O28" s="186">
        <v>0</v>
      </c>
      <c r="P28" s="186">
        <v>0</v>
      </c>
      <c r="Q28" s="186">
        <v>0</v>
      </c>
      <c r="R28" s="186">
        <v>0</v>
      </c>
      <c r="S28" s="186"/>
      <c r="T28" s="186"/>
      <c r="U28" s="186"/>
      <c r="V28" s="186"/>
      <c r="W28" s="186"/>
    </row>
    <row r="30" spans="1:23" ht="20.25" x14ac:dyDescent="0.3">
      <c r="G30" s="289" t="s">
        <v>324</v>
      </c>
      <c r="H30" s="307"/>
      <c r="I30" s="307"/>
      <c r="J30" s="307"/>
      <c r="K30" s="307"/>
      <c r="L30" s="307"/>
      <c r="M30" s="307"/>
      <c r="N30" s="307"/>
      <c r="O30" s="307"/>
      <c r="P30" s="307"/>
      <c r="Q30" s="307"/>
      <c r="R30" s="307"/>
      <c r="S30" s="307"/>
      <c r="T30" s="307"/>
      <c r="U30" s="307"/>
      <c r="V30" s="307"/>
      <c r="W30" s="290"/>
    </row>
    <row r="32" spans="1:23" x14ac:dyDescent="0.25">
      <c r="G32" s="228" t="s">
        <v>66</v>
      </c>
      <c r="H32" s="115" t="s">
        <v>289</v>
      </c>
      <c r="I32" s="1" cm="1">
        <f t="array" ref="I32:T32">nabla.d.Timelineλ("1/1/2026", 12, "Y")</f>
        <v>45292</v>
      </c>
      <c r="J32" s="1">
        <v>46388</v>
      </c>
      <c r="K32" s="1">
        <v>46753</v>
      </c>
      <c r="L32" s="1">
        <v>47119</v>
      </c>
      <c r="M32" s="1">
        <v>47484</v>
      </c>
      <c r="N32" s="1">
        <v>47849</v>
      </c>
      <c r="O32" s="1">
        <v>48214</v>
      </c>
      <c r="P32" s="1">
        <v>48580</v>
      </c>
      <c r="Q32" s="1">
        <v>48945</v>
      </c>
      <c r="R32" s="1">
        <v>49310</v>
      </c>
      <c r="S32" s="1">
        <v>49675</v>
      </c>
      <c r="T32" s="1">
        <v>50041</v>
      </c>
      <c r="U32" s="1"/>
      <c r="V32" s="1"/>
      <c r="W32" s="1"/>
    </row>
    <row r="33" spans="7:20" x14ac:dyDescent="0.25">
      <c r="G33" s="182" t="str" cm="1">
        <f t="array" ref="G33:G38">nabla.f.LabelAmortiseλ(A23)</f>
        <v>Renovation Debt Issuance</v>
      </c>
      <c r="H33" s="202" cm="1">
        <f t="array" ref="H33:H38">nabla.f.SumAmortiseλ(_xlfn.ANCHORARRAY(I33))</f>
        <v>0</v>
      </c>
      <c r="I33" s="162" cm="1">
        <f t="array" ref="I33:T38">nabla.f.TimelinePositionλ(_xlfn.ANCHORARRAY(I23),_xlfn.ANCHORARRAY(I32), nabla.f.TimelineOffsetλ(E23,_xlfn.ANCHORARRAY($I$32)))</f>
        <v>0</v>
      </c>
      <c r="J33">
        <v>0</v>
      </c>
      <c r="K33">
        <v>0</v>
      </c>
      <c r="L33">
        <v>0</v>
      </c>
      <c r="M33">
        <v>0</v>
      </c>
      <c r="N33">
        <v>0</v>
      </c>
      <c r="O33">
        <v>0</v>
      </c>
      <c r="P33">
        <v>0</v>
      </c>
      <c r="Q33">
        <v>0</v>
      </c>
      <c r="R33">
        <v>0</v>
      </c>
      <c r="S33">
        <v>0</v>
      </c>
      <c r="T33">
        <v>0</v>
      </c>
    </row>
    <row r="34" spans="7:20" x14ac:dyDescent="0.25">
      <c r="G34" t="str">
        <v>Renovation Debt Balance</v>
      </c>
      <c r="H34">
        <v>0</v>
      </c>
      <c r="I34">
        <v>0</v>
      </c>
      <c r="J34">
        <v>0</v>
      </c>
      <c r="K34">
        <v>0</v>
      </c>
      <c r="L34">
        <v>0</v>
      </c>
      <c r="M34">
        <v>0</v>
      </c>
      <c r="N34">
        <v>0</v>
      </c>
      <c r="O34">
        <v>0</v>
      </c>
      <c r="P34">
        <v>0</v>
      </c>
      <c r="Q34">
        <v>0</v>
      </c>
      <c r="R34">
        <v>0</v>
      </c>
      <c r="S34">
        <v>0</v>
      </c>
      <c r="T34">
        <v>0</v>
      </c>
    </row>
    <row r="35" spans="7:20" x14ac:dyDescent="0.25">
      <c r="G35" t="str">
        <v>Renovation Interest</v>
      </c>
      <c r="H35">
        <v>0</v>
      </c>
      <c r="I35">
        <v>0</v>
      </c>
      <c r="J35">
        <v>0</v>
      </c>
      <c r="K35">
        <v>0</v>
      </c>
      <c r="L35">
        <v>0</v>
      </c>
      <c r="M35">
        <v>0</v>
      </c>
      <c r="N35">
        <v>0</v>
      </c>
      <c r="O35">
        <v>0</v>
      </c>
      <c r="P35">
        <v>0</v>
      </c>
      <c r="Q35">
        <v>0</v>
      </c>
      <c r="R35">
        <v>0</v>
      </c>
      <c r="S35">
        <v>0</v>
      </c>
      <c r="T35">
        <v>0</v>
      </c>
    </row>
    <row r="36" spans="7:20" x14ac:dyDescent="0.25">
      <c r="G36" t="str">
        <v>Renovation Debt Services</v>
      </c>
      <c r="H36">
        <v>0</v>
      </c>
      <c r="I36">
        <v>0</v>
      </c>
      <c r="J36">
        <v>0</v>
      </c>
      <c r="K36">
        <v>0</v>
      </c>
      <c r="L36">
        <v>0</v>
      </c>
      <c r="M36">
        <v>0</v>
      </c>
      <c r="N36">
        <v>0</v>
      </c>
      <c r="O36">
        <v>0</v>
      </c>
      <c r="P36">
        <v>0</v>
      </c>
      <c r="Q36">
        <v>0</v>
      </c>
      <c r="R36">
        <v>0</v>
      </c>
      <c r="S36">
        <v>0</v>
      </c>
      <c r="T36">
        <v>0</v>
      </c>
    </row>
    <row r="37" spans="7:20" x14ac:dyDescent="0.25">
      <c r="G37" t="str">
        <v>Renovation Closing Balance</v>
      </c>
      <c r="H37">
        <v>0</v>
      </c>
      <c r="I37">
        <v>0</v>
      </c>
      <c r="J37">
        <v>0</v>
      </c>
      <c r="K37">
        <v>0</v>
      </c>
      <c r="L37">
        <v>0</v>
      </c>
      <c r="M37">
        <v>0</v>
      </c>
      <c r="N37">
        <v>0</v>
      </c>
      <c r="O37">
        <v>0</v>
      </c>
      <c r="P37">
        <v>0</v>
      </c>
      <c r="Q37">
        <v>0</v>
      </c>
      <c r="R37">
        <v>0</v>
      </c>
      <c r="S37">
        <v>0</v>
      </c>
      <c r="T37">
        <v>0</v>
      </c>
    </row>
    <row r="38" spans="7:20" x14ac:dyDescent="0.25">
      <c r="G38" t="str">
        <v>Renovation Debt Repayment</v>
      </c>
      <c r="H38">
        <v>0</v>
      </c>
      <c r="I38">
        <v>0</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customProperties>
    <customPr name="Description" r:id="rId1"/>
  </customProperties>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2E75B6"/>
  </sheetPr>
  <dimension ref="A1:N8"/>
  <sheetViews>
    <sheetView showGridLines="0" workbookViewId="0">
      <selection activeCell="A1" sqref="A1"/>
    </sheetView>
  </sheetViews>
  <sheetFormatPr defaultRowHeight="15" x14ac:dyDescent="0.25"/>
  <cols>
    <col min="1" max="1" width="22" bestFit="1" customWidth="1"/>
    <col min="2" max="2" width="99.7109375" bestFit="1" customWidth="1"/>
  </cols>
  <sheetData>
    <row r="1" spans="1:14" ht="45.75" x14ac:dyDescent="0.65">
      <c r="A1" s="270" t="str">
        <f>_xlfn.TEXTAFTER(CELL("filename",A1),"]")</f>
        <v>nabla.e.Aboutλ</v>
      </c>
      <c r="B1" s="270"/>
      <c r="C1" s="270"/>
      <c r="D1" s="270"/>
      <c r="E1" s="270"/>
      <c r="F1" s="112"/>
      <c r="G1" s="112"/>
      <c r="H1" s="112"/>
      <c r="I1" s="112"/>
      <c r="J1" s="112"/>
      <c r="K1" s="112"/>
      <c r="L1" s="112"/>
      <c r="M1" s="112"/>
      <c r="N1" s="112"/>
    </row>
    <row r="2" spans="1:14" x14ac:dyDescent="0.25">
      <c r="A2" s="273" t="s">
        <v>380</v>
      </c>
      <c r="B2" s="287"/>
      <c r="C2" s="287"/>
      <c r="D2" s="287"/>
      <c r="E2" s="287"/>
      <c r="F2" s="287"/>
      <c r="G2" s="287"/>
      <c r="H2" s="287"/>
      <c r="I2" s="288"/>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e" cm="1">
        <f t="array" ref="A5">nabla.e.Aboutλ</f>
        <v>#NAME?</v>
      </c>
    </row>
    <row r="8" spans="1:14" x14ac:dyDescent="0.25">
      <c r="D8" s="103"/>
    </row>
  </sheetData>
  <mergeCells count="2">
    <mergeCell ref="A1:E1"/>
    <mergeCell ref="A2:I2"/>
  </mergeCells>
  <hyperlinks>
    <hyperlink ref="A1" location="'TOC'!$A$1" display="'TOC'!$A$1" xr:uid="{B6AE302E-D617-484D-8915-B28641065E9C}"/>
  </hyperlinks>
  <pageMargins left="0.7" right="0.7" top="0.75" bottom="0.75" header="0.3" footer="0.3"/>
  <customProperties>
    <customPr name="Description" r:id="rId1"/>
  </customProperties>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2E75B6"/>
  </sheetPr>
  <dimension ref="A1:Q21"/>
  <sheetViews>
    <sheetView showGridLines="0" workbookViewId="0">
      <selection activeCell="A1" sqref="A1"/>
    </sheetView>
  </sheetViews>
  <sheetFormatPr defaultRowHeight="15" x14ac:dyDescent="0.25"/>
  <cols>
    <col min="1" max="1" width="12.7109375" bestFit="1" customWidth="1"/>
    <col min="2" max="2" width="23.85546875" customWidth="1"/>
    <col min="3" max="3" width="9.85546875" bestFit="1" customWidth="1"/>
    <col min="4" max="4" width="6.140625"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nabla.e.CountCλ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3">nabla.e.CountCλ()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(nabla.e is assumed to be the module's name)</v>
      </c>
    </row>
    <row r="13" spans="1:17" x14ac:dyDescent="0.25">
      <c r="A13" t="str">
        <v/>
      </c>
      <c r="B13" t="str">
        <v>=nabla.e.CountCλ( "Mary had a little lamb", "a,b")</v>
      </c>
    </row>
    <row r="16" spans="1:17" x14ac:dyDescent="0.25">
      <c r="B16" s="190" t="s">
        <v>391</v>
      </c>
      <c r="C16" s="190" t="s">
        <v>390</v>
      </c>
      <c r="D16" s="1" t="s">
        <v>392</v>
      </c>
      <c r="E16" s="250" t="s">
        <v>398</v>
      </c>
      <c r="F16" s="1"/>
      <c r="G16" s="1"/>
      <c r="H16" s="1"/>
      <c r="I16" s="1"/>
      <c r="J16" s="1"/>
      <c r="K16" s="1"/>
      <c r="L16" s="1"/>
      <c r="M16" s="1"/>
      <c r="N16" s="1"/>
      <c r="O16" s="1"/>
    </row>
    <row r="17" spans="2:5" x14ac:dyDescent="0.25">
      <c r="B17" s="121" t="s">
        <v>393</v>
      </c>
      <c r="C17" s="174" t="s">
        <v>394</v>
      </c>
      <c r="D17" s="162" cm="1">
        <f t="array" ref="D17">nabla.e.CountCλ(B17,C17)</f>
        <v>5</v>
      </c>
      <c r="E17" t="s">
        <v>399</v>
      </c>
    </row>
    <row r="18" spans="2:5" x14ac:dyDescent="0.25">
      <c r="B18" s="121" t="s">
        <v>393</v>
      </c>
      <c r="C18" s="174" t="s">
        <v>144</v>
      </c>
      <c r="D18" s="162" cm="1">
        <f t="array" ref="D18">nabla.e.CountCλ(B18,C18)</f>
        <v>1</v>
      </c>
      <c r="E18" t="s">
        <v>400</v>
      </c>
    </row>
    <row r="19" spans="2:5" x14ac:dyDescent="0.25">
      <c r="B19" s="121" t="s">
        <v>393</v>
      </c>
      <c r="C19" s="174" t="s">
        <v>395</v>
      </c>
      <c r="D19" s="162" cm="1">
        <f t="array" ref="D19">nabla.e.CountCλ(B19,C19)</f>
        <v>2</v>
      </c>
    </row>
    <row r="20" spans="2:5" x14ac:dyDescent="0.25">
      <c r="B20" s="121" t="s">
        <v>393</v>
      </c>
      <c r="C20" s="174" t="s">
        <v>396</v>
      </c>
      <c r="D20" s="162" cm="1">
        <f t="array" ref="D20">nabla.e.CountCλ(B20,C20)</f>
        <v>3</v>
      </c>
    </row>
    <row r="21" spans="2:5" x14ac:dyDescent="0.25">
      <c r="B21" s="121" t="s">
        <v>393</v>
      </c>
      <c r="C21" s="174" t="s">
        <v>397</v>
      </c>
      <c r="D21" s="162" cm="1">
        <f t="array" ref="D21">nabla.e.CountCλ(B21,C21)</f>
        <v>3</v>
      </c>
      <c r="E21" t="s">
        <v>401</v>
      </c>
    </row>
  </sheetData>
  <mergeCells count="2">
    <mergeCell ref="A1:K1"/>
    <mergeCell ref="A2:Q2"/>
  </mergeCells>
  <hyperlinks>
    <hyperlink ref="A1" location="'TOC'!$A$1" display="'TOC'!$A$1" xr:uid="{A745DC2E-F8AB-4E84-B9E0-B68127444689}"/>
  </hyperlink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2E75B6"/>
  </sheetPr>
  <dimension ref="A1:R26"/>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7" ht="45.75" x14ac:dyDescent="0.65">
      <c r="A1" s="270" t="str">
        <f>_xlfn.TEXTAFTER(CELL("filename",A1),"]")</f>
        <v>nabla.e.SumRowsλ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1">nabla.e.SumRowsλ()</f>
        <v>FUNCTION:</v>
      </c>
      <c r="B4" t="str">
        <v>SumRowsλ( Array)</v>
      </c>
    </row>
    <row r="5" spans="1:17" x14ac:dyDescent="0.25">
      <c r="A5" t="str">
        <v>DESCRIPTION:</v>
      </c>
      <c r="B5" t="str">
        <v>Get the total of each row</v>
      </c>
    </row>
    <row r="6" spans="1:17" x14ac:dyDescent="0.25">
      <c r="A6" t="str">
        <v>WEBPAGE:</v>
      </c>
      <c r="B6" t="str">
        <v>https://github.com/ryanduguid/Nabla</v>
      </c>
    </row>
    <row r="7" spans="1:17" x14ac:dyDescent="0.25">
      <c r="A7" t="str">
        <v>VERSION:</v>
      </c>
      <c r="B7" t="str">
        <v>18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(nabla.e is assumed to be the module's name)</v>
      </c>
    </row>
    <row r="11" spans="1:17" x14ac:dyDescent="0.25">
      <c r="A11" t="str">
        <v/>
      </c>
      <c r="B11" t="str">
        <v>=nabla.e.SumRowsλ( SEQUENCE(5,5))</v>
      </c>
    </row>
    <row r="17" spans="1:18" ht="20.25" x14ac:dyDescent="0.3">
      <c r="A17" s="302" t="s">
        <v>272</v>
      </c>
      <c r="B17" s="302"/>
      <c r="C17" s="302"/>
    </row>
    <row r="19" spans="1:18" x14ac:dyDescent="0.25">
      <c r="A19" s="161" t="s">
        <v>273</v>
      </c>
      <c r="B19" s="161" t="s">
        <v>138</v>
      </c>
      <c r="C19" s="161" t="s">
        <v>139</v>
      </c>
      <c r="E19" s="190" t="s">
        <v>131</v>
      </c>
      <c r="F19" s="190" t="s">
        <v>276</v>
      </c>
      <c r="G19" s="1" cm="1">
        <f t="array" ref="G19:R19">nabla.d.Timelineλ($B$20,$B$21,$B$22)</f>
        <v>45292</v>
      </c>
      <c r="H19" s="1">
        <v>46388</v>
      </c>
      <c r="I19" s="1">
        <v>46753</v>
      </c>
      <c r="J19" s="1">
        <v>47119</v>
      </c>
      <c r="K19" s="1">
        <v>47484</v>
      </c>
      <c r="L19" s="1">
        <v>47849</v>
      </c>
      <c r="M19" s="1">
        <v>48214</v>
      </c>
      <c r="N19" s="1">
        <v>48580</v>
      </c>
      <c r="O19" s="1">
        <v>48945</v>
      </c>
      <c r="P19" s="1">
        <v>49310</v>
      </c>
      <c r="Q19" s="1">
        <v>49675</v>
      </c>
      <c r="R19" s="1">
        <v>50041</v>
      </c>
    </row>
    <row r="20" spans="1:18" x14ac:dyDescent="0.25">
      <c r="A20" t="s">
        <v>236</v>
      </c>
      <c r="B20" s="141">
        <v>46023</v>
      </c>
      <c r="C20" t="s">
        <v>145</v>
      </c>
      <c r="E20" s="121" t="str" cm="1">
        <f t="array" ref="E20:E24">tblCT[Customer]</f>
        <v>ACME</v>
      </c>
      <c r="F20" s="236" cm="1">
        <f t="array" ref="F20:F24">nabla.e.SumRowsλ(_xlfn.ANCHORARRAY(G20))</f>
        <v>53801.688410351358</v>
      </c>
      <c r="G20" s="235" cm="1">
        <f t="array" ref="G20:R24">_xlfn.MAKEARRAY(COUNTA(_xlfn.ANCHORARRAY( E20)), COUNTA(_xlfn.ANCHORARRAY( G19)), _xlfn.LAMBDA(_xlpm.r,_xlpm.c, 1000 + MOD(_xlpm.r * 7 + _xlpm.c * 13, 10000 - 1000 + 1)))</f>
        <v>8319.7474334553026</v>
      </c>
      <c r="H20">
        <f/>
        <v>4072.6957796761053</v>
      </c>
      <c r="I20">
        <f/>
        <v>2329.1572604719095</v>
      </c>
      <c r="J20">
        <f/>
        <v>4247.5362341117634</v>
      </c>
      <c r="K20">
        <f/>
        <v>4219.6715599182007</v>
      </c>
      <c r="L20">
        <f/>
        <v>1006.7725066957028</v>
      </c>
      <c r="M20">
        <f/>
        <v>5023.9735897096398</v>
      </c>
      <c r="N20">
        <f/>
        <v>2837.7674813553149</v>
      </c>
      <c r="O20">
        <f/>
        <v>3377.7690093926321</v>
      </c>
      <c r="P20">
        <f/>
        <v>9813.5376945078951</v>
      </c>
      <c r="Q20">
        <f/>
        <v>7037.2813694559627</v>
      </c>
      <c r="R20">
        <f/>
        <v>1515.7784916009241</v>
      </c>
    </row>
    <row r="21" spans="1:18" x14ac:dyDescent="0.25">
      <c r="A21" t="s">
        <v>141</v>
      </c>
      <c r="B21">
        <v>12</v>
      </c>
      <c r="C21" t="s">
        <v>146</v>
      </c>
      <c r="E21" s="121" t="str">
        <v>Wool*Art</v>
      </c>
      <c r="F21" s="174">
        <f/>
        <v>72237.148877239175</v>
      </c>
      <c r="G21" s="174">
        <f/>
        <v>7377.2598545200981</v>
      </c>
      <c r="H21">
        <f/>
        <v>4885.1259791158682</v>
      </c>
      <c r="I21">
        <f/>
        <v>6695.4367156571443</v>
      </c>
      <c r="J21">
        <f/>
        <v>2643.9185583345989</v>
      </c>
      <c r="K21">
        <f/>
        <v>4144.3814924523249</v>
      </c>
      <c r="L21">
        <f/>
        <v>8617.9715621891701</v>
      </c>
      <c r="M21">
        <f/>
        <v>9814.3250195114342</v>
      </c>
      <c r="N21">
        <f/>
        <v>1590.852791585854</v>
      </c>
      <c r="O21">
        <f/>
        <v>2924.6491703584506</v>
      </c>
      <c r="P21">
        <f/>
        <v>4717.2197051652693</v>
      </c>
      <c r="Q21">
        <f/>
        <v>9673.9885033068713</v>
      </c>
      <c r="R21">
        <f/>
        <v>9152.0195250420948</v>
      </c>
    </row>
    <row r="22" spans="1:18" x14ac:dyDescent="0.25">
      <c r="A22" t="s">
        <v>142</v>
      </c>
      <c r="B22" t="s">
        <v>24</v>
      </c>
      <c r="E22" s="121" t="str">
        <v>Town Hall</v>
      </c>
      <c r="F22" s="174">
        <f/>
        <v>78188.931130421683</v>
      </c>
      <c r="G22" s="174">
        <f/>
        <v>4386.620804760294</v>
      </c>
      <c r="H22">
        <f/>
        <v>1915.0847249369108</v>
      </c>
      <c r="I22">
        <f/>
        <v>8062.6652487086794</v>
      </c>
      <c r="J22">
        <f/>
        <v>9787.3321483259078</v>
      </c>
      <c r="K22">
        <f/>
        <v>8634.6670235627535</v>
      </c>
      <c r="L22">
        <f/>
        <v>3772.9352788501565</v>
      </c>
      <c r="M22">
        <f/>
        <v>9585.3280333014463</v>
      </c>
      <c r="N22">
        <f/>
        <v>1632.6105307088255</v>
      </c>
      <c r="O22">
        <f/>
        <v>7247.5243028887198</v>
      </c>
      <c r="P22">
        <f/>
        <v>9317.8040367739177</v>
      </c>
      <c r="Q22">
        <f/>
        <v>7430.3768581124623</v>
      </c>
      <c r="R22">
        <f/>
        <v>6415.9821394916089</v>
      </c>
    </row>
    <row r="23" spans="1:18" x14ac:dyDescent="0.25">
      <c r="E23" s="121" t="str">
        <v>Jacqie Penee</v>
      </c>
      <c r="F23" s="174">
        <f/>
        <v>60169.437102809898</v>
      </c>
      <c r="G23">
        <f/>
        <v>7263.3725972473494</v>
      </c>
      <c r="H23">
        <f/>
        <v>4269.1832581988492</v>
      </c>
      <c r="I23">
        <f/>
        <v>6772.2542632418445</v>
      </c>
      <c r="J23">
        <f/>
        <v>2989.613896176661</v>
      </c>
      <c r="K23">
        <f/>
        <v>1094.9959445481982</v>
      </c>
      <c r="L23">
        <f/>
        <v>8978.1712415202019</v>
      </c>
      <c r="M23">
        <f/>
        <v>9108.887821691611</v>
      </c>
      <c r="N23">
        <f/>
        <v>4932.1792341087403</v>
      </c>
      <c r="O23">
        <f/>
        <v>4190.9199944558495</v>
      </c>
      <c r="P23">
        <f/>
        <v>4652.8693016806847</v>
      </c>
      <c r="Q23">
        <f/>
        <v>3714.2642322444844</v>
      </c>
      <c r="R23">
        <f/>
        <v>2202.7253176954109</v>
      </c>
    </row>
    <row r="24" spans="1:18" x14ac:dyDescent="0.25">
      <c r="E24" s="121" t="str">
        <v>Amazonia</v>
      </c>
      <c r="F24" s="174">
        <f/>
        <v>62043.866965536385</v>
      </c>
      <c r="G24">
        <f/>
        <v>1974.2328667137972</v>
      </c>
      <c r="H24">
        <f/>
        <v>5403.1317178657137</v>
      </c>
      <c r="I24">
        <f/>
        <v>1882.1894824609208</v>
      </c>
      <c r="J24">
        <f/>
        <v>7753.2745254056208</v>
      </c>
      <c r="K24">
        <f/>
        <v>1935.2863762562229</v>
      </c>
      <c r="L24">
        <f/>
        <v>9925.9698089778849</v>
      </c>
      <c r="M24">
        <f/>
        <v>3821.5835692540641</v>
      </c>
      <c r="N24">
        <f/>
        <v>1498.6022151323323</v>
      </c>
      <c r="O24">
        <f/>
        <v>5073.3244938373628</v>
      </c>
      <c r="P24">
        <f/>
        <v>3628.6600141312792</v>
      </c>
      <c r="Q24">
        <f/>
        <v>9291.0682039010408</v>
      </c>
      <c r="R24">
        <f/>
        <v>9856.5436916001399</v>
      </c>
    </row>
    <row r="25" spans="1:18" ht="15.75" thickBot="1" x14ac:dyDescent="0.3">
      <c r="E25" s="203" t="s">
        <v>63</v>
      </c>
      <c r="F25" s="171">
        <f>SUM(_xlfn.ANCHORARRAY(G25))</f>
        <v>326441.07248635852</v>
      </c>
      <c r="G25" s="171" cm="1">
        <f t="array" ref="G25:R25">nabla.e.SumColsλ(_xlfn.ANCHORARRAY(G20))</f>
        <v>29321.23355669684</v>
      </c>
      <c r="H25" s="171">
        <f/>
        <v>20545.221459793447</v>
      </c>
      <c r="I25" s="171">
        <f/>
        <v>25741.7029705405</v>
      </c>
      <c r="J25" s="171">
        <f/>
        <v>27421.675362354552</v>
      </c>
      <c r="K25" s="171">
        <f/>
        <v>20029.002396737698</v>
      </c>
      <c r="L25" s="171">
        <f/>
        <v>32301.820398233118</v>
      </c>
      <c r="M25" s="171">
        <f/>
        <v>37354.098033468195</v>
      </c>
      <c r="N25" s="171">
        <f/>
        <v>12492.012252891067</v>
      </c>
      <c r="O25" s="171">
        <f/>
        <v>22814.186970933013</v>
      </c>
      <c r="P25" s="171">
        <f/>
        <v>32130.09075225905</v>
      </c>
      <c r="Q25" s="171">
        <f/>
        <v>37146.979167020821</v>
      </c>
      <c r="R25" s="171">
        <f/>
        <v>29143.04916543018</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customProperties>
    <customPr name="Description" r:id="rId1"/>
  </customProperties>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nabla.e.SumColsλ</v>
      </c>
      <c r="B1" s="270"/>
      <c r="C1" s="270"/>
      <c r="D1" s="270"/>
      <c r="E1" s="270"/>
      <c r="F1" s="270"/>
      <c r="G1" s="270"/>
      <c r="H1" s="270"/>
      <c r="I1" s="270"/>
      <c r="J1" s="270"/>
      <c r="K1" s="270"/>
      <c r="L1" s="270"/>
      <c r="M1" s="270"/>
      <c r="N1" s="270"/>
      <c r="O1" s="270"/>
      <c r="P1" s="270"/>
    </row>
    <row r="2" spans="1:19" x14ac:dyDescent="0.25">
      <c r="A2" s="273" t="s">
        <v>385</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nabla.e.SumColsλ()</f>
        <v>FUNCTION:</v>
      </c>
      <c r="B4" t="str">
        <v>SumColsλ( Array)</v>
      </c>
    </row>
    <row r="5" spans="1:19" x14ac:dyDescent="0.25">
      <c r="A5" t="str">
        <v>DESCRIPTION:</v>
      </c>
      <c r="B5" t="str">
        <v>Get the total of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(nabla.e is assumed to be the module's name)</v>
      </c>
    </row>
    <row r="11" spans="1:19" x14ac:dyDescent="0.25">
      <c r="A11" t="str">
        <v/>
      </c>
      <c r="B11" t="str">
        <v>=nabla.e.SumColsλ(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65790.082892959283</v>
      </c>
      <c r="H17" s="192" cm="1">
        <f t="array" ref="H17:S21">_xlfn.MAKEARRAY(COUNTA(_xlfn.ANCHORARRAY(F17)), COUNTA(_xlfn.ANCHORARRAY(H16)), _xlfn.LAMBDA(_xlpm.r,_xlpm.c, 1000 + MOD(_xlpm.r * 7 + _xlpm.c * 13, 10000 - 1000 + 1)))</f>
        <v>3204.4841327589074</v>
      </c>
      <c r="I17">
        <f/>
        <v>7687.2341118580916</v>
      </c>
      <c r="J17">
        <f/>
        <v>7806.3147645171339</v>
      </c>
      <c r="K17">
        <f/>
        <v>6340.2593946732304</v>
      </c>
      <c r="L17">
        <f/>
        <v>7293.8039123659964</v>
      </c>
      <c r="M17">
        <f/>
        <v>5697.0028460170124</v>
      </c>
      <c r="N17">
        <f/>
        <v>2765.7815170300364</v>
      </c>
      <c r="O17">
        <f/>
        <v>5550.8507352921697</v>
      </c>
      <c r="P17">
        <f/>
        <v>7502.212880979554</v>
      </c>
      <c r="Q17">
        <f/>
        <v>1776.9424299652219</v>
      </c>
      <c r="R17">
        <f/>
        <v>3159.0428064227654</v>
      </c>
      <c r="S17">
        <f/>
        <v>7006.1533610791575</v>
      </c>
    </row>
    <row r="18" spans="1:19" x14ac:dyDescent="0.25">
      <c r="A18" t="s">
        <v>141</v>
      </c>
      <c r="B18">
        <v>12</v>
      </c>
      <c r="C18" t="s">
        <v>146</v>
      </c>
      <c r="F18" t="str">
        <v>Wool*Art</v>
      </c>
      <c r="G18">
        <f/>
        <v>67953.257858987388</v>
      </c>
      <c r="H18">
        <f/>
        <v>9744.127410604362</v>
      </c>
      <c r="I18">
        <f/>
        <v>6657.2060069204181</v>
      </c>
      <c r="J18">
        <f/>
        <v>4231.7876377644843</v>
      </c>
      <c r="K18">
        <f/>
        <v>8469.9618284807584</v>
      </c>
      <c r="L18">
        <f/>
        <v>5498.7572168808201</v>
      </c>
      <c r="M18">
        <f/>
        <v>8243.3272707922315</v>
      </c>
      <c r="N18">
        <f/>
        <v>2421.9589610449893</v>
      </c>
      <c r="O18">
        <f/>
        <v>3266.2046968940413</v>
      </c>
      <c r="P18">
        <f/>
        <v>7376.0001095222033</v>
      </c>
      <c r="Q18">
        <f/>
        <v>9809.1519251024238</v>
      </c>
      <c r="R18">
        <f/>
        <v>1036.9068959977994</v>
      </c>
      <c r="S18">
        <f/>
        <v>1197.8678989828477</v>
      </c>
    </row>
    <row r="19" spans="1:19" x14ac:dyDescent="0.25">
      <c r="A19" t="s">
        <v>142</v>
      </c>
      <c r="B19" t="s">
        <v>144</v>
      </c>
      <c r="F19" t="str">
        <v>Town Hall</v>
      </c>
      <c r="G19">
        <f/>
        <v>49474.467103212141</v>
      </c>
      <c r="H19">
        <f/>
        <v>2871.2072254874947</v>
      </c>
      <c r="I19">
        <f/>
        <v>6791.494246783277</v>
      </c>
      <c r="J19">
        <f/>
        <v>3067.1439347602372</v>
      </c>
      <c r="K19">
        <f/>
        <v>4624.1462940542697</v>
      </c>
      <c r="L19">
        <f/>
        <v>1994.6463022976368</v>
      </c>
      <c r="M19">
        <f/>
        <v>1658.144771867137</v>
      </c>
      <c r="N19">
        <f/>
        <v>1925.1282211469243</v>
      </c>
      <c r="O19">
        <f/>
        <v>5536.711462383073</v>
      </c>
      <c r="P19">
        <f/>
        <v>1578.7045548230908</v>
      </c>
      <c r="Q19">
        <f/>
        <v>6139.9248662564896</v>
      </c>
      <c r="R19">
        <f/>
        <v>5397.7064160959744</v>
      </c>
      <c r="S19">
        <f/>
        <v>7889.5088072565395</v>
      </c>
    </row>
    <row r="20" spans="1:19" x14ac:dyDescent="0.25">
      <c r="F20" t="str">
        <v>Jacqie Penee</v>
      </c>
      <c r="G20">
        <f/>
        <v>74620.556104386254</v>
      </c>
      <c r="H20">
        <f/>
        <v>4283.2656805869847</v>
      </c>
      <c r="I20">
        <f/>
        <v>1619.2557135637107</v>
      </c>
      <c r="J20">
        <f/>
        <v>6635.1818593479529</v>
      </c>
      <c r="K20">
        <f/>
        <v>9363.4608544285238</v>
      </c>
      <c r="L20">
        <f/>
        <v>3716.7494754711661</v>
      </c>
      <c r="M20">
        <f/>
        <v>8608.6615436660068</v>
      </c>
      <c r="N20">
        <f/>
        <v>6386.7504431093366</v>
      </c>
      <c r="O20">
        <f/>
        <v>9910.2643444385467</v>
      </c>
      <c r="P20">
        <f/>
        <v>4720.3590586519895</v>
      </c>
      <c r="Q20">
        <f/>
        <v>9077.9414744741443</v>
      </c>
      <c r="R20">
        <f/>
        <v>4872.3111541920916</v>
      </c>
      <c r="S20">
        <f/>
        <v>5426.3545024558098</v>
      </c>
    </row>
    <row r="21" spans="1:19" x14ac:dyDescent="0.25">
      <c r="F21" t="str">
        <v>Amazonia</v>
      </c>
      <c r="G21">
        <f/>
        <v>80328.671381449705</v>
      </c>
      <c r="H21">
        <f/>
        <v>7417.0317682773584</v>
      </c>
      <c r="I21">
        <f/>
        <v>2306.4264530335367</v>
      </c>
      <c r="J21">
        <f/>
        <v>4030.6971310272402</v>
      </c>
      <c r="K21">
        <f/>
        <v>9780.0365508725117</v>
      </c>
      <c r="L21">
        <f/>
        <v>6990.4824183023011</v>
      </c>
      <c r="M21">
        <f/>
        <v>7389.009574303198</v>
      </c>
      <c r="N21">
        <f/>
        <v>5844.983321716214</v>
      </c>
      <c r="O21">
        <f/>
        <v>7280.4802452572276</v>
      </c>
      <c r="P21">
        <f/>
        <v>7884.7145225271925</v>
      </c>
      <c r="Q21">
        <f/>
        <v>8040.6455639435771</v>
      </c>
      <c r="R21">
        <f/>
        <v>5945.7380098719768</v>
      </c>
      <c r="S21">
        <f/>
        <v>7418.4258223173856</v>
      </c>
    </row>
    <row r="22" spans="1:19" x14ac:dyDescent="0.25">
      <c r="F22" s="167" t="s">
        <v>283</v>
      </c>
      <c r="G22" s="167">
        <f>SUM(_xlfn.ANCHORARRAY(H22))</f>
        <v>338167.03534099483</v>
      </c>
      <c r="H22" s="204" cm="1">
        <f t="array" ref="H22:S22">nabla.e.SumColsλ(_xlfn.ANCHORARRAY(H17))</f>
        <v>27520.116217715105</v>
      </c>
      <c r="I22" s="167">
        <f/>
        <v>25061.616532159031</v>
      </c>
      <c r="J22" s="167">
        <f/>
        <v>25771.125327417052</v>
      </c>
      <c r="K22" s="167">
        <f/>
        <v>38577.864922509296</v>
      </c>
      <c r="L22" s="167">
        <f/>
        <v>25494.439325317922</v>
      </c>
      <c r="M22" s="167">
        <f/>
        <v>31596.146006645584</v>
      </c>
      <c r="N22" s="167">
        <f/>
        <v>19344.602464047501</v>
      </c>
      <c r="O22" s="167">
        <f/>
        <v>31544.511484265058</v>
      </c>
      <c r="P22" s="167">
        <f/>
        <v>29061.991126504028</v>
      </c>
      <c r="Q22" s="167">
        <f/>
        <v>34844.606259741857</v>
      </c>
      <c r="R22" s="167">
        <f/>
        <v>20411.705282580609</v>
      </c>
      <c r="S22" s="167">
        <f/>
        <v>28938.310392091738</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customProperties>
    <customPr name="Description" r:id="rId1"/>
  </customProperties>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nabla.e.AvgRowsλ</v>
      </c>
      <c r="B1" s="270"/>
      <c r="C1" s="270"/>
      <c r="D1" s="270"/>
      <c r="E1" s="270"/>
      <c r="F1" s="270"/>
      <c r="G1" s="270"/>
      <c r="H1" s="270"/>
      <c r="I1" s="270"/>
      <c r="J1" s="270"/>
      <c r="K1" s="270"/>
    </row>
    <row r="2" spans="1:18" x14ac:dyDescent="0.25">
      <c r="A2" s="273" t="s">
        <v>384</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nabla.e.AvgRowsλ()</f>
        <v>FUNCTION:</v>
      </c>
      <c r="B4" t="str">
        <v>AvgRowsλ( Array)</v>
      </c>
    </row>
    <row r="5" spans="1:18" x14ac:dyDescent="0.25">
      <c r="A5" t="str">
        <v>DESCRIPTION:</v>
      </c>
      <c r="B5" t="str">
        <v>Get the average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(nabla.e is assumed to be the module's name)</v>
      </c>
    </row>
    <row r="11" spans="1:18" x14ac:dyDescent="0.25">
      <c r="A11" t="str">
        <v/>
      </c>
      <c r="B11" t="str">
        <v>=nabla.e.AvgRowsλ(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nabla.e.AvgRowsλ(_xlfn.ANCHORARRAY(G17))</f>
        <v>5317.0694354970619</v>
      </c>
      <c r="G17" s="235" cm="1">
        <f t="array" ref="G17:R21">_xlfn.MAKEARRAY(COUNTA(_xlfn.ANCHORARRAY( E17)), COUNTA(_xlfn.ANCHORARRAY( G16)), _xlfn.LAMBDA(_xlpm.r,_xlpm.c, 1000 + MOD(_xlpm.r * 7 + _xlpm.c * 13, 10000 - 1000 + 1)))</f>
        <v>4610.0341445928025</v>
      </c>
      <c r="H17">
        <f/>
        <v>6994.0074743131281</v>
      </c>
      <c r="I17">
        <f/>
        <v>1794.5770659256996</v>
      </c>
      <c r="J17">
        <f/>
        <v>5361.9795018419827</v>
      </c>
      <c r="K17">
        <f/>
        <v>3384.0226485751609</v>
      </c>
      <c r="L17">
        <f/>
        <v>5700.6690820789718</v>
      </c>
      <c r="M17">
        <f/>
        <v>4995.4886815660684</v>
      </c>
      <c r="N17">
        <f/>
        <v>7452.0984920195842</v>
      </c>
      <c r="O17">
        <f/>
        <v>5375.6087074471707</v>
      </c>
      <c r="P17">
        <f/>
        <v>1694.8455330568722</v>
      </c>
      <c r="Q17">
        <f/>
        <v>6459.7907446472527</v>
      </c>
      <c r="R17">
        <f/>
        <v>9981.7111499000439</v>
      </c>
    </row>
    <row r="18" spans="1:18" x14ac:dyDescent="0.25">
      <c r="A18" t="s">
        <v>141</v>
      </c>
      <c r="B18">
        <v>12</v>
      </c>
      <c r="C18" t="s">
        <v>146</v>
      </c>
      <c r="E18" s="121" t="str">
        <v>Wool*Art</v>
      </c>
      <c r="F18" s="174">
        <f/>
        <v>5128.1349627996633</v>
      </c>
      <c r="G18" s="174">
        <f/>
        <v>4288.8368192564849</v>
      </c>
      <c r="H18">
        <f/>
        <v>6821.357323423028</v>
      </c>
      <c r="I18">
        <f/>
        <v>5272.7555308938972</v>
      </c>
      <c r="J18">
        <f/>
        <v>7210.7946691718626</v>
      </c>
      <c r="K18">
        <f/>
        <v>5416.5627620589785</v>
      </c>
      <c r="L18">
        <f/>
        <v>6821.1863872789818</v>
      </c>
      <c r="M18">
        <f/>
        <v>3297.5655125653921</v>
      </c>
      <c r="N18">
        <f/>
        <v>5756.0848822297467</v>
      </c>
      <c r="O18">
        <f/>
        <v>6058.9112869940054</v>
      </c>
      <c r="P18">
        <f/>
        <v>3629.4568583206492</v>
      </c>
      <c r="Q18">
        <f/>
        <v>4177.0960285195633</v>
      </c>
      <c r="R18">
        <f/>
        <v>2787.0114928833627</v>
      </c>
    </row>
    <row r="19" spans="1:18" x14ac:dyDescent="0.25">
      <c r="A19" t="s">
        <v>142</v>
      </c>
      <c r="B19" t="s">
        <v>24</v>
      </c>
      <c r="E19" s="121" t="str">
        <v>Town Hall</v>
      </c>
      <c r="F19" s="174">
        <f/>
        <v>5873.5252015078831</v>
      </c>
      <c r="G19" s="174">
        <f/>
        <v>4475.7853815471335</v>
      </c>
      <c r="H19">
        <f/>
        <v>6078.1869472566741</v>
      </c>
      <c r="I19">
        <f/>
        <v>8715.1377446674487</v>
      </c>
      <c r="J19">
        <f/>
        <v>6679.3028773176484</v>
      </c>
      <c r="K19">
        <f/>
        <v>1545.3122750198399</v>
      </c>
      <c r="L19">
        <f/>
        <v>9885.9971661953496</v>
      </c>
      <c r="M19">
        <f/>
        <v>9632.8676625492444</v>
      </c>
      <c r="N19">
        <f/>
        <v>1142.6359361725808</v>
      </c>
      <c r="O19">
        <f/>
        <v>4923.1895535536423</v>
      </c>
      <c r="P19">
        <f/>
        <v>7094.4505294560367</v>
      </c>
      <c r="Q19">
        <f/>
        <v>6041.8167540017675</v>
      </c>
      <c r="R19">
        <f/>
        <v>4267.6195903572061</v>
      </c>
    </row>
    <row r="20" spans="1:18" x14ac:dyDescent="0.25">
      <c r="E20" s="121" t="str">
        <v>Jacqie Penee</v>
      </c>
      <c r="F20" s="174">
        <f/>
        <v>4590.7347776639235</v>
      </c>
      <c r="G20">
        <f/>
        <v>8146.0847094268847</v>
      </c>
      <c r="H20">
        <f/>
        <v>8966.3579775846611</v>
      </c>
      <c r="I20">
        <f/>
        <v>5543.592994716606</v>
      </c>
      <c r="J20">
        <f/>
        <v>4276.3183806907273</v>
      </c>
      <c r="K20">
        <f/>
        <v>1481.0496008512146</v>
      </c>
      <c r="L20">
        <f/>
        <v>5667.6704859646852</v>
      </c>
      <c r="M20">
        <f/>
        <v>1570.172870276343</v>
      </c>
      <c r="N20">
        <f/>
        <v>1200.7673871846509</v>
      </c>
      <c r="O20">
        <f/>
        <v>5275.2770679907189</v>
      </c>
      <c r="P20">
        <f/>
        <v>1527.681535457572</v>
      </c>
      <c r="Q20">
        <f/>
        <v>7961.6663253298066</v>
      </c>
      <c r="R20">
        <f/>
        <v>3472.1779964932139</v>
      </c>
    </row>
    <row r="21" spans="1:18" x14ac:dyDescent="0.25">
      <c r="E21" s="121" t="str">
        <v>Amazonia</v>
      </c>
      <c r="F21" s="174">
        <f/>
        <v>6473.0814491959572</v>
      </c>
      <c r="G21">
        <f/>
        <v>7481.4332569323469</v>
      </c>
      <c r="H21">
        <f/>
        <v>9524.4738115030577</v>
      </c>
      <c r="I21">
        <f/>
        <v>3086.6187894590803</v>
      </c>
      <c r="J21">
        <f/>
        <v>4722.8913470982061</v>
      </c>
      <c r="K21">
        <f/>
        <v>8575.8710564514258</v>
      </c>
      <c r="L21">
        <f/>
        <v>6592.3498129916006</v>
      </c>
      <c r="M21">
        <f/>
        <v>8785.0997014474815</v>
      </c>
      <c r="N21">
        <f/>
        <v>5552.2059197669914</v>
      </c>
      <c r="O21">
        <f/>
        <v>7174.1053330328814</v>
      </c>
      <c r="P21">
        <f/>
        <v>3719.102064852299</v>
      </c>
      <c r="Q21">
        <f/>
        <v>5983.4378340372805</v>
      </c>
      <c r="R21">
        <f/>
        <v>6479.388462778832</v>
      </c>
    </row>
    <row r="22" spans="1:18" ht="15.75" thickBot="1" x14ac:dyDescent="0.3">
      <c r="E22" s="203" t="s">
        <v>63</v>
      </c>
      <c r="F22" s="171">
        <f>SUM(_xlfn.ANCHORARRAY(G22))</f>
        <v>328590.54991997383</v>
      </c>
      <c r="G22" s="171" cm="1">
        <f t="array" ref="G22:R22">nabla.e.SumColsλ(_xlfn.ANCHORARRAY(G17))</f>
        <v>29002.174311755654</v>
      </c>
      <c r="H22" s="171">
        <f/>
        <v>38384.383534080545</v>
      </c>
      <c r="I22" s="171">
        <f/>
        <v>24412.682125662734</v>
      </c>
      <c r="J22" s="171">
        <f/>
        <v>28251.286776120425</v>
      </c>
      <c r="K22" s="171">
        <f/>
        <v>20402.81834295662</v>
      </c>
      <c r="L22" s="171">
        <f/>
        <v>34667.872934509593</v>
      </c>
      <c r="M22" s="171">
        <f/>
        <v>28281.194428404528</v>
      </c>
      <c r="N22" s="171">
        <f/>
        <v>21103.792617373554</v>
      </c>
      <c r="O22" s="171">
        <f/>
        <v>28807.091949018417</v>
      </c>
      <c r="P22" s="171">
        <f/>
        <v>17665.536521143429</v>
      </c>
      <c r="Q22" s="171">
        <f/>
        <v>30623.807686535671</v>
      </c>
      <c r="R22" s="171">
        <f/>
        <v>26987.908692412657</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customProperties>
    <customPr name="Description" r:id="rId1"/>
  </customPropertie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nabla.e.AvgColsλ</v>
      </c>
      <c r="B1" s="270"/>
      <c r="C1" s="270"/>
      <c r="D1" s="270"/>
      <c r="E1" s="270"/>
      <c r="F1" s="270"/>
      <c r="G1" s="270"/>
      <c r="H1" s="270"/>
      <c r="I1" s="270"/>
      <c r="J1" s="270"/>
      <c r="K1" s="270"/>
      <c r="L1" s="270"/>
      <c r="M1" s="270"/>
      <c r="N1" s="270"/>
      <c r="O1" s="270"/>
      <c r="P1" s="270"/>
    </row>
    <row r="2" spans="1:19" x14ac:dyDescent="0.25">
      <c r="A2" s="273" t="s">
        <v>383</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nabla.e.AvgColsλ()</f>
        <v>FUNCTION:</v>
      </c>
      <c r="B4" t="str">
        <v>SumColsλ( Array)</v>
      </c>
    </row>
    <row r="5" spans="1:19" x14ac:dyDescent="0.25">
      <c r="A5" t="str">
        <v>DESCRIPTION:</v>
      </c>
      <c r="B5" t="str">
        <v>Get the average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(nabla.e is assumed to be the module's name)</v>
      </c>
    </row>
    <row r="11" spans="1:19" x14ac:dyDescent="0.25">
      <c r="A11" t="str">
        <v/>
      </c>
      <c r="B11" t="str">
        <v>=nabla.e.AvgColsλ(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65523.062848063681</v>
      </c>
      <c r="H17" s="192" cm="1">
        <f t="array" ref="H17:S21">_xlfn.MAKEARRAY(COUNTA(_xlfn.ANCHORARRAY(F17)), COUNTA(_xlfn.ANCHORARRAY(H16)), _xlfn.LAMBDA(_xlpm.r,_xlpm.c, 100 + MOD(_xlpm.r * 7 + _xlpm.c * 13, 10000 - 100 + 1)))</f>
        <v>8877.707386065782</v>
      </c>
      <c r="I17">
        <f/>
        <v>5848.01500121348</v>
      </c>
      <c r="J17">
        <f/>
        <v>7009.8923744683434</v>
      </c>
      <c r="K17">
        <f/>
        <v>2363.0147109371228</v>
      </c>
      <c r="L17">
        <f/>
        <v>9033.0272156849242</v>
      </c>
      <c r="M17">
        <f/>
        <v>5409.3427084638279</v>
      </c>
      <c r="N17">
        <f/>
        <v>4382.9810780797015</v>
      </c>
      <c r="O17">
        <f/>
        <v>9591.5389882953932</v>
      </c>
      <c r="P17">
        <f/>
        <v>199.953889286513</v>
      </c>
      <c r="Q17">
        <f/>
        <v>1070.0567330283666</v>
      </c>
      <c r="R17">
        <f/>
        <v>2769.2282195702501</v>
      </c>
      <c r="S17">
        <f/>
        <v>8968.304542969996</v>
      </c>
    </row>
    <row r="18" spans="1:19" x14ac:dyDescent="0.25">
      <c r="A18" t="s">
        <v>141</v>
      </c>
      <c r="B18">
        <v>12</v>
      </c>
      <c r="C18" t="s">
        <v>146</v>
      </c>
      <c r="F18" t="str">
        <v>Wool*Art</v>
      </c>
      <c r="G18">
        <f/>
        <v>62011.984340121337</v>
      </c>
      <c r="H18">
        <f/>
        <v>4857.2050884969885</v>
      </c>
      <c r="I18">
        <f/>
        <v>9849.0603773283365</v>
      </c>
      <c r="J18">
        <f/>
        <v>8427.8693560557749</v>
      </c>
      <c r="K18">
        <f/>
        <v>8973.555824969384</v>
      </c>
      <c r="L18">
        <f/>
        <v>8422.24146786854</v>
      </c>
      <c r="M18">
        <f/>
        <v>7283.3770706303294</v>
      </c>
      <c r="N18">
        <f/>
        <v>1843.9192710079042</v>
      </c>
      <c r="O18">
        <f/>
        <v>8768.8085430402225</v>
      </c>
      <c r="P18">
        <f/>
        <v>1779.9172294325872</v>
      </c>
      <c r="Q18">
        <f/>
        <v>331.96617179166424</v>
      </c>
      <c r="R18">
        <f/>
        <v>768.34324658467813</v>
      </c>
      <c r="S18">
        <f/>
        <v>705.72069291492517</v>
      </c>
    </row>
    <row r="19" spans="1:19" x14ac:dyDescent="0.25">
      <c r="A19" t="s">
        <v>142</v>
      </c>
      <c r="B19" t="s">
        <v>144</v>
      </c>
      <c r="F19" t="str">
        <v>Town Hall</v>
      </c>
      <c r="G19">
        <f/>
        <v>58603.87506669874</v>
      </c>
      <c r="H19">
        <f/>
        <v>6472.8729776914315</v>
      </c>
      <c r="I19">
        <f/>
        <v>5671.2086450484312</v>
      </c>
      <c r="J19">
        <f/>
        <v>1551.1820467678099</v>
      </c>
      <c r="K19">
        <f/>
        <v>6616.9109024250702</v>
      </c>
      <c r="L19">
        <f/>
        <v>9881.0468351223062</v>
      </c>
      <c r="M19">
        <f/>
        <v>6876.152746444528</v>
      </c>
      <c r="N19">
        <f/>
        <v>4832.2500041573494</v>
      </c>
      <c r="O19">
        <f/>
        <v>5783.8563084001071</v>
      </c>
      <c r="P19">
        <f/>
        <v>4294.962667148593</v>
      </c>
      <c r="Q19">
        <f/>
        <v>2678.5646596905099</v>
      </c>
      <c r="R19">
        <f/>
        <v>2055.7968242412044</v>
      </c>
      <c r="S19">
        <f/>
        <v>1889.0704495613954</v>
      </c>
    </row>
    <row r="20" spans="1:19" x14ac:dyDescent="0.25">
      <c r="F20" t="str">
        <v>Jacqie Penee</v>
      </c>
      <c r="G20">
        <f/>
        <v>58618.312610622597</v>
      </c>
      <c r="H20">
        <f/>
        <v>686.62207554787346</v>
      </c>
      <c r="I20">
        <f/>
        <v>393.10396696106909</v>
      </c>
      <c r="J20">
        <f/>
        <v>8865.9659180578983</v>
      </c>
      <c r="K20">
        <f/>
        <v>1113.2813545457975</v>
      </c>
      <c r="L20">
        <f/>
        <v>5794.4887434502307</v>
      </c>
      <c r="M20">
        <f/>
        <v>6941.2708690822365</v>
      </c>
      <c r="N20">
        <f/>
        <v>7823.9184186346611</v>
      </c>
      <c r="O20">
        <f/>
        <v>4475.6264659335229</v>
      </c>
      <c r="P20">
        <f/>
        <v>6376.0731407060448</v>
      </c>
      <c r="Q20">
        <f/>
        <v>4707.1519127799529</v>
      </c>
      <c r="R20">
        <f/>
        <v>6893.034553365278</v>
      </c>
      <c r="S20">
        <f/>
        <v>4547.7751915580302</v>
      </c>
    </row>
    <row r="21" spans="1:19" x14ac:dyDescent="0.25">
      <c r="F21" t="str">
        <v>Amazonia</v>
      </c>
      <c r="G21">
        <f/>
        <v>67578.493413903168</v>
      </c>
      <c r="H21">
        <f/>
        <v>9960.6613612300389</v>
      </c>
      <c r="I21">
        <f/>
        <v>4165.224522505785</v>
      </c>
      <c r="J21">
        <f/>
        <v>9590.7637615684744</v>
      </c>
      <c r="K21">
        <f/>
        <v>2925.9051828185675</v>
      </c>
      <c r="L21">
        <f/>
        <v>943.07596328275758</v>
      </c>
      <c r="M21">
        <f/>
        <v>1336.5874433871195</v>
      </c>
      <c r="N21">
        <f/>
        <v>9832.1544649109692</v>
      </c>
      <c r="O21">
        <f/>
        <v>9735.6383084413392</v>
      </c>
      <c r="P21">
        <f/>
        <v>5369.4400863950705</v>
      </c>
      <c r="Q21">
        <f/>
        <v>5378.8656615932014</v>
      </c>
      <c r="R21">
        <f/>
        <v>2922.1341186483878</v>
      </c>
      <c r="S21">
        <f/>
        <v>5418.0425391214467</v>
      </c>
    </row>
    <row r="22" spans="1:19" x14ac:dyDescent="0.25">
      <c r="F22" s="167" t="s">
        <v>283</v>
      </c>
      <c r="G22" s="167">
        <f>SUM(_xlfn.ANCHORARRAY(H22))</f>
        <v>62467.145655881905</v>
      </c>
      <c r="H22" s="204" cm="1">
        <f t="array" ref="H22:S22">nabla.e.AvgColsλ(_xlfn.ANCHORARRAY(H17))</f>
        <v>6171.0137778064227</v>
      </c>
      <c r="I22" s="167">
        <f/>
        <v>5185.3225026114205</v>
      </c>
      <c r="J22" s="167">
        <f/>
        <v>7089.1346913836587</v>
      </c>
      <c r="K22" s="167">
        <f/>
        <v>4398.533595139188</v>
      </c>
      <c r="L22" s="167">
        <f/>
        <v>6814.7760450817495</v>
      </c>
      <c r="M22" s="167">
        <f/>
        <v>5569.3461676016086</v>
      </c>
      <c r="N22" s="167">
        <f/>
        <v>5743.0446473581178</v>
      </c>
      <c r="O22" s="167">
        <f/>
        <v>7671.0937228221173</v>
      </c>
      <c r="P22" s="167">
        <f/>
        <v>3604.0694025937614</v>
      </c>
      <c r="Q22" s="167">
        <f/>
        <v>2833.3210277767389</v>
      </c>
      <c r="R22" s="167">
        <f/>
        <v>3081.7073924819597</v>
      </c>
      <c r="S22" s="167">
        <f/>
        <v>4305.7826832251585</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customProperties>
    <customPr name="Description" r:id="rId1"/>
  </customPropertie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nabla.e.MinRowsλ</v>
      </c>
      <c r="B1" s="270"/>
      <c r="C1" s="270"/>
      <c r="D1" s="270"/>
      <c r="E1" s="270"/>
      <c r="F1" s="270"/>
      <c r="G1" s="270"/>
      <c r="H1" s="270"/>
      <c r="I1" s="270"/>
      <c r="J1" s="270"/>
      <c r="K1" s="270"/>
    </row>
    <row r="2" spans="1:18" x14ac:dyDescent="0.25">
      <c r="A2" s="273" t="s">
        <v>386</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nabla.e.MinRowsλ()</f>
        <v>FUNCTION:</v>
      </c>
      <c r="B4" t="str">
        <v>MinRowsλ( Array)</v>
      </c>
    </row>
    <row r="5" spans="1:18" x14ac:dyDescent="0.25">
      <c r="A5" t="str">
        <v>DESCRIPTION:</v>
      </c>
      <c r="B5" t="str">
        <v>Get the minimum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(nabla.e is assumed to be the module's name)</v>
      </c>
    </row>
    <row r="11" spans="1:18" x14ac:dyDescent="0.25">
      <c r="A11" t="str">
        <v/>
      </c>
      <c r="B11" t="str">
        <v>=nabla.e.MinRowsλ(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nabla.e.MinRowsλ(_xlfn.ANCHORARRAY(G17))</f>
        <v>1089.8429780705537</v>
      </c>
      <c r="G17" s="235" cm="1">
        <f t="array" ref="G17:R21">_xlfn.MAKEARRAY(COUNTA(_xlfn.ANCHORARRAY(E17)), COUNTA(_xlfn.ANCHORARRAY(G16)), _xlfn.LAMBDA(_xlpm.r,_xlpm.c, 100 + MOD(_xlpm.r * 7 + _xlpm.c * 13, 10000 - 100 + 1)))</f>
        <v>7175.1103393423346</v>
      </c>
      <c r="H17">
        <f/>
        <v>9200.6334875714183</v>
      </c>
      <c r="I17">
        <f/>
        <v>1089.8429780705537</v>
      </c>
      <c r="J17">
        <f/>
        <v>9538.7264992937289</v>
      </c>
      <c r="K17">
        <f/>
        <v>9077.8062714049629</v>
      </c>
      <c r="L17">
        <f/>
        <v>4702.6282500558664</v>
      </c>
      <c r="M17">
        <f/>
        <v>1186.3622492447776</v>
      </c>
      <c r="N17">
        <f/>
        <v>6519.9696630430517</v>
      </c>
      <c r="O17">
        <f/>
        <v>8783.3493267083886</v>
      </c>
      <c r="P17">
        <f/>
        <v>1573.6081421260478</v>
      </c>
      <c r="Q17">
        <f/>
        <v>4605.4536376904489</v>
      </c>
      <c r="R17">
        <f/>
        <v>1473.1176545879734</v>
      </c>
    </row>
    <row r="18" spans="1:18" x14ac:dyDescent="0.25">
      <c r="A18" t="s">
        <v>141</v>
      </c>
      <c r="B18">
        <v>12</v>
      </c>
      <c r="C18" t="s">
        <v>146</v>
      </c>
      <c r="E18" s="121" t="str">
        <v>Wool*Art</v>
      </c>
      <c r="F18" s="174">
        <f/>
        <v>809.48715643598007</v>
      </c>
      <c r="G18" s="174">
        <f/>
        <v>3229.1501451317454</v>
      </c>
      <c r="H18">
        <f/>
        <v>1912.8558325847916</v>
      </c>
      <c r="I18">
        <f/>
        <v>9102.8990955414447</v>
      </c>
      <c r="J18">
        <f/>
        <v>1060.8462218416917</v>
      </c>
      <c r="K18">
        <f/>
        <v>3781.123645127358</v>
      </c>
      <c r="L18">
        <f/>
        <v>5683.9694575509293</v>
      </c>
      <c r="M18">
        <f/>
        <v>5419.5178987111631</v>
      </c>
      <c r="N18">
        <f/>
        <v>9510.1603282207361</v>
      </c>
      <c r="O18">
        <f/>
        <v>9243.4193718649003</v>
      </c>
      <c r="P18">
        <f/>
        <v>5188.4232430746815</v>
      </c>
      <c r="Q18">
        <f/>
        <v>1471.473536689804</v>
      </c>
      <c r="R18">
        <f/>
        <v>809.48715643598007</v>
      </c>
    </row>
    <row r="19" spans="1:18" x14ac:dyDescent="0.25">
      <c r="A19" t="s">
        <v>142</v>
      </c>
      <c r="B19" t="s">
        <v>24</v>
      </c>
      <c r="E19" s="121" t="str">
        <v>Town Hall</v>
      </c>
      <c r="F19" s="174">
        <f/>
        <v>215.15587905857319</v>
      </c>
      <c r="G19" s="174">
        <f/>
        <v>6039.6383196754978</v>
      </c>
      <c r="H19">
        <f/>
        <v>2455.3740390047733</v>
      </c>
      <c r="I19">
        <f/>
        <v>2531.8180590257252</v>
      </c>
      <c r="J19">
        <f/>
        <v>215.15587905857319</v>
      </c>
      <c r="K19">
        <f/>
        <v>9456.7777110983843</v>
      </c>
      <c r="L19">
        <f/>
        <v>5112.4796497007756</v>
      </c>
      <c r="M19">
        <f/>
        <v>6901.212091206502</v>
      </c>
      <c r="N19">
        <f/>
        <v>521.10532579817664</v>
      </c>
      <c r="O19">
        <f/>
        <v>4872.2522147307209</v>
      </c>
      <c r="P19">
        <f/>
        <v>8434.3095224043955</v>
      </c>
      <c r="Q19">
        <f/>
        <v>2179.7946798013018</v>
      </c>
      <c r="R19">
        <f/>
        <v>2160.8014757720903</v>
      </c>
    </row>
    <row r="20" spans="1:18" x14ac:dyDescent="0.25">
      <c r="E20" s="121" t="str">
        <v>Jacqie Penee</v>
      </c>
      <c r="F20" s="174">
        <f/>
        <v>1472.1439435436841</v>
      </c>
      <c r="G20">
        <f/>
        <v>1472.1439435436841</v>
      </c>
      <c r="H20">
        <f/>
        <v>7588.5541459525684</v>
      </c>
      <c r="I20">
        <f/>
        <v>2853.3443264725011</v>
      </c>
      <c r="J20">
        <f/>
        <v>3514.8509469349792</v>
      </c>
      <c r="K20">
        <f/>
        <v>7926.3988380443625</v>
      </c>
      <c r="L20">
        <f/>
        <v>8320.5418178316195</v>
      </c>
      <c r="M20">
        <f/>
        <v>4023.2600939787226</v>
      </c>
      <c r="N20">
        <f/>
        <v>6216.295765897401</v>
      </c>
      <c r="O20">
        <f/>
        <v>8834.3968085039178</v>
      </c>
      <c r="P20">
        <f/>
        <v>6383.908369696288</v>
      </c>
      <c r="Q20">
        <f/>
        <v>2335.3496083653408</v>
      </c>
      <c r="R20">
        <f/>
        <v>9652.6749845450668</v>
      </c>
    </row>
    <row r="21" spans="1:18" x14ac:dyDescent="0.25">
      <c r="E21" s="121" t="str">
        <v>Amazonia</v>
      </c>
      <c r="F21" s="174">
        <f/>
        <v>301.64979089591907</v>
      </c>
      <c r="G21">
        <f/>
        <v>9467.0949419288681</v>
      </c>
      <c r="H21">
        <f/>
        <v>301.64979089591907</v>
      </c>
      <c r="I21">
        <f/>
        <v>4720.9937091546926</v>
      </c>
      <c r="J21">
        <f/>
        <v>2236.4015730877709</v>
      </c>
      <c r="K21">
        <f/>
        <v>8962.667730059251</v>
      </c>
      <c r="L21">
        <f/>
        <v>5591.995663306956</v>
      </c>
      <c r="M21">
        <f/>
        <v>8265.1892260050681</v>
      </c>
      <c r="N21">
        <f/>
        <v>409.87653810499796</v>
      </c>
      <c r="O21">
        <f/>
        <v>2538.8969018471489</v>
      </c>
      <c r="P21">
        <f/>
        <v>2459.1549743590003</v>
      </c>
      <c r="Q21">
        <f/>
        <v>3650.0277695163313</v>
      </c>
      <c r="R21">
        <f/>
        <v>1774.3442996890226</v>
      </c>
    </row>
    <row r="22" spans="1:18" ht="15.75" thickBot="1" x14ac:dyDescent="0.3">
      <c r="E22" s="203" t="s">
        <v>63</v>
      </c>
      <c r="F22" s="171">
        <f>SUM(_xlfn.ANCHORARRAY(G22))</f>
        <v>291720.66616691317</v>
      </c>
      <c r="G22" s="171" cm="1">
        <f t="array" ref="G22:R22">nabla.e.SumColsλ(_xlfn.ANCHORARRAY(G17))</f>
        <v>27383.137689622126</v>
      </c>
      <c r="H22" s="171">
        <f/>
        <v>21459.067296009474</v>
      </c>
      <c r="I22" s="171">
        <f/>
        <v>20298.898168264917</v>
      </c>
      <c r="J22" s="171">
        <f/>
        <v>16565.981120216744</v>
      </c>
      <c r="K22" s="171">
        <f/>
        <v>39204.774195734317</v>
      </c>
      <c r="L22" s="171">
        <f/>
        <v>29411.614838446145</v>
      </c>
      <c r="M22" s="171">
        <f/>
        <v>25795.54155914623</v>
      </c>
      <c r="N22" s="171">
        <f/>
        <v>23177.407621064362</v>
      </c>
      <c r="O22" s="171">
        <f/>
        <v>34272.314623655075</v>
      </c>
      <c r="P22" s="171">
        <f/>
        <v>24039.404251660413</v>
      </c>
      <c r="Q22" s="171">
        <f/>
        <v>14242.099232063227</v>
      </c>
      <c r="R22" s="171">
        <f/>
        <v>15870.425571030133</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customProperties>
    <customPr name="Description" r:id="rId1"/>
  </customProperties>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nabla.e.MinColsλ</v>
      </c>
      <c r="B1" s="270"/>
      <c r="C1" s="270"/>
      <c r="D1" s="270"/>
      <c r="E1" s="270"/>
      <c r="F1" s="270"/>
      <c r="G1" s="270"/>
      <c r="H1" s="270"/>
      <c r="I1" s="270"/>
      <c r="J1" s="270"/>
      <c r="K1" s="270"/>
      <c r="L1" s="270"/>
      <c r="M1" s="270"/>
      <c r="N1" s="270"/>
      <c r="O1" s="270"/>
      <c r="P1" s="270"/>
    </row>
    <row r="2" spans="1:19" x14ac:dyDescent="0.25">
      <c r="A2" s="273" t="s">
        <v>382</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nabla.e.MinColsλ()</f>
        <v>FUNCTION:</v>
      </c>
      <c r="B4" t="str">
        <v>MinColsλ(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(nabla.e is assumed to be the module's name)</v>
      </c>
    </row>
    <row r="11" spans="1:19" x14ac:dyDescent="0.25">
      <c r="A11" t="str">
        <v/>
      </c>
      <c r="B11" t="str">
        <v>=nabla.e.MinColsλ(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57868.921032785103</v>
      </c>
      <c r="H17" s="192" cm="1">
        <f t="array" ref="H17:S21">_xlfn.MAKEARRAY(COUNTA(_xlfn.ANCHORARRAY(F17)), COUNTA(_xlfn.ANCHORARRAY(H16)), _xlfn.LAMBDA(_xlpm.r,_xlpm.c, 100 + MOD(_xlpm.r * 7 + _xlpm.c * 13, 10000 - 100 + 1)))</f>
        <v>761.09947765227116</v>
      </c>
      <c r="I17">
        <f/>
        <v>5200.0696730219297</v>
      </c>
      <c r="J17">
        <f/>
        <v>4550.6963784819764</v>
      </c>
      <c r="K17">
        <f/>
        <v>3827.4126995541246</v>
      </c>
      <c r="L17">
        <f/>
        <v>1866.8116304412033</v>
      </c>
      <c r="M17">
        <f/>
        <v>2433.126117002761</v>
      </c>
      <c r="N17">
        <f/>
        <v>5027.1669266396493</v>
      </c>
      <c r="O17">
        <f/>
        <v>7862.4686056424489</v>
      </c>
      <c r="P17">
        <f/>
        <v>7013.2139484406725</v>
      </c>
      <c r="Q17">
        <f/>
        <v>2452.9720068569004</v>
      </c>
      <c r="R17">
        <f/>
        <v>8325.225789936223</v>
      </c>
      <c r="S17">
        <f/>
        <v>8548.6577791149502</v>
      </c>
    </row>
    <row r="18" spans="1:19" x14ac:dyDescent="0.25">
      <c r="A18" t="s">
        <v>141</v>
      </c>
      <c r="B18">
        <v>12</v>
      </c>
      <c r="C18" t="s">
        <v>146</v>
      </c>
      <c r="F18" t="str">
        <v>Wool*Art</v>
      </c>
      <c r="G18">
        <f/>
        <v>46088.610506903613</v>
      </c>
      <c r="H18">
        <f/>
        <v>5499.3527057811589</v>
      </c>
      <c r="I18">
        <f/>
        <v>4905.8148569747718</v>
      </c>
      <c r="J18">
        <f/>
        <v>4167.6610908201928</v>
      </c>
      <c r="K18">
        <f/>
        <v>7764.1743305961736</v>
      </c>
      <c r="L18">
        <f/>
        <v>3159.8780152717209</v>
      </c>
      <c r="M18">
        <f/>
        <v>1432.1834880492352</v>
      </c>
      <c r="N18">
        <f/>
        <v>7123.9472871531616</v>
      </c>
      <c r="O18">
        <f/>
        <v>3546.1313148988083</v>
      </c>
      <c r="P18">
        <f/>
        <v>777.61916274485338</v>
      </c>
      <c r="Q18">
        <f/>
        <v>563.85332593377825</v>
      </c>
      <c r="R18">
        <f/>
        <v>403.82124561791898</v>
      </c>
      <c r="S18">
        <f/>
        <v>6744.1736830618356</v>
      </c>
    </row>
    <row r="19" spans="1:19" x14ac:dyDescent="0.25">
      <c r="A19" t="s">
        <v>142</v>
      </c>
      <c r="B19" t="s">
        <v>144</v>
      </c>
      <c r="F19" t="str">
        <v>Town Hall</v>
      </c>
      <c r="G19">
        <f/>
        <v>77442.991613261489</v>
      </c>
      <c r="H19">
        <f/>
        <v>3085.7728904359628</v>
      </c>
      <c r="I19">
        <f/>
        <v>7226.1631854984134</v>
      </c>
      <c r="J19">
        <f/>
        <v>3253.5294852790321</v>
      </c>
      <c r="K19">
        <f/>
        <v>5082.3947987541796</v>
      </c>
      <c r="L19">
        <f/>
        <v>7444.6312722327493</v>
      </c>
      <c r="M19">
        <f/>
        <v>8575.0002683371622</v>
      </c>
      <c r="N19">
        <f/>
        <v>6836.2446870842305</v>
      </c>
      <c r="O19">
        <f/>
        <v>7109.54627437616</v>
      </c>
      <c r="P19">
        <f/>
        <v>7848.5346663607834</v>
      </c>
      <c r="Q19">
        <f/>
        <v>8711.6296278767586</v>
      </c>
      <c r="R19">
        <f/>
        <v>3368.3286819716468</v>
      </c>
      <c r="S19">
        <f/>
        <v>8901.2157750544084</v>
      </c>
    </row>
    <row r="20" spans="1:19" x14ac:dyDescent="0.25">
      <c r="F20" t="str">
        <v>Jacqie Penee</v>
      </c>
      <c r="G20">
        <f/>
        <v>68005.490862096762</v>
      </c>
      <c r="H20">
        <f/>
        <v>4712.7866529728981</v>
      </c>
      <c r="I20">
        <f/>
        <v>9131.6112543989912</v>
      </c>
      <c r="J20">
        <f/>
        <v>3942.81153571502</v>
      </c>
      <c r="K20">
        <f/>
        <v>9687.6441774518407</v>
      </c>
      <c r="L20">
        <f/>
        <v>7329.3210122713481</v>
      </c>
      <c r="M20">
        <f/>
        <v>2565.0291643114197</v>
      </c>
      <c r="N20">
        <f/>
        <v>3458.4821274529004</v>
      </c>
      <c r="O20">
        <f/>
        <v>1231.0740269311991</v>
      </c>
      <c r="P20">
        <f/>
        <v>9121.5440339095949</v>
      </c>
      <c r="Q20">
        <f/>
        <v>7275.5972599053057</v>
      </c>
      <c r="R20">
        <f/>
        <v>2729.6686383978977</v>
      </c>
      <c r="S20">
        <f/>
        <v>6819.9209783783463</v>
      </c>
    </row>
    <row r="21" spans="1:19" x14ac:dyDescent="0.25">
      <c r="F21" t="str">
        <v>Amazonia</v>
      </c>
      <c r="G21">
        <f/>
        <v>50698.53323307792</v>
      </c>
      <c r="H21">
        <f/>
        <v>4955.6139709667077</v>
      </c>
      <c r="I21">
        <f/>
        <v>1055.2315451643262</v>
      </c>
      <c r="J21">
        <f/>
        <v>1103.0680924124517</v>
      </c>
      <c r="K21">
        <f/>
        <v>690.84649261892264</v>
      </c>
      <c r="L21">
        <f/>
        <v>5359.4629518589009</v>
      </c>
      <c r="M21">
        <f/>
        <v>6733.8068628111632</v>
      </c>
      <c r="N21">
        <f/>
        <v>6795.5116099062707</v>
      </c>
      <c r="O21">
        <f/>
        <v>2404.9004022632362</v>
      </c>
      <c r="P21">
        <f/>
        <v>8532.3388280455401</v>
      </c>
      <c r="Q21">
        <f/>
        <v>5095.0988093626202</v>
      </c>
      <c r="R21">
        <f/>
        <v>1651.6446534522183</v>
      </c>
      <c r="S21">
        <f/>
        <v>6321.0090142155605</v>
      </c>
    </row>
    <row r="22" spans="1:19" x14ac:dyDescent="0.25">
      <c r="F22" s="167" t="s">
        <v>283</v>
      </c>
      <c r="G22" s="167">
        <f>SUM(_xlfn.ANCHORARRAY(H22))</f>
        <v>19665.099629234621</v>
      </c>
      <c r="H22" s="204" cm="1">
        <f t="array" ref="H22:S22">nabla.e.MinColsλ(_xlfn.ANCHORARRAY(H17))</f>
        <v>761.09947765227116</v>
      </c>
      <c r="I22" s="167">
        <f/>
        <v>1055.2315451643262</v>
      </c>
      <c r="J22" s="167">
        <f/>
        <v>1103.0680924124517</v>
      </c>
      <c r="K22" s="167">
        <f/>
        <v>690.84649261892264</v>
      </c>
      <c r="L22" s="167">
        <f/>
        <v>1866.8116304412033</v>
      </c>
      <c r="M22" s="167">
        <f/>
        <v>1432.1834880492352</v>
      </c>
      <c r="N22" s="167">
        <f/>
        <v>3458.4821274529004</v>
      </c>
      <c r="O22" s="167">
        <f/>
        <v>1231.0740269311991</v>
      </c>
      <c r="P22" s="167">
        <f/>
        <v>777.61916274485338</v>
      </c>
      <c r="Q22" s="167">
        <f/>
        <v>563.85332593377825</v>
      </c>
      <c r="R22" s="167">
        <f/>
        <v>403.82124561791898</v>
      </c>
      <c r="S22" s="167">
        <f/>
        <v>6321.0090142155605</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customProperties>
    <customPr name="Description" r:id="rId1"/>
  </customPropertie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nabla.e.MaxRowsλ</v>
      </c>
      <c r="B1" s="270"/>
      <c r="C1" s="270"/>
      <c r="D1" s="270"/>
      <c r="E1" s="270"/>
      <c r="F1" s="270"/>
      <c r="G1" s="270"/>
      <c r="H1" s="270"/>
      <c r="I1" s="270"/>
      <c r="J1" s="270"/>
      <c r="K1" s="270"/>
    </row>
    <row r="2" spans="1:18" x14ac:dyDescent="0.25">
      <c r="A2" s="273" t="s">
        <v>387</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nabla.e.MaxRowsλ()</f>
        <v>FUNCTION:</v>
      </c>
      <c r="B4" t="str">
        <v>MaxRowsλ( Array)</v>
      </c>
    </row>
    <row r="5" spans="1:18" x14ac:dyDescent="0.25">
      <c r="A5" t="str">
        <v>DESCRIPTION:</v>
      </c>
      <c r="B5" t="str">
        <v>Get the maximum of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(nabla.e is assumed to be the module's name)</v>
      </c>
    </row>
    <row r="11" spans="1:18" x14ac:dyDescent="0.25">
      <c r="A11" t="str">
        <v/>
      </c>
      <c r="B11" t="str">
        <v>=nabla.e.MaxRowsλ( SEQUENCE(5,5))</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nabla.e.MaxRowsλ(_xlfn.ANCHORARRAY(G17))</f>
        <v>9479.686615825216</v>
      </c>
      <c r="G17" s="235" cm="1">
        <f t="array" ref="G17:R21">_xlfn.MAKEARRAY(COUNTA(_xlfn.ANCHORARRAY( E17)), COUNTA(_xlfn.ANCHORARRAY( G16)), _xlfn.LAMBDA(_xlpm.r,_xlpm.c, 100 + MOD(_xlpm.r * 7 + _xlpm.c * 13, 10000 - 100 + 1)))</f>
        <v>7553.1887363091992</v>
      </c>
      <c r="H17">
        <f/>
        <v>9291.3092589351527</v>
      </c>
      <c r="I17">
        <f/>
        <v>5979.0044472142363</v>
      </c>
      <c r="J17">
        <f/>
        <v>6818.31281190134</v>
      </c>
      <c r="K17">
        <f/>
        <v>4059.4911772708292</v>
      </c>
      <c r="L17">
        <f/>
        <v>8442.7008892783324</v>
      </c>
      <c r="M17">
        <f/>
        <v>9080.4508338022952</v>
      </c>
      <c r="N17">
        <f/>
        <v>9479.686615825216</v>
      </c>
      <c r="O17">
        <f/>
        <v>3994.7977194207833</v>
      </c>
      <c r="P17">
        <f/>
        <v>5638.0761241354921</v>
      </c>
      <c r="Q17">
        <f/>
        <v>5662.5884427978399</v>
      </c>
      <c r="R17">
        <f/>
        <v>8889.6757145701667</v>
      </c>
    </row>
    <row r="18" spans="1:18" x14ac:dyDescent="0.25">
      <c r="A18" t="s">
        <v>141</v>
      </c>
      <c r="B18">
        <v>12</v>
      </c>
      <c r="C18" t="s">
        <v>146</v>
      </c>
      <c r="E18" s="121" t="str">
        <v>Wool*Art</v>
      </c>
      <c r="F18" s="174">
        <f/>
        <v>9241.6180236079326</v>
      </c>
      <c r="G18" s="174">
        <f/>
        <v>296.37179998837019</v>
      </c>
      <c r="H18">
        <f/>
        <v>2611.5380425149779</v>
      </c>
      <c r="I18">
        <f/>
        <v>369.19780227733463</v>
      </c>
      <c r="J18">
        <f/>
        <v>8972.9462487318051</v>
      </c>
      <c r="K18">
        <f/>
        <v>6177.1464286518494</v>
      </c>
      <c r="L18">
        <f/>
        <v>9241.6180236079326</v>
      </c>
      <c r="M18">
        <f/>
        <v>6608.4740591477985</v>
      </c>
      <c r="N18">
        <f/>
        <v>3417.8256243563083</v>
      </c>
      <c r="O18">
        <f/>
        <v>2209.5733995304199</v>
      </c>
      <c r="P18">
        <f/>
        <v>3598.7342105458993</v>
      </c>
      <c r="Q18">
        <f/>
        <v>1921.2779045204024</v>
      </c>
      <c r="R18">
        <f/>
        <v>541.69161370968868</v>
      </c>
    </row>
    <row r="19" spans="1:18" x14ac:dyDescent="0.25">
      <c r="A19" t="s">
        <v>142</v>
      </c>
      <c r="B19" t="s">
        <v>24</v>
      </c>
      <c r="E19" s="121" t="str">
        <v>Town Hall</v>
      </c>
      <c r="F19" s="174">
        <f/>
        <v>8182.9559223559081</v>
      </c>
      <c r="G19" s="174">
        <f/>
        <v>6023.3071124023008</v>
      </c>
      <c r="H19">
        <f/>
        <v>8182.9559223559081</v>
      </c>
      <c r="I19">
        <f/>
        <v>7245.1582440641414</v>
      </c>
      <c r="J19">
        <f/>
        <v>6304.2946568475145</v>
      </c>
      <c r="K19">
        <f/>
        <v>1337.4006179597218</v>
      </c>
      <c r="L19">
        <f/>
        <v>5714.4412807440476</v>
      </c>
      <c r="M19">
        <f/>
        <v>351.16159556023558</v>
      </c>
      <c r="N19">
        <f/>
        <v>4493.0389608153564</v>
      </c>
      <c r="O19">
        <f/>
        <v>8121.5415680626011</v>
      </c>
      <c r="P19">
        <f/>
        <v>3179.2654902483628</v>
      </c>
      <c r="Q19">
        <f/>
        <v>3588.9685963592219</v>
      </c>
      <c r="R19">
        <f/>
        <v>6598.8574216870165</v>
      </c>
    </row>
    <row r="20" spans="1:18" x14ac:dyDescent="0.25">
      <c r="E20" s="121" t="str">
        <v>Jacqie Penee</v>
      </c>
      <c r="F20" s="174">
        <f/>
        <v>9654.6334458875353</v>
      </c>
      <c r="G20">
        <f/>
        <v>1135.4821481969175</v>
      </c>
      <c r="H20">
        <f/>
        <v>7142.5779789434018</v>
      </c>
      <c r="I20">
        <f/>
        <v>9654.6334458875353</v>
      </c>
      <c r="J20">
        <f/>
        <v>4428.8666407983328</v>
      </c>
      <c r="K20">
        <f/>
        <v>6233.2496241406243</v>
      </c>
      <c r="L20">
        <f/>
        <v>5412.2762178596586</v>
      </c>
      <c r="M20">
        <f/>
        <v>3377.1857073309147</v>
      </c>
      <c r="N20">
        <f/>
        <v>4695.1679292750887</v>
      </c>
      <c r="O20">
        <f/>
        <v>2186.0888088081447</v>
      </c>
      <c r="P20">
        <f/>
        <v>4021.7473015164705</v>
      </c>
      <c r="Q20">
        <f/>
        <v>1477.4409582379012</v>
      </c>
      <c r="R20">
        <f/>
        <v>5940.4663592096149</v>
      </c>
    </row>
    <row r="21" spans="1:18" x14ac:dyDescent="0.25">
      <c r="E21" s="121" t="str">
        <v>Amazonia</v>
      </c>
      <c r="F21" s="174">
        <f/>
        <v>9481.6346029608576</v>
      </c>
      <c r="G21">
        <f/>
        <v>6243.7943775763997</v>
      </c>
      <c r="H21">
        <f/>
        <v>5181.2341131407957</v>
      </c>
      <c r="I21">
        <f/>
        <v>9481.6346029608576</v>
      </c>
      <c r="J21">
        <f/>
        <v>2678.9145216073011</v>
      </c>
      <c r="K21">
        <f/>
        <v>7655.8680935168759</v>
      </c>
      <c r="L21">
        <f/>
        <v>7872.3844783084551</v>
      </c>
      <c r="M21">
        <f/>
        <v>6526.5183753024594</v>
      </c>
      <c r="N21">
        <f/>
        <v>3490.7166687787685</v>
      </c>
      <c r="O21">
        <f/>
        <v>8627.8625690371246</v>
      </c>
      <c r="P21">
        <f/>
        <v>8728.2118259361141</v>
      </c>
      <c r="Q21">
        <f/>
        <v>3283.2395547451251</v>
      </c>
      <c r="R21">
        <f/>
        <v>6867.4724652008535</v>
      </c>
    </row>
    <row r="22" spans="1:18" ht="15.75" thickBot="1" x14ac:dyDescent="0.3">
      <c r="E22" s="203" t="s">
        <v>63</v>
      </c>
      <c r="F22" s="171">
        <f>SUM(_xlfn.ANCHORARRAY(G22))</f>
        <v>324339.10416246578</v>
      </c>
      <c r="G22" s="171" cm="1">
        <f t="array" ref="G22:R22">nabla.e.SumColsλ(_xlfn.ANCHORARRAY(G17))</f>
        <v>21252.144174473186</v>
      </c>
      <c r="H22" s="171">
        <f/>
        <v>32409.615315890238</v>
      </c>
      <c r="I22" s="171">
        <f/>
        <v>32729.628542404105</v>
      </c>
      <c r="J22" s="171">
        <f/>
        <v>29203.334879886293</v>
      </c>
      <c r="K22" s="171">
        <f/>
        <v>25463.155941539902</v>
      </c>
      <c r="L22" s="171">
        <f/>
        <v>36683.420889798428</v>
      </c>
      <c r="M22" s="171">
        <f/>
        <v>25943.790571143705</v>
      </c>
      <c r="N22" s="171">
        <f/>
        <v>25576.435799050738</v>
      </c>
      <c r="O22" s="171">
        <f/>
        <v>25139.864064859074</v>
      </c>
      <c r="P22" s="171">
        <f/>
        <v>25166.034952382339</v>
      </c>
      <c r="Q22" s="171">
        <f/>
        <v>15933.515456660491</v>
      </c>
      <c r="R22" s="171">
        <f/>
        <v>28838.163574377337</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customProperties>
    <customPr name="Description" r:id="rId1"/>
  </customPropertie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2E75B6"/>
  </sheetPr>
  <dimension ref="A1:S42"/>
  <sheetViews>
    <sheetView showGridLines="0" workbookViewId="0">
      <selection activeCell="A1" sqref="A1"/>
    </sheetView>
  </sheetViews>
  <sheetFormatPr defaultRowHeight="15" x14ac:dyDescent="0.25"/>
  <cols>
    <col min="1" max="1" width="12.7109375" bestFit="1" customWidth="1"/>
    <col min="2" max="2" width="11.5703125" customWidth="1"/>
    <col min="3" max="3" width="7" bestFit="1" customWidth="1"/>
    <col min="5" max="5" width="5.28515625" bestFit="1" customWidth="1"/>
    <col min="6" max="6" width="11.42578125" bestFit="1" customWidth="1"/>
    <col min="7" max="7" width="15.5703125" bestFit="1" customWidth="1"/>
    <col min="8" max="8" width="10.140625" bestFit="1" customWidth="1"/>
    <col min="9" max="9" width="10.28515625" bestFit="1" customWidth="1"/>
    <col min="10" max="10" width="10.7109375" bestFit="1" customWidth="1"/>
    <col min="11" max="11" width="10.28515625" bestFit="1" customWidth="1"/>
    <col min="12" max="12" width="11.140625" bestFit="1" customWidth="1"/>
    <col min="13" max="13" width="10.28515625" bestFit="1" customWidth="1"/>
    <col min="14" max="14" width="9.5703125" bestFit="1" customWidth="1"/>
    <col min="15" max="15" width="10.7109375" bestFit="1" customWidth="1"/>
    <col min="16" max="16" width="10.42578125" bestFit="1" customWidth="1"/>
    <col min="17" max="17" width="10.28515625" bestFit="1" customWidth="1"/>
    <col min="18" max="18" width="10.7109375" bestFit="1" customWidth="1"/>
    <col min="19" max="19" width="10.42578125" bestFit="1" customWidth="1"/>
    <col min="20" max="20" width="11.7109375" bestFit="1" customWidth="1"/>
    <col min="21" max="21" width="11.42578125" bestFit="1" customWidth="1"/>
    <col min="22" max="22" width="11.28515625" bestFit="1" customWidth="1"/>
    <col min="23" max="23" width="11.7109375" bestFit="1" customWidth="1"/>
    <col min="24" max="24" width="11.42578125" bestFit="1" customWidth="1"/>
  </cols>
  <sheetData>
    <row r="1" spans="1:19" ht="45.75" x14ac:dyDescent="0.65">
      <c r="A1" s="270" t="str">
        <f>_xlfn.TEXTAFTER(CELL("filename",A1),"]")</f>
        <v>nabla.e.MaxColsλ</v>
      </c>
      <c r="B1" s="270"/>
      <c r="C1" s="270"/>
      <c r="D1" s="270"/>
      <c r="E1" s="270"/>
      <c r="F1" s="270"/>
      <c r="G1" s="270"/>
      <c r="H1" s="270"/>
      <c r="I1" s="270"/>
      <c r="J1" s="270"/>
      <c r="K1" s="270"/>
      <c r="L1" s="270"/>
      <c r="M1" s="270"/>
      <c r="N1" s="270"/>
      <c r="O1" s="270"/>
      <c r="P1" s="270"/>
    </row>
    <row r="2" spans="1:19" x14ac:dyDescent="0.25">
      <c r="A2" s="273" t="s">
        <v>388</v>
      </c>
      <c r="B2" s="274"/>
      <c r="C2" s="274"/>
      <c r="D2" s="274"/>
      <c r="E2" s="274"/>
      <c r="F2" s="274"/>
      <c r="G2" s="274"/>
      <c r="H2" s="274"/>
      <c r="I2" s="274"/>
      <c r="J2" s="274"/>
      <c r="K2" s="274"/>
      <c r="L2" s="274"/>
      <c r="M2" s="274"/>
      <c r="N2" s="274"/>
      <c r="O2" s="274"/>
      <c r="P2" s="274"/>
      <c r="Q2" s="274"/>
      <c r="R2" s="274"/>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nabla.e.MaxColsλ()</f>
        <v>FUNCTION:</v>
      </c>
      <c r="B4" t="str">
        <v>MaxColsλ( Array)</v>
      </c>
    </row>
    <row r="5" spans="1:19" x14ac:dyDescent="0.25">
      <c r="A5" t="str">
        <v>DESCRIPTION:</v>
      </c>
      <c r="B5" t="str">
        <v>Get the minimum for each Column</v>
      </c>
    </row>
    <row r="6" spans="1:19" x14ac:dyDescent="0.25">
      <c r="A6" t="str">
        <v>WEBPAGE:</v>
      </c>
      <c r="B6" t="str">
        <v>https://github.com/ryanduguid/Nabla</v>
      </c>
    </row>
    <row r="7" spans="1:19" x14ac:dyDescent="0.25">
      <c r="A7" t="str">
        <v>VERSION:</v>
      </c>
      <c r="B7" t="str">
        <v>18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(nabla.e is assumed to be the module's name)</v>
      </c>
    </row>
    <row r="11" spans="1:19" x14ac:dyDescent="0.25">
      <c r="A11" t="str">
        <v/>
      </c>
      <c r="B11" t="str">
        <v>=nabla.e.MaxColsλ( SEQUENCE(5,5))</v>
      </c>
    </row>
    <row r="14" spans="1:19" ht="20.25" x14ac:dyDescent="0.3">
      <c r="A14" s="302" t="s">
        <v>272</v>
      </c>
      <c r="B14" s="302"/>
      <c r="C14" s="302"/>
    </row>
    <row r="16" spans="1:19" x14ac:dyDescent="0.25">
      <c r="A16" s="161" t="s">
        <v>273</v>
      </c>
      <c r="B16" s="161" t="s">
        <v>138</v>
      </c>
      <c r="C16" s="161" t="s">
        <v>139</v>
      </c>
      <c r="F16" s="161" t="s">
        <v>264</v>
      </c>
      <c r="G16" s="155" t="s">
        <v>276</v>
      </c>
      <c r="H16" s="156" cm="1">
        <f t="array" ref="H16:S16">nabla.d.Timelineλ($B$17, $B$18, $B$19)</f>
        <v>45292</v>
      </c>
      <c r="I16" s="1">
        <v>46054</v>
      </c>
      <c r="J16" s="1">
        <v>46082</v>
      </c>
      <c r="K16" s="1">
        <v>46113</v>
      </c>
      <c r="L16" s="1">
        <v>46143</v>
      </c>
      <c r="M16" s="1">
        <v>46174</v>
      </c>
      <c r="N16" s="1">
        <v>46204</v>
      </c>
      <c r="O16" s="1">
        <v>46235</v>
      </c>
      <c r="P16" s="1">
        <v>46266</v>
      </c>
      <c r="Q16" s="1">
        <v>46296</v>
      </c>
      <c r="R16" s="1">
        <v>46327</v>
      </c>
      <c r="S16" s="1">
        <v>46357</v>
      </c>
    </row>
    <row r="17" spans="1:19" x14ac:dyDescent="0.25">
      <c r="A17" t="s">
        <v>236</v>
      </c>
      <c r="B17" s="141">
        <v>46023</v>
      </c>
      <c r="C17" t="s">
        <v>145</v>
      </c>
      <c r="F17" t="str" cm="1">
        <f t="array" ref="F17:F21">tblCT[Customer]</f>
        <v>ACME</v>
      </c>
      <c r="G17" cm="1">
        <f t="array" ref="G17:G21">nabla.e.SumRowsλ(_xlfn.ANCHORARRAY(H17))</f>
        <v>64628.333702562362</v>
      </c>
      <c r="H17" s="192" cm="1">
        <f t="array" ref="H17:S21">_xlfn.MAKEARRAY(COUNTA(_xlfn.ANCHORARRAY(F17)), COUNTA(_xlfn.ANCHORARRAY(H16)), _xlfn.LAMBDA(_xlpm.r,_xlpm.c, 100 + MOD(_xlpm.r * 7 + _xlpm.c * 13, 9999 - 100 + 1)))</f>
        <v>7365.6320993895952</v>
      </c>
      <c r="I17">
        <f/>
        <v>7538.5159790338093</v>
      </c>
      <c r="J17">
        <f/>
        <v>7347.4861178008068</v>
      </c>
      <c r="K17">
        <f/>
        <v>8436.6103908323585</v>
      </c>
      <c r="L17">
        <f/>
        <v>4948.5245940959721</v>
      </c>
      <c r="M17">
        <f/>
        <v>332.56648369110735</v>
      </c>
      <c r="N17">
        <f/>
        <v>3013.8724106945774</v>
      </c>
      <c r="O17">
        <f/>
        <v>2166.019867959596</v>
      </c>
      <c r="P17">
        <f/>
        <v>9564.5163957058248</v>
      </c>
      <c r="Q17">
        <f/>
        <v>8283.3260461200116</v>
      </c>
      <c r="R17">
        <f/>
        <v>1208.0003723359441</v>
      </c>
      <c r="S17">
        <f/>
        <v>4423.2629449027627</v>
      </c>
    </row>
    <row r="18" spans="1:19" x14ac:dyDescent="0.25">
      <c r="A18" t="s">
        <v>141</v>
      </c>
      <c r="B18">
        <v>12</v>
      </c>
      <c r="C18" t="s">
        <v>146</v>
      </c>
      <c r="F18" t="str">
        <v>Wool*Art</v>
      </c>
      <c r="G18">
        <f/>
        <v>71294.154205858067</v>
      </c>
      <c r="H18">
        <f/>
        <v>9715.9388090915763</v>
      </c>
      <c r="I18">
        <f/>
        <v>5445.3170464622508</v>
      </c>
      <c r="J18">
        <f/>
        <v>2491.5970281532464</v>
      </c>
      <c r="K18">
        <f/>
        <v>9232.5339161420652</v>
      </c>
      <c r="L18">
        <f/>
        <v>6458.8354320511589</v>
      </c>
      <c r="M18">
        <f/>
        <v>3105.9083068891341</v>
      </c>
      <c r="N18">
        <f/>
        <v>4756.3444016337435</v>
      </c>
      <c r="O18">
        <f/>
        <v>1786.2454582800037</v>
      </c>
      <c r="P18">
        <f/>
        <v>9789.303854957021</v>
      </c>
      <c r="Q18">
        <f/>
        <v>4720.5003676320939</v>
      </c>
      <c r="R18">
        <f/>
        <v>4398.4041805155612</v>
      </c>
      <c r="S18">
        <f/>
        <v>9393.2254040502085</v>
      </c>
    </row>
    <row r="19" spans="1:19" x14ac:dyDescent="0.25">
      <c r="A19" t="s">
        <v>142</v>
      </c>
      <c r="B19" t="s">
        <v>144</v>
      </c>
      <c r="F19" t="str">
        <v>Town Hall</v>
      </c>
      <c r="G19">
        <f/>
        <v>66320.488561231177</v>
      </c>
      <c r="H19">
        <f/>
        <v>3206.6939514472615</v>
      </c>
      <c r="I19">
        <f/>
        <v>2406.5309288546123</v>
      </c>
      <c r="J19">
        <f/>
        <v>5847.7306964029049</v>
      </c>
      <c r="K19">
        <f/>
        <v>2396.8290851670336</v>
      </c>
      <c r="L19">
        <f/>
        <v>9820.8761323142244</v>
      </c>
      <c r="M19">
        <f/>
        <v>4370.9687227992454</v>
      </c>
      <c r="N19">
        <f/>
        <v>6720.5452338952146</v>
      </c>
      <c r="O19">
        <f/>
        <v>6642.8845450936515</v>
      </c>
      <c r="P19">
        <f/>
        <v>5594.9086845804268</v>
      </c>
      <c r="Q19">
        <f/>
        <v>6304.4287178548038</v>
      </c>
      <c r="R19">
        <f/>
        <v>7354.5031502751826</v>
      </c>
      <c r="S19">
        <f/>
        <v>5653.5887125466161</v>
      </c>
    </row>
    <row r="20" spans="1:19" x14ac:dyDescent="0.25">
      <c r="F20" t="str">
        <v>Jacqie Penee</v>
      </c>
      <c r="G20">
        <f/>
        <v>48086.22118749308</v>
      </c>
      <c r="H20">
        <f/>
        <v>412.56588882195865</v>
      </c>
      <c r="I20">
        <f/>
        <v>769.1448173537683</v>
      </c>
      <c r="J20">
        <f/>
        <v>7222.4708104290821</v>
      </c>
      <c r="K20">
        <f/>
        <v>783.98098160288464</v>
      </c>
      <c r="L20">
        <f/>
        <v>402.74292687967318</v>
      </c>
      <c r="M20">
        <f/>
        <v>8036.8105350414717</v>
      </c>
      <c r="N20">
        <f/>
        <v>5863.5509499258951</v>
      </c>
      <c r="O20">
        <f/>
        <v>818.68826231947787</v>
      </c>
      <c r="P20">
        <f/>
        <v>4626.7911916705361</v>
      </c>
      <c r="Q20">
        <f/>
        <v>4893.0244753369279</v>
      </c>
      <c r="R20">
        <f/>
        <v>4677.3249250599729</v>
      </c>
      <c r="S20">
        <f/>
        <v>9579.1254230514314</v>
      </c>
    </row>
    <row r="21" spans="1:19" x14ac:dyDescent="0.25">
      <c r="F21" t="str">
        <v>Amazonia</v>
      </c>
      <c r="G21">
        <f/>
        <v>61367.72516168622</v>
      </c>
      <c r="H21">
        <f/>
        <v>3092.6397854031929</v>
      </c>
      <c r="I21">
        <f/>
        <v>5317.191184969095</v>
      </c>
      <c r="J21">
        <f/>
        <v>5154.8270880624732</v>
      </c>
      <c r="K21">
        <f/>
        <v>8242.262362021047</v>
      </c>
      <c r="L21">
        <f/>
        <v>9907.7111479231116</v>
      </c>
      <c r="M21">
        <f/>
        <v>1074.0456772313919</v>
      </c>
      <c r="N21">
        <f/>
        <v>3828.1006355421305</v>
      </c>
      <c r="O21">
        <f/>
        <v>8009.0710111456356</v>
      </c>
      <c r="P21">
        <f/>
        <v>5033.573188160366</v>
      </c>
      <c r="Q21">
        <f/>
        <v>2015.3558551722472</v>
      </c>
      <c r="R21">
        <f/>
        <v>6855.0698342751966</v>
      </c>
      <c r="S21">
        <f/>
        <v>2837.8773917803355</v>
      </c>
    </row>
    <row r="22" spans="1:19" x14ac:dyDescent="0.25">
      <c r="F22" s="167" t="s">
        <v>283</v>
      </c>
      <c r="G22" s="167">
        <f>SUM(_xlfn.ANCHORARRAY(H22))</f>
        <v>101514.87122447733</v>
      </c>
      <c r="H22" s="204" cm="1">
        <f t="array" ref="H22:S22">nabla.e.MaxColsλ(_xlfn.ANCHORARRAY(H17))</f>
        <v>9715.9388090915763</v>
      </c>
      <c r="I22" s="167">
        <f/>
        <v>7538.5159790338093</v>
      </c>
      <c r="J22" s="167">
        <f/>
        <v>7347.4861178008068</v>
      </c>
      <c r="K22" s="167">
        <f/>
        <v>9232.5339161420652</v>
      </c>
      <c r="L22" s="167">
        <f/>
        <v>9907.7111479231116</v>
      </c>
      <c r="M22" s="167">
        <f/>
        <v>8036.8105350414717</v>
      </c>
      <c r="N22" s="167">
        <f/>
        <v>6720.5452338952146</v>
      </c>
      <c r="O22" s="167">
        <f/>
        <v>8009.0710111456356</v>
      </c>
      <c r="P22" s="167">
        <f/>
        <v>9789.303854957021</v>
      </c>
      <c r="Q22" s="167">
        <f/>
        <v>8283.3260461200116</v>
      </c>
      <c r="R22" s="167">
        <f/>
        <v>7354.5031502751826</v>
      </c>
      <c r="S22" s="167">
        <f/>
        <v>9579.1254230514314</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customProperties>
    <customPr name="Description" r:id="rId1"/>
  </customProperties>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nabla.e.CountRowsλ()</f>
        <v>FUNCTION:</v>
      </c>
      <c r="B4" t="str">
        <v>CountRowsλ( Array)</v>
      </c>
    </row>
    <row r="5" spans="1:18" x14ac:dyDescent="0.25">
      <c r="A5" t="str">
        <v>DESCRIPTION:</v>
      </c>
      <c r="B5" t="str">
        <v>Count numbers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nabla.e.CountRowsλ(_xlfn.ANCHORARRAY(G17))</f>
        <v>7</v>
      </c>
      <c r="G17" s="235" cm="1">
        <f t="array" ref="G17:R21">CHOOSE(_xlfn.MAKEARRAY(COUNTA(_xlfn.ANCHORARRAY( E17)), COUNTA(_xlfn.ANCHORARRAY( G16)), _xlfn.LAMBDA(_xlpm.r,_xlpm.c, 1 + MOD(_xlpm.r * 7 + _xlpm.c * 13, 10 - 1 + 1))),"A", "B", "C", "", 1, 2, 3, 4, 5, 6)</f>
        <v>2</v>
      </c>
      <c r="H17">
        <f/>
        <v>4</v>
      </c>
      <c r="I17" t="str">
        <f/>
        <v>B</v>
      </c>
      <c r="J17">
        <f/>
        <v>1</v>
      </c>
      <c r="K17" t="str">
        <f/>
        <v>B</v>
      </c>
      <c r="L17" t="str">
        <f/>
        <v>A</v>
      </c>
      <c r="M17" t="str">
        <f/>
        <v>B</v>
      </c>
      <c r="N17">
        <f/>
        <v>4</v>
      </c>
      <c r="O17">
        <f/>
        <v>3</v>
      </c>
      <c r="P17" t="str">
        <f/>
        <v>B</v>
      </c>
      <c r="Q17">
        <f/>
        <v>3</v>
      </c>
      <c r="R17">
        <f/>
        <v>1</v>
      </c>
    </row>
    <row r="18" spans="1:18" x14ac:dyDescent="0.25">
      <c r="A18" t="s">
        <v>141</v>
      </c>
      <c r="B18">
        <v>12</v>
      </c>
      <c r="C18" t="s">
        <v>146</v>
      </c>
      <c r="E18" s="121" t="str">
        <v>Wool*Art</v>
      </c>
      <c r="F18" s="174">
        <f/>
        <v>8</v>
      </c>
      <c r="G18" s="174" t="str">
        <f/>
        <v>B</v>
      </c>
      <c r="H18">
        <f/>
        <v>1</v>
      </c>
      <c r="I18" t="str">
        <f/>
        <v/>
      </c>
      <c r="J18">
        <f/>
        <v>1</v>
      </c>
      <c r="K18">
        <f/>
        <v>4</v>
      </c>
      <c r="L18">
        <f/>
        <v>1</v>
      </c>
      <c r="M18">
        <f/>
        <v>5</v>
      </c>
      <c r="N18" t="str">
        <f/>
        <v/>
      </c>
      <c r="O18">
        <f/>
        <v>4</v>
      </c>
      <c r="P18">
        <f/>
        <v>2</v>
      </c>
      <c r="Q18">
        <f/>
        <v>2</v>
      </c>
      <c r="R18" t="str">
        <f/>
        <v>B</v>
      </c>
    </row>
    <row r="19" spans="1:18" x14ac:dyDescent="0.25">
      <c r="A19" t="s">
        <v>142</v>
      </c>
      <c r="B19" t="s">
        <v>24</v>
      </c>
      <c r="E19" s="121" t="str">
        <v>Town Hall</v>
      </c>
      <c r="F19" s="174">
        <f/>
        <v>6</v>
      </c>
      <c r="G19" s="174">
        <f/>
        <v>1</v>
      </c>
      <c r="H19" t="str">
        <f/>
        <v>B</v>
      </c>
      <c r="I19">
        <f/>
        <v>2</v>
      </c>
      <c r="J19">
        <f/>
        <v>5</v>
      </c>
      <c r="K19" t="str">
        <f/>
        <v/>
      </c>
      <c r="L19">
        <f/>
        <v>5</v>
      </c>
      <c r="M19">
        <f/>
        <v>5</v>
      </c>
      <c r="N19" t="str">
        <f/>
        <v/>
      </c>
      <c r="O19" t="str">
        <f/>
        <v>A</v>
      </c>
      <c r="P19">
        <f/>
        <v>5</v>
      </c>
      <c r="Q19" t="str">
        <f/>
        <v/>
      </c>
      <c r="R19" t="str">
        <f/>
        <v/>
      </c>
    </row>
    <row r="20" spans="1:18" x14ac:dyDescent="0.25">
      <c r="E20" s="121" t="str">
        <v>Jacqie Penee</v>
      </c>
      <c r="F20" s="174">
        <f/>
        <v>9</v>
      </c>
      <c r="G20">
        <f/>
        <v>3</v>
      </c>
      <c r="H20">
        <f/>
        <v>3</v>
      </c>
      <c r="I20">
        <f/>
        <v>3</v>
      </c>
      <c r="J20" t="str">
        <f/>
        <v>C</v>
      </c>
      <c r="K20">
        <f/>
        <v>5</v>
      </c>
      <c r="L20" t="str">
        <f/>
        <v>C</v>
      </c>
      <c r="M20" t="str">
        <f/>
        <v>B</v>
      </c>
      <c r="N20">
        <f/>
        <v>4</v>
      </c>
      <c r="O20">
        <f/>
        <v>5</v>
      </c>
      <c r="P20">
        <f/>
        <v>1</v>
      </c>
      <c r="Q20">
        <f/>
        <v>4</v>
      </c>
      <c r="R20">
        <f/>
        <v>5</v>
      </c>
    </row>
    <row r="21" spans="1:18" x14ac:dyDescent="0.25">
      <c r="E21" s="121" t="str">
        <v>Amazonia</v>
      </c>
      <c r="F21" s="174">
        <f/>
        <v>4</v>
      </c>
      <c r="G21" t="str">
        <f/>
        <v>A</v>
      </c>
      <c r="H21">
        <f/>
        <v>1</v>
      </c>
      <c r="I21" t="str">
        <f/>
        <v>B</v>
      </c>
      <c r="J21" t="str">
        <f/>
        <v>C</v>
      </c>
      <c r="K21" t="str">
        <f/>
        <v/>
      </c>
      <c r="L21" t="str">
        <f/>
        <v>B</v>
      </c>
      <c r="M21">
        <f/>
        <v>1</v>
      </c>
      <c r="N21">
        <f/>
        <v>4</v>
      </c>
      <c r="O21" t="str">
        <f/>
        <v>B</v>
      </c>
      <c r="P21">
        <f/>
        <v>4</v>
      </c>
      <c r="Q21" t="str">
        <f/>
        <v>B</v>
      </c>
      <c r="R21" t="str">
        <f/>
        <v>B</v>
      </c>
    </row>
    <row r="22" spans="1:18" ht="15.75" thickBot="1" x14ac:dyDescent="0.3">
      <c r="E22" s="203" t="s">
        <v>63</v>
      </c>
      <c r="F22" s="171">
        <f>SUM(_xlfn.ANCHORARRAY(G22))</f>
        <v>34</v>
      </c>
      <c r="G22" s="171" cm="1">
        <f t="array" ref="G22:R22">nabla.e.CountColsλ(_xlfn.ANCHORARRAY(G17))</f>
        <v>3</v>
      </c>
      <c r="H22" s="171">
        <f/>
        <v>4</v>
      </c>
      <c r="I22" s="171">
        <f/>
        <v>2</v>
      </c>
      <c r="J22" s="171">
        <f/>
        <v>3</v>
      </c>
      <c r="K22" s="171">
        <f/>
        <v>2</v>
      </c>
      <c r="L22" s="171">
        <f/>
        <v>2</v>
      </c>
      <c r="M22" s="171">
        <f/>
        <v>3</v>
      </c>
      <c r="N22" s="171">
        <f/>
        <v>3</v>
      </c>
      <c r="O22" s="171">
        <f/>
        <v>3</v>
      </c>
      <c r="P22" s="171">
        <f/>
        <v>4</v>
      </c>
      <c r="Q22" s="171">
        <f/>
        <v>3</v>
      </c>
      <c r="R22" s="171">
        <f/>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nabla.e.CountColsλ()</f>
        <v>FUNCTION:</v>
      </c>
      <c r="B4" t="str">
        <v>CountColsλ( Array,)</v>
      </c>
    </row>
    <row r="5" spans="1:18" x14ac:dyDescent="0.25">
      <c r="A5" t="str">
        <v>DESCRIPTION:</v>
      </c>
      <c r="B5" t="str">
        <v>Count numbers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(nabla.e is assumed to be the module's name)</v>
      </c>
    </row>
    <row r="11" spans="1:18" x14ac:dyDescent="0.25">
      <c r="A11" t="str">
        <v/>
      </c>
      <c r="B11" t="str">
        <v>=nabla.e.CountColsλ(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nabla.e.CountRowsλ(_xlfn.ANCHORARRAY(G17))</f>
        <v>5</v>
      </c>
      <c r="G17" s="235" t="str" cm="1">
        <f t="array" ref="G17:R21">CHOOSE(_xlfn.MAKEARRAY(COUNTA(_xlfn.ANCHORARRAY( E17)), COUNTA(_xlfn.ANCHORARRAY( G16)), _xlfn.LAMBDA(_xlpm.r,_xlpm.c, 1 + MOD(_xlpm.r * 7 + _xlpm.c * 13, 10 - 1 + 1))),"A", "B", "C", "", 1, 2, 3, 4, 5, 6)</f>
        <v>C</v>
      </c>
      <c r="H17">
        <f/>
        <v>4</v>
      </c>
      <c r="I17" t="str">
        <f/>
        <v>B</v>
      </c>
      <c r="J17">
        <f/>
        <v>4</v>
      </c>
      <c r="K17" t="str">
        <f/>
        <v>A</v>
      </c>
      <c r="L17" t="str">
        <f/>
        <v>B</v>
      </c>
      <c r="M17">
        <f/>
        <v>1</v>
      </c>
      <c r="N17" t="str">
        <f/>
        <v>B</v>
      </c>
      <c r="O17">
        <f/>
        <v>5</v>
      </c>
      <c r="P17">
        <f/>
        <v>4</v>
      </c>
      <c r="Q17" t="str">
        <f/>
        <v/>
      </c>
      <c r="R17" t="str">
        <f/>
        <v>A</v>
      </c>
    </row>
    <row r="18" spans="1:18" x14ac:dyDescent="0.25">
      <c r="A18" t="s">
        <v>141</v>
      </c>
      <c r="B18">
        <v>12</v>
      </c>
      <c r="C18" t="s">
        <v>146</v>
      </c>
      <c r="E18" s="121" t="str">
        <v>Wool*Art</v>
      </c>
      <c r="F18" s="174">
        <f/>
        <v>5</v>
      </c>
      <c r="G18" s="174" t="str">
        <f/>
        <v>B</v>
      </c>
      <c r="H18" t="str">
        <f/>
        <v>C</v>
      </c>
      <c r="I18">
        <f/>
        <v>3</v>
      </c>
      <c r="J18" t="str">
        <f/>
        <v>B</v>
      </c>
      <c r="K18" t="str">
        <f/>
        <v/>
      </c>
      <c r="L18">
        <f/>
        <v>2</v>
      </c>
      <c r="M18">
        <f/>
        <v>2</v>
      </c>
      <c r="N18">
        <f/>
        <v>3</v>
      </c>
      <c r="O18" t="str">
        <f/>
        <v>B</v>
      </c>
      <c r="P18" t="str">
        <f/>
        <v/>
      </c>
      <c r="Q18">
        <f/>
        <v>5</v>
      </c>
      <c r="R18" t="str">
        <f/>
        <v>C</v>
      </c>
    </row>
    <row r="19" spans="1:18" x14ac:dyDescent="0.25">
      <c r="A19" t="s">
        <v>142</v>
      </c>
      <c r="B19" t="s">
        <v>24</v>
      </c>
      <c r="E19" s="121" t="str">
        <v>Town Hall</v>
      </c>
      <c r="F19" s="174">
        <f/>
        <v>6</v>
      </c>
      <c r="G19" s="174" t="str">
        <f/>
        <v>B</v>
      </c>
      <c r="H19">
        <f/>
        <v>3</v>
      </c>
      <c r="I19">
        <f/>
        <v>3</v>
      </c>
      <c r="J19" t="str">
        <f/>
        <v>A</v>
      </c>
      <c r="K19" t="str">
        <f/>
        <v>C</v>
      </c>
      <c r="L19">
        <f/>
        <v>2</v>
      </c>
      <c r="M19" t="str">
        <f/>
        <v>B</v>
      </c>
      <c r="N19" t="str">
        <f/>
        <v>B</v>
      </c>
      <c r="O19">
        <f/>
        <v>1</v>
      </c>
      <c r="P19">
        <f/>
        <v>2</v>
      </c>
      <c r="Q19">
        <f/>
        <v>1</v>
      </c>
      <c r="R19" t="str">
        <f/>
        <v>C</v>
      </c>
    </row>
    <row r="20" spans="1:18" x14ac:dyDescent="0.25">
      <c r="E20" s="121" t="str">
        <v>Jacqie Penee</v>
      </c>
      <c r="F20" s="174">
        <f/>
        <v>8</v>
      </c>
      <c r="G20" t="str">
        <f/>
        <v>B</v>
      </c>
      <c r="H20">
        <f/>
        <v>1</v>
      </c>
      <c r="I20" t="str">
        <f/>
        <v>A</v>
      </c>
      <c r="J20">
        <f/>
        <v>3</v>
      </c>
      <c r="K20">
        <f/>
        <v>3</v>
      </c>
      <c r="L20">
        <f/>
        <v>4</v>
      </c>
      <c r="M20">
        <f/>
        <v>2</v>
      </c>
      <c r="N20" t="str">
        <f/>
        <v/>
      </c>
      <c r="O20">
        <f/>
        <v>2</v>
      </c>
      <c r="P20">
        <f/>
        <v>3</v>
      </c>
      <c r="Q20" t="str">
        <f/>
        <v>A</v>
      </c>
      <c r="R20">
        <f/>
        <v>4</v>
      </c>
    </row>
    <row r="21" spans="1:18" x14ac:dyDescent="0.25">
      <c r="E21" s="121" t="str">
        <v>Amazonia</v>
      </c>
      <c r="F21" s="174">
        <f/>
        <v>6</v>
      </c>
      <c r="G21">
        <f/>
        <v>4</v>
      </c>
      <c r="H21" t="str">
        <f/>
        <v>C</v>
      </c>
      <c r="I21" t="str">
        <f/>
        <v/>
      </c>
      <c r="J21">
        <f/>
        <v>3</v>
      </c>
      <c r="K21" t="str">
        <f/>
        <v>C</v>
      </c>
      <c r="L21" t="str">
        <f/>
        <v/>
      </c>
      <c r="M21" t="str">
        <f/>
        <v>C</v>
      </c>
      <c r="N21" t="str">
        <f/>
        <v/>
      </c>
      <c r="O21">
        <f/>
        <v>3</v>
      </c>
      <c r="P21">
        <f/>
        <v>4</v>
      </c>
      <c r="Q21">
        <f/>
        <v>5</v>
      </c>
      <c r="R21">
        <f/>
        <v>5</v>
      </c>
    </row>
    <row r="22" spans="1:18" ht="15.75" thickBot="1" x14ac:dyDescent="0.3">
      <c r="E22" s="203" t="s">
        <v>63</v>
      </c>
      <c r="F22" s="171">
        <f>SUM(_xlfn.ANCHORARRAY(G22))</f>
        <v>30</v>
      </c>
      <c r="G22" s="251" cm="1">
        <f t="array" ref="G22:R22">nabla.e.CountColsλ(_xlfn.ANCHORARRAY(G17))</f>
        <v>1</v>
      </c>
      <c r="H22" s="171">
        <f/>
        <v>3</v>
      </c>
      <c r="I22" s="171">
        <f/>
        <v>2</v>
      </c>
      <c r="J22" s="171">
        <f/>
        <v>3</v>
      </c>
      <c r="K22" s="171">
        <f/>
        <v>1</v>
      </c>
      <c r="L22" s="171">
        <f/>
        <v>3</v>
      </c>
      <c r="M22" s="171">
        <f/>
        <v>3</v>
      </c>
      <c r="N22" s="171">
        <f/>
        <v>1</v>
      </c>
      <c r="O22" s="171">
        <f/>
        <v>4</v>
      </c>
      <c r="P22" s="171">
        <f/>
        <v>4</v>
      </c>
      <c r="Q22" s="171">
        <f/>
        <v>3</v>
      </c>
      <c r="R22" s="171">
        <f/>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nabla.e.CountARowsλ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nabla.e.CountARowsλ()</f>
        <v>FUNCTION:</v>
      </c>
      <c r="B4" t="str">
        <v>CountARowsλ( Array)</v>
      </c>
    </row>
    <row r="5" spans="1:18" x14ac:dyDescent="0.25">
      <c r="A5" t="str">
        <v>DESCRIPTION:</v>
      </c>
      <c r="B5" t="str">
        <v>Count everything in each row</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=nabla.e.CountARowsλ(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236"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17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0.28515625" customWidth="1"/>
    <col min="3" max="3" width="8.5703125" bestFit="1" customWidth="1"/>
    <col min="4" max="4" width="4" bestFit="1" customWidth="1"/>
    <col min="5" max="5" width="22.140625" bestFit="1" customWidth="1"/>
    <col min="6" max="6" width="15.5703125" bestFit="1" customWidth="1"/>
    <col min="7" max="18" width="10.140625" bestFit="1" customWidth="1"/>
  </cols>
  <sheetData>
    <row r="1" spans="1:18" ht="45.75" x14ac:dyDescent="0.65">
      <c r="A1" s="270" t="str">
        <f>_xlfn.TEXTAFTER(CELL("filename",A1),"]")</f>
        <v>nabla.e.CountAColsλ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1">nabla.e.CountAColsλ()</f>
        <v>FUNCTION:</v>
      </c>
      <c r="B4" t="str">
        <v>CountAColsλ( Array )</v>
      </c>
    </row>
    <row r="5" spans="1:18" x14ac:dyDescent="0.25">
      <c r="A5" t="str">
        <v>DESCRIPTION:</v>
      </c>
      <c r="B5" t="str">
        <v>Count everything in each column</v>
      </c>
    </row>
    <row r="6" spans="1:18" x14ac:dyDescent="0.25">
      <c r="A6" t="str">
        <v>WEBPAGE:</v>
      </c>
      <c r="B6" t="str">
        <v>https://github.com/ryanduguid/Nabla</v>
      </c>
    </row>
    <row r="7" spans="1:18" x14ac:dyDescent="0.25">
      <c r="A7" t="str">
        <v>VERSION:</v>
      </c>
      <c r="B7" t="str">
        <v>18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(nabla.e is assumed to be the module's name)</v>
      </c>
    </row>
    <row r="11" spans="1:18" x14ac:dyDescent="0.25">
      <c r="A11" t="str">
        <v/>
      </c>
      <c r="B11" t="str">
        <v>=nabla.e.CountAColsλ( CHOOSE( RANDARRAY( 5, 5, 1, 5),"A", "B", "", 1, 2))</v>
      </c>
    </row>
    <row r="14" spans="1:18" ht="20.25" x14ac:dyDescent="0.3">
      <c r="A14" s="302" t="s">
        <v>272</v>
      </c>
      <c r="B14" s="302"/>
      <c r="C14" s="302"/>
    </row>
    <row r="16" spans="1:18" x14ac:dyDescent="0.25">
      <c r="A16" s="161" t="s">
        <v>273</v>
      </c>
      <c r="B16" s="161" t="s">
        <v>138</v>
      </c>
      <c r="C16" s="161" t="s">
        <v>139</v>
      </c>
      <c r="E16" s="190" t="s">
        <v>131</v>
      </c>
      <c r="F16" s="190" t="s">
        <v>276</v>
      </c>
      <c r="G16" s="1" cm="1">
        <f t="array" ref="G16:R16">nabla.d.Timelineλ($B$17,$B$18,$B$19)</f>
        <v>45292</v>
      </c>
      <c r="H16" s="1">
        <v>46388</v>
      </c>
      <c r="I16" s="1">
        <v>46753</v>
      </c>
      <c r="J16" s="1">
        <v>47119</v>
      </c>
      <c r="K16" s="1">
        <v>47484</v>
      </c>
      <c r="L16" s="1">
        <v>47849</v>
      </c>
      <c r="M16" s="1">
        <v>48214</v>
      </c>
      <c r="N16" s="1">
        <v>48580</v>
      </c>
      <c r="O16" s="1">
        <v>48945</v>
      </c>
      <c r="P16" s="1">
        <v>49310</v>
      </c>
      <c r="Q16" s="1">
        <v>49675</v>
      </c>
      <c r="R16" s="1">
        <v>50041</v>
      </c>
    </row>
    <row r="17" spans="1:18" x14ac:dyDescent="0.25">
      <c r="A17" t="s">
        <v>236</v>
      </c>
      <c r="B17" s="141">
        <v>46023</v>
      </c>
      <c r="C17" t="s">
        <v>145</v>
      </c>
      <c r="E17" s="121" t="str" cm="1">
        <f t="array" ref="E17:E21">tblCT[Customer]</f>
        <v>ACME</v>
      </c>
      <c r="F17" s="174" cm="1">
        <f t="array" ref="F17:F21">nabla.e.CountARowsλ(G17:R21)</f>
        <v>11</v>
      </c>
      <c r="G17" s="235" t="s">
        <v>402</v>
      </c>
      <c r="H17">
        <v>1</v>
      </c>
      <c r="I17">
        <v>4</v>
      </c>
      <c r="J17">
        <v>5</v>
      </c>
      <c r="K17">
        <v>3</v>
      </c>
      <c r="L17" t="s">
        <v>403</v>
      </c>
      <c r="M17" t="s">
        <v>225</v>
      </c>
      <c r="N17" t="s">
        <v>225</v>
      </c>
      <c r="O17">
        <v>1</v>
      </c>
      <c r="Q17">
        <v>5</v>
      </c>
      <c r="R17" t="s">
        <v>225</v>
      </c>
    </row>
    <row r="18" spans="1:18" x14ac:dyDescent="0.25">
      <c r="A18" t="s">
        <v>141</v>
      </c>
      <c r="B18">
        <v>12</v>
      </c>
      <c r="C18" t="s">
        <v>146</v>
      </c>
      <c r="E18" s="121" t="str">
        <v>Wool*Art</v>
      </c>
      <c r="F18" s="174">
        <v>11</v>
      </c>
      <c r="G18" s="174"/>
      <c r="H18">
        <v>3</v>
      </c>
      <c r="I18">
        <v>4</v>
      </c>
      <c r="J18" t="s">
        <v>404</v>
      </c>
      <c r="K18" t="s">
        <v>404</v>
      </c>
      <c r="L18">
        <v>4</v>
      </c>
      <c r="M18">
        <v>3</v>
      </c>
      <c r="N18" t="s">
        <v>225</v>
      </c>
      <c r="O18">
        <v>3</v>
      </c>
      <c r="P18" t="s">
        <v>402</v>
      </c>
      <c r="Q18">
        <v>2</v>
      </c>
      <c r="R18" t="s">
        <v>402</v>
      </c>
    </row>
    <row r="19" spans="1:18" x14ac:dyDescent="0.25">
      <c r="A19" t="s">
        <v>142</v>
      </c>
      <c r="B19" t="s">
        <v>24</v>
      </c>
      <c r="E19" s="121" t="str">
        <v>Town Hall</v>
      </c>
      <c r="F19" s="174">
        <v>12</v>
      </c>
      <c r="G19" s="174">
        <v>5</v>
      </c>
      <c r="H19" t="s">
        <v>404</v>
      </c>
      <c r="I19" t="s">
        <v>404</v>
      </c>
      <c r="J19">
        <v>4</v>
      </c>
      <c r="K19" t="s">
        <v>404</v>
      </c>
      <c r="L19" t="s">
        <v>404</v>
      </c>
      <c r="M19">
        <v>1</v>
      </c>
      <c r="N19" t="s">
        <v>402</v>
      </c>
      <c r="O19" t="s">
        <v>225</v>
      </c>
      <c r="P19" t="s">
        <v>225</v>
      </c>
      <c r="Q19" t="s">
        <v>225</v>
      </c>
      <c r="R19">
        <v>5</v>
      </c>
    </row>
    <row r="20" spans="1:18" x14ac:dyDescent="0.25">
      <c r="E20" s="121" t="str">
        <v>Jacqie Penee</v>
      </c>
      <c r="F20" s="174">
        <v>12</v>
      </c>
      <c r="G20" t="s">
        <v>225</v>
      </c>
      <c r="H20">
        <v>4</v>
      </c>
      <c r="I20">
        <v>4</v>
      </c>
      <c r="J20" t="s">
        <v>402</v>
      </c>
      <c r="K20">
        <v>3</v>
      </c>
      <c r="L20">
        <v>1</v>
      </c>
      <c r="M20" t="s">
        <v>225</v>
      </c>
      <c r="N20">
        <v>2</v>
      </c>
      <c r="O20">
        <v>3</v>
      </c>
      <c r="P20">
        <v>3</v>
      </c>
      <c r="Q20" t="s">
        <v>404</v>
      </c>
      <c r="R20">
        <v>5</v>
      </c>
    </row>
    <row r="21" spans="1:18" x14ac:dyDescent="0.25">
      <c r="E21" s="121" t="str">
        <v>Amazonia</v>
      </c>
      <c r="F21" s="174">
        <v>9</v>
      </c>
      <c r="H21">
        <v>5</v>
      </c>
      <c r="I21" t="s">
        <v>225</v>
      </c>
      <c r="K21" t="s">
        <v>402</v>
      </c>
      <c r="L21" t="s">
        <v>404</v>
      </c>
      <c r="N21">
        <v>3</v>
      </c>
      <c r="O21">
        <v>3</v>
      </c>
      <c r="P21">
        <v>3</v>
      </c>
      <c r="Q21">
        <v>3</v>
      </c>
      <c r="R21" t="s">
        <v>402</v>
      </c>
    </row>
    <row r="22" spans="1:18" ht="15.75" thickBot="1" x14ac:dyDescent="0.3">
      <c r="E22" s="203" t="s">
        <v>63</v>
      </c>
      <c r="F22" s="171">
        <f>SUM(_xlfn.ANCHORARRAY(G22))</f>
        <v>55</v>
      </c>
      <c r="G22" s="251" cm="1">
        <f t="array" ref="G22:R22">nabla.e.CountAColsλ(G17:R21)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2E75B6"/>
  </sheetPr>
  <dimension ref="A1:R3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5.5703125" bestFit="1" customWidth="1"/>
    <col min="7" max="18" width="11.42578125" bestFit="1" customWidth="1"/>
  </cols>
  <sheetData>
    <row r="1" spans="1:17" ht="45.75" x14ac:dyDescent="0.65">
      <c r="A1" s="270" t="str">
        <f>_xlfn.TEXTAFTER(CELL("filename",A1),"]")</f>
        <v>nabla.e.IsBetweenλ</v>
      </c>
      <c r="B1" s="270"/>
      <c r="C1" s="270"/>
      <c r="D1" s="270"/>
      <c r="E1" s="270"/>
      <c r="F1" s="270"/>
      <c r="G1" s="270"/>
      <c r="H1" s="270"/>
      <c r="I1" s="270"/>
      <c r="J1" s="270"/>
      <c r="K1" s="270"/>
    </row>
    <row r="2" spans="1:17" x14ac:dyDescent="0.25">
      <c r="A2" s="273" t="s">
        <v>213</v>
      </c>
      <c r="B2" s="274"/>
      <c r="C2" s="274"/>
      <c r="D2" s="274"/>
      <c r="E2" s="274"/>
      <c r="F2" s="274"/>
      <c r="G2" s="274"/>
      <c r="H2" s="274"/>
      <c r="I2" s="274"/>
      <c r="J2" s="274"/>
      <c r="K2" s="274"/>
      <c r="L2" s="274"/>
      <c r="M2" s="274"/>
      <c r="N2" s="274"/>
      <c r="O2" s="274"/>
      <c r="P2" s="274"/>
      <c r="Q2" s="274"/>
    </row>
    <row r="3" spans="1:17" x14ac:dyDescent="0.25">
      <c r="A3" s="104"/>
      <c r="B3" s="104"/>
      <c r="C3" s="104"/>
      <c r="D3" s="104"/>
      <c r="E3" s="104"/>
      <c r="F3" s="104"/>
      <c r="G3" s="104"/>
      <c r="H3" s="104"/>
      <c r="I3" s="104"/>
      <c r="J3" s="104"/>
      <c r="K3" s="104"/>
    </row>
    <row r="4" spans="1:17" x14ac:dyDescent="0.25">
      <c r="A4" s="162" t="str" cm="1">
        <f t="array" ref="A4:B16">nabla.e.IsBetweenλ()</f>
        <v>FUNCTION:</v>
      </c>
      <c r="B4" t="str">
        <v>IsBetweenλ(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v>
      </c>
      <c r="B8" t="str">
        <v>(Required) The lower limit that the value must be greater than</v>
      </c>
    </row>
    <row r="9" spans="1:17" x14ac:dyDescent="0.25">
      <c r="A9" t="str">
        <v>Hi</v>
      </c>
      <c r="B9" t="str">
        <v>(Required) The lower limit that the value must be less than</v>
      </c>
    </row>
    <row r="10" spans="1:17" x14ac:dyDescent="0.25">
      <c r="A10" t="str">
        <v>Inclusive</v>
      </c>
      <c r="B10" t="str">
        <v>(Optional) If set to TRUE (default) the value can be equal to Lo and/or Hi</v>
      </c>
    </row>
    <row r="11" spans="1:17" x14ac:dyDescent="0.25">
      <c r="A11" t="str">
        <v/>
      </c>
      <c r="B11" t="str">
        <v/>
      </c>
    </row>
    <row r="12" spans="1:17" x14ac:dyDescent="0.25">
      <c r="A12" t="str">
        <v>EXAMPLES :</v>
      </c>
      <c r="B12" t="str">
        <v/>
      </c>
    </row>
    <row r="13" spans="1:17" x14ac:dyDescent="0.25">
      <c r="A13" t="str">
        <v>Result</v>
      </c>
      <c r="B13" t="str">
        <v>Formula</v>
      </c>
    </row>
    <row r="14" spans="1:17" x14ac:dyDescent="0.25">
      <c r="A14" t="str">
        <v>FALSE</v>
      </c>
      <c r="B14" t="str">
        <v>=IsBetweenλ(1, 2, 4)</v>
      </c>
    </row>
    <row r="15" spans="1:17" x14ac:dyDescent="0.25">
      <c r="A15" t="str">
        <v>TRUE</v>
      </c>
      <c r="B15" t="str">
        <v>=IsBetweenλ(2, 2, 4)</v>
      </c>
    </row>
    <row r="16" spans="1:17" x14ac:dyDescent="0.25">
      <c r="A16" t="str">
        <v>FALSE</v>
      </c>
      <c r="B16" t="str">
        <v>=IsBetweenλ(2, 2, 4, FALSE)</v>
      </c>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s="121" t="str" cm="1">
        <f t="array" ref="E21:E25">tblCT[Customer]</f>
        <v>ACME</v>
      </c>
      <c r="F21" s="174" cm="1">
        <f t="array" ref="F21:F25">nabla.e.SumRowsλ(_xlfn.ANCHORARRAY(G21))</f>
        <v>1</v>
      </c>
      <c r="G21" s="162" cm="1">
        <f t="array" ref="G21:R25">N(nabla.d.IsBetweenλ( _xlfn.XLOOKUP(_xlfn.ANCHORARRAY(E21),tblOnBoarding[Customer],tblOnBoarding[Onboarding]),_xlfn.ANCHORARRAY(G20),_xlfn.ANCHORARRAY( G19)))</f>
        <v>0</v>
      </c>
      <c r="H21">
        <f/>
        <v>1</v>
      </c>
      <c r="I21">
        <f/>
        <v>0</v>
      </c>
      <c r="J21">
        <f/>
        <v>0</v>
      </c>
      <c r="K21">
        <f/>
        <v>0</v>
      </c>
      <c r="L21">
        <f/>
        <v>0</v>
      </c>
      <c r="M21">
        <f/>
        <v>0</v>
      </c>
      <c r="N21">
        <f/>
        <v>0</v>
      </c>
      <c r="O21">
        <f/>
        <v>0</v>
      </c>
      <c r="P21">
        <f/>
        <v>0</v>
      </c>
      <c r="Q21">
        <f/>
        <v>0</v>
      </c>
      <c r="R21">
        <f/>
        <v>0</v>
      </c>
    </row>
    <row r="22" spans="1:18" x14ac:dyDescent="0.25">
      <c r="A22" t="s">
        <v>141</v>
      </c>
      <c r="B22">
        <v>12</v>
      </c>
      <c r="C22" t="s">
        <v>146</v>
      </c>
      <c r="E22" s="121" t="str">
        <v>Wool*Art</v>
      </c>
      <c r="F22" s="174">
        <f/>
        <v>1</v>
      </c>
      <c r="G22" s="174">
        <f/>
        <v>0</v>
      </c>
      <c r="H22">
        <f/>
        <v>0</v>
      </c>
      <c r="I22">
        <f/>
        <v>0</v>
      </c>
      <c r="J22">
        <f/>
        <v>0</v>
      </c>
      <c r="K22">
        <f/>
        <v>0</v>
      </c>
      <c r="L22">
        <f/>
        <v>0</v>
      </c>
      <c r="M22">
        <f/>
        <v>0</v>
      </c>
      <c r="N22">
        <f/>
        <v>0</v>
      </c>
      <c r="O22">
        <f/>
        <v>0</v>
      </c>
      <c r="P22">
        <f/>
        <v>0</v>
      </c>
      <c r="Q22">
        <f/>
        <v>1</v>
      </c>
      <c r="R22">
        <f/>
        <v>0</v>
      </c>
    </row>
    <row r="23" spans="1:18" x14ac:dyDescent="0.25">
      <c r="A23" t="s">
        <v>142</v>
      </c>
      <c r="B23" t="s">
        <v>24</v>
      </c>
      <c r="E23" s="121" t="str">
        <v>Town Hall</v>
      </c>
      <c r="F23" s="174">
        <f/>
        <v>1</v>
      </c>
      <c r="G23" s="174">
        <f/>
        <v>0</v>
      </c>
      <c r="H23">
        <f/>
        <v>0</v>
      </c>
      <c r="I23">
        <f/>
        <v>1</v>
      </c>
      <c r="J23">
        <f/>
        <v>0</v>
      </c>
      <c r="K23">
        <f/>
        <v>0</v>
      </c>
      <c r="L23">
        <f/>
        <v>0</v>
      </c>
      <c r="M23">
        <f/>
        <v>0</v>
      </c>
      <c r="N23">
        <f/>
        <v>0</v>
      </c>
      <c r="O23">
        <f/>
        <v>0</v>
      </c>
      <c r="P23">
        <f/>
        <v>0</v>
      </c>
      <c r="Q23">
        <f/>
        <v>0</v>
      </c>
      <c r="R23">
        <f/>
        <v>0</v>
      </c>
    </row>
    <row r="24" spans="1:18" x14ac:dyDescent="0.25">
      <c r="E24" s="121" t="str">
        <v>Jacqie Penee</v>
      </c>
      <c r="F24" s="174">
        <f/>
        <v>1</v>
      </c>
      <c r="G24">
        <f/>
        <v>0</v>
      </c>
      <c r="H24">
        <f/>
        <v>1</v>
      </c>
      <c r="I24">
        <f/>
        <v>0</v>
      </c>
      <c r="J24">
        <f/>
        <v>0</v>
      </c>
      <c r="K24">
        <f/>
        <v>0</v>
      </c>
      <c r="L24">
        <f/>
        <v>0</v>
      </c>
      <c r="M24">
        <f/>
        <v>0</v>
      </c>
      <c r="N24">
        <f/>
        <v>0</v>
      </c>
      <c r="O24">
        <f/>
        <v>0</v>
      </c>
      <c r="P24">
        <f/>
        <v>0</v>
      </c>
      <c r="Q24">
        <f/>
        <v>0</v>
      </c>
      <c r="R24">
        <f/>
        <v>0</v>
      </c>
    </row>
    <row r="25" spans="1:18" x14ac:dyDescent="0.25">
      <c r="E25" s="121" t="str">
        <v>Amazonia</v>
      </c>
      <c r="F25" s="174">
        <f/>
        <v>1</v>
      </c>
      <c r="G25">
        <f/>
        <v>1</v>
      </c>
      <c r="H25">
        <f/>
        <v>0</v>
      </c>
      <c r="I25">
        <f/>
        <v>0</v>
      </c>
      <c r="J25">
        <f/>
        <v>0</v>
      </c>
      <c r="K25">
        <f/>
        <v>0</v>
      </c>
      <c r="L25">
        <f/>
        <v>0</v>
      </c>
      <c r="M25">
        <f/>
        <v>0</v>
      </c>
      <c r="N25">
        <f/>
        <v>0</v>
      </c>
      <c r="O25">
        <f/>
        <v>0</v>
      </c>
      <c r="P25">
        <f/>
        <v>0</v>
      </c>
      <c r="Q25">
        <f/>
        <v>0</v>
      </c>
      <c r="R25">
        <f/>
        <v>0</v>
      </c>
    </row>
    <row r="26" spans="1:18" ht="21" thickBot="1" x14ac:dyDescent="0.35">
      <c r="A26" s="271" t="s">
        <v>416</v>
      </c>
      <c r="B26" s="272"/>
      <c r="E26" s="203" t="s">
        <v>63</v>
      </c>
      <c r="F26" s="171">
        <f>SUM(_xlfn.ANCHORARRAY(G26))</f>
        <v>5</v>
      </c>
      <c r="G26" s="253" cm="1">
        <f t="array" ref="G26:R26">nabla.e.SumColsλ(_xlfn.ANCHORARRAY(G21))</f>
        <v>1</v>
      </c>
      <c r="H26" s="171">
        <f/>
        <v>2</v>
      </c>
      <c r="I26" s="171">
        <f/>
        <v>1</v>
      </c>
      <c r="J26" s="171">
        <f/>
        <v>0</v>
      </c>
      <c r="K26" s="171">
        <f/>
        <v>0</v>
      </c>
      <c r="L26" s="171">
        <f/>
        <v>0</v>
      </c>
      <c r="M26" s="171">
        <f/>
        <v>0</v>
      </c>
      <c r="N26" s="171">
        <f/>
        <v>0</v>
      </c>
      <c r="O26" s="171">
        <f/>
        <v>0</v>
      </c>
      <c r="P26" s="171">
        <f/>
        <v>0</v>
      </c>
      <c r="Q26" s="171">
        <f/>
        <v>1</v>
      </c>
      <c r="R26" s="171">
        <f/>
        <v>0</v>
      </c>
    </row>
    <row r="27" spans="1:18" ht="15.75" thickTop="1" x14ac:dyDescent="0.25"/>
    <row r="28" spans="1:18" x14ac:dyDescent="0.25">
      <c r="A28" t="s">
        <v>264</v>
      </c>
      <c r="B28" t="s">
        <v>416</v>
      </c>
    </row>
    <row r="29" spans="1:18" x14ac:dyDescent="0.25">
      <c r="A29" s="121" t="str">
        <f>E21</f>
        <v>ACME</v>
      </c>
      <c r="B29" s="141" cm="1">
        <f t="array" ref="B29">$B$21 + 365 * (ROW() - ROW(tblOnBoarding[#Headers]))</f>
        <v>45990</v>
      </c>
    </row>
    <row r="30" spans="1:18" x14ac:dyDescent="0.25">
      <c r="A30" s="121" t="str">
        <f t="shared" ref="A30:A33" si="0">E22</f>
        <v>Wool*Art</v>
      </c>
      <c r="B30" s="141" cm="1">
        <f t="array" ref="B30">$B$21 + 365 * (ROW() - ROW(tblOnBoarding[#Headers]))</f>
        <v>49231</v>
      </c>
    </row>
    <row r="31" spans="1:18" x14ac:dyDescent="0.25">
      <c r="A31" s="121" t="str">
        <f t="shared" si="0"/>
        <v>Town Hall</v>
      </c>
      <c r="B31" s="141" cm="1">
        <f t="array" ref="B31">$B$21 + 365 * (ROW() - ROW(tblOnBoarding[#Headers]))</f>
        <v>46281</v>
      </c>
    </row>
    <row r="32" spans="1:18" x14ac:dyDescent="0.25">
      <c r="A32" s="121" t="str">
        <f t="shared" si="0"/>
        <v>Jacqie Penee</v>
      </c>
      <c r="B32" s="141" cm="1">
        <f t="array" ref="B32">$B$21 + 365 * (ROW() - ROW(tblOnBoarding[#Headers]))</f>
        <v>45861</v>
      </c>
    </row>
    <row r="33" spans="1:2" x14ac:dyDescent="0.25">
      <c r="A33" s="121" t="str">
        <f t="shared" si="0"/>
        <v>Amazonia</v>
      </c>
      <c r="B33" s="141" cm="1">
        <f t="array" ref="B33">$B$21 + 365 * (ROW() - ROW(tblOnBoarding[#Headers]))</f>
        <v>45375</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2E75B6"/>
  </sheetPr>
  <dimension ref="A1:R23"/>
  <sheetViews>
    <sheetView showGridLines="0" workbookViewId="0">
      <selection activeCell="A1" sqref="A1"/>
    </sheetView>
  </sheetViews>
  <sheetFormatPr defaultRowHeight="15" x14ac:dyDescent="0.25"/>
  <cols>
    <col min="1" max="1" width="12.7109375" bestFit="1" customWidth="1"/>
    <col min="2" max="2" width="12.85546875" customWidth="1"/>
    <col min="3" max="3" width="8.5703125" bestFit="1" customWidth="1"/>
    <col min="4" max="4" width="4" bestFit="1" customWidth="1"/>
    <col min="5" max="5" width="22.140625" bestFit="1" customWidth="1"/>
    <col min="6" max="6" width="17.28515625" bestFit="1" customWidth="1"/>
    <col min="7" max="18" width="11.42578125" bestFit="1" customWidth="1"/>
  </cols>
  <sheetData>
    <row r="1" spans="1:18" ht="45.75" x14ac:dyDescent="0.65">
      <c r="A1" s="270" t="str">
        <f>_xlfn.TEXTAFTER(CELL("filename",A1),"]")</f>
        <v>nabla.e.RangeToDAλ</v>
      </c>
      <c r="B1" s="270"/>
      <c r="C1" s="270"/>
      <c r="D1" s="270"/>
      <c r="E1" s="270"/>
      <c r="F1" s="270"/>
      <c r="G1" s="270"/>
      <c r="H1" s="270"/>
      <c r="I1" s="270"/>
      <c r="J1" s="270"/>
      <c r="K1" s="270"/>
    </row>
    <row r="2" spans="1:18" x14ac:dyDescent="0.25">
      <c r="A2" s="273" t="s">
        <v>213</v>
      </c>
      <c r="B2" s="274"/>
      <c r="C2" s="274"/>
      <c r="D2" s="274"/>
      <c r="E2" s="274"/>
      <c r="F2" s="274"/>
      <c r="G2" s="274"/>
      <c r="H2" s="274"/>
      <c r="I2" s="274"/>
      <c r="J2" s="274"/>
      <c r="K2" s="274"/>
      <c r="L2" s="274"/>
      <c r="M2" s="274"/>
      <c r="N2" s="274"/>
      <c r="O2" s="274"/>
      <c r="P2" s="274"/>
      <c r="Q2" s="274"/>
    </row>
    <row r="3" spans="1:18" x14ac:dyDescent="0.25">
      <c r="A3" s="104"/>
      <c r="B3" s="104"/>
      <c r="C3" s="104"/>
      <c r="D3" s="104"/>
      <c r="E3" s="104"/>
      <c r="F3" s="104"/>
      <c r="G3" s="104"/>
      <c r="H3" s="104"/>
      <c r="I3" s="104"/>
      <c r="J3" s="104"/>
      <c r="K3" s="104"/>
    </row>
    <row r="4" spans="1:18" x14ac:dyDescent="0.25">
      <c r="A4" s="162" t="str" cm="1">
        <f t="array" ref="A4:B12">nabla.e.RangeToDAλ()</f>
        <v>FUNCTION:</v>
      </c>
      <c r="B4" t="str">
        <f/>
        <v>RangeToDAλ(Range, [Rows], [Columns])</v>
      </c>
    </row>
    <row r="5" spans="1:18" x14ac:dyDescent="0.25">
      <c r="A5" t="str">
        <f/>
        <v>DESCRIPTION:</v>
      </c>
      <c r="B5" t="str">
        <f/>
        <v>Convert a range reference to a dynamic array reference.</v>
      </c>
    </row>
    <row r="6" spans="1:18" x14ac:dyDescent="0.25">
      <c r="A6" t="str">
        <f/>
        <v>WEBSITE:</v>
      </c>
      <c r="B6" t="str">
        <f/>
        <v>Coming soon</v>
      </c>
    </row>
    <row r="7" spans="1:18" x14ac:dyDescent="0.25">
      <c r="A7" t="str">
        <f/>
        <v>PARAMETERS:</v>
      </c>
      <c r="B7" t="str">
        <f/>
        <v/>
      </c>
    </row>
    <row r="8" spans="1:18" x14ac:dyDescent="0.25">
      <c r="A8" t="str">
        <f/>
        <v>Range</v>
      </c>
      <c r="B8" t="str">
        <f/>
        <v>(Required) A reference to the range to be converted.</v>
      </c>
    </row>
    <row r="9" spans="1:18" x14ac:dyDescent="0.25">
      <c r="A9" t="str">
        <f/>
        <v>Rows</v>
      </c>
      <c r="B9" t="str">
        <f/>
        <v>(Optional) Number of rows for the dynamic array. Defaults to 1.</v>
      </c>
    </row>
    <row r="10" spans="1:18" x14ac:dyDescent="0.25">
      <c r="A10" t="str">
        <f/>
        <v>Columns</v>
      </c>
      <c r="B10" t="str">
        <f/>
        <v>(Optional) Number of columns for the dynamic array. Defaults to 1.</v>
      </c>
    </row>
    <row r="11" spans="1:18" x14ac:dyDescent="0.25">
      <c r="A11" t="str">
        <f/>
        <v/>
      </c>
      <c r="B11" t="str">
        <f/>
        <v/>
      </c>
    </row>
    <row r="12" spans="1:18" x14ac:dyDescent="0.25">
      <c r="A12" t="str">
        <f/>
        <v>EXAMPLES:</v>
      </c>
      <c r="B12" t="str">
        <f/>
        <v>=RangeToDAλ(A1, , ModelPeriodCount)</v>
      </c>
    </row>
    <row r="14" spans="1:18" x14ac:dyDescent="0.25">
      <c r="F14" s="155" t="s">
        <v>417</v>
      </c>
      <c r="G14" s="156" cm="1">
        <f t="array" ref="G14:R14">nabla.d.Timelineλ($B$21,$B$22,$B$23)</f>
        <v>45292</v>
      </c>
      <c r="H14" s="1">
        <v>46388</v>
      </c>
      <c r="I14" s="1">
        <v>46753</v>
      </c>
      <c r="J14" s="1">
        <v>47119</v>
      </c>
      <c r="K14" s="1">
        <v>47484</v>
      </c>
      <c r="L14" s="1">
        <v>47849</v>
      </c>
      <c r="M14" s="1">
        <v>48214</v>
      </c>
      <c r="N14" s="1">
        <v>48580</v>
      </c>
      <c r="O14" s="1">
        <v>48945</v>
      </c>
      <c r="P14" s="1">
        <v>49310</v>
      </c>
      <c r="Q14" s="1">
        <v>49675</v>
      </c>
      <c r="R14" s="1">
        <v>50041</v>
      </c>
    </row>
    <row r="15" spans="1:18" x14ac:dyDescent="0.25">
      <c r="F15" t="s">
        <v>418</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419</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0.25" x14ac:dyDescent="0.3">
      <c r="A18" s="302" t="s">
        <v>272</v>
      </c>
      <c r="B18" s="302"/>
      <c r="C18" s="302"/>
    </row>
    <row r="19" spans="1:18" x14ac:dyDescent="0.25">
      <c r="F19" s="191" t="s">
        <v>415</v>
      </c>
      <c r="G19" s="252" cm="1">
        <f t="array" ref="G19:R19">nabla.d.Timelineλ($B$21,$B$22,$B$23, FALSE)</f>
        <v>45657</v>
      </c>
      <c r="H19" s="252">
        <v>46752</v>
      </c>
      <c r="I19" s="252">
        <v>47118</v>
      </c>
      <c r="J19" s="252">
        <v>47483</v>
      </c>
      <c r="K19" s="252">
        <v>47848</v>
      </c>
      <c r="L19" s="252">
        <v>48213</v>
      </c>
      <c r="M19" s="252">
        <v>48579</v>
      </c>
      <c r="N19" s="252">
        <v>48944</v>
      </c>
      <c r="O19" s="252">
        <v>49309</v>
      </c>
      <c r="P19" s="252">
        <v>49674</v>
      </c>
      <c r="Q19" s="252">
        <v>50040</v>
      </c>
      <c r="R19" s="252">
        <v>50405</v>
      </c>
    </row>
    <row r="20" spans="1:18" x14ac:dyDescent="0.25">
      <c r="A20" s="161" t="s">
        <v>273</v>
      </c>
      <c r="B20" s="161" t="s">
        <v>138</v>
      </c>
      <c r="C20" s="161" t="s">
        <v>139</v>
      </c>
      <c r="E20" s="190" t="s">
        <v>131</v>
      </c>
      <c r="F20" s="155" t="s">
        <v>276</v>
      </c>
      <c r="G20" s="156" cm="1">
        <f t="array" ref="G20:R20">nabla.d.Timelineλ($B$21,$B$22,$B$23)</f>
        <v>45292</v>
      </c>
      <c r="H20" s="1">
        <v>46388</v>
      </c>
      <c r="I20" s="1">
        <v>46753</v>
      </c>
      <c r="J20" s="1">
        <v>47119</v>
      </c>
      <c r="K20" s="1">
        <v>47484</v>
      </c>
      <c r="L20" s="1">
        <v>47849</v>
      </c>
      <c r="M20" s="1">
        <v>48214</v>
      </c>
      <c r="N20" s="1">
        <v>48580</v>
      </c>
      <c r="O20" s="1">
        <v>48945</v>
      </c>
      <c r="P20" s="1">
        <v>49310</v>
      </c>
      <c r="Q20" s="1">
        <v>49675</v>
      </c>
      <c r="R20" s="1">
        <v>50041</v>
      </c>
    </row>
    <row r="21" spans="1:18" x14ac:dyDescent="0.25">
      <c r="A21" t="s">
        <v>236</v>
      </c>
      <c r="B21" s="141">
        <v>46023</v>
      </c>
      <c r="C21" t="s">
        <v>145</v>
      </c>
      <c r="E21" t="s">
        <v>418</v>
      </c>
      <c r="F21" s="174" cm="1">
        <f t="array" ref="F21">nabla.e.SumRowsλ(_xlfn.ANCHORARRAY(G21))</f>
        <v>0.2525</v>
      </c>
      <c r="G21" s="256" cm="1">
        <f t="array" ref="G21:R21">nabla.e.RangeToDAλ(G15,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419</v>
      </c>
      <c r="F22" s="174"/>
      <c r="G22" s="256" cm="1">
        <f t="array" ref="G22:R22">nabla.e.RangeToDAλ(G16,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75623"/>
  </sheetPr>
  <dimension ref="A1:K64"/>
  <sheetViews>
    <sheetView showGridLines="0" workbookViewId="0">
      <selection activeCell="A1" sqref="A1"/>
    </sheetView>
  </sheetViews>
  <sheetFormatPr defaultRowHeight="15" x14ac:dyDescent="0.25"/>
  <cols>
    <col min="1" max="1" width="17.28515625" bestFit="1" customWidth="1"/>
    <col min="2" max="2" width="43.28515625" bestFit="1" customWidth="1"/>
    <col min="4" max="4" width="26.42578125" bestFit="1" customWidth="1"/>
    <col min="5" max="5" width="158.7109375" bestFit="1" customWidth="1"/>
  </cols>
  <sheetData>
    <row r="1" spans="1:11" ht="45.75" x14ac:dyDescent="0.65">
      <c r="A1" s="270" t="str">
        <f>_xlfn.TEXTAFTER(CELL("filename",A1),"]")</f>
        <v>nabla.r.FinancialRatios</v>
      </c>
      <c r="B1" s="270"/>
      <c r="C1" s="270"/>
      <c r="D1" s="270"/>
      <c r="E1" s="270"/>
      <c r="F1" s="270"/>
      <c r="G1" s="270"/>
      <c r="H1" s="270"/>
      <c r="I1" s="270"/>
      <c r="J1" s="270"/>
      <c r="K1" s="270"/>
    </row>
    <row r="10" spans="1:11" x14ac:dyDescent="0.25">
      <c r="D10" t="s">
        <v>459</v>
      </c>
      <c r="E10" t="s">
        <v>131</v>
      </c>
    </row>
    <row r="11" spans="1:11" x14ac:dyDescent="0.25">
      <c r="D11" t="s">
        <v>460</v>
      </c>
      <c r="E11" t="s">
        <v>461</v>
      </c>
    </row>
    <row r="12" spans="1:11" x14ac:dyDescent="0.25">
      <c r="D12" t="s">
        <v>403</v>
      </c>
      <c r="E12" t="s">
        <v>403</v>
      </c>
    </row>
    <row r="13" spans="1:11" x14ac:dyDescent="0.25">
      <c r="B13" s="2" t="s">
        <v>449</v>
      </c>
      <c r="D13" t="s">
        <v>449</v>
      </c>
      <c r="E13" t="s">
        <v>403</v>
      </c>
    </row>
    <row r="14" spans="1:11" x14ac:dyDescent="0.25">
      <c r="A14" s="269" cm="1">
        <f t="array" ref="A14">nabla.r.CurrentRatioλ( 134.836, 125.481)</f>
        <v>1.0745531195957956</v>
      </c>
      <c r="B14" t="str">
        <f t="shared" ref="B14:B20" si="0">_xlfn.FORMULATEXT(A14)</f>
        <v>=nabla.r.CurrentRatioλ( 134.836, 125.481)</v>
      </c>
      <c r="D14" t="s">
        <v>462</v>
      </c>
      <c r="E14" t="s">
        <v>463</v>
      </c>
    </row>
    <row r="15" spans="1:11" x14ac:dyDescent="0.25">
      <c r="A15" s="269" cm="1">
        <f t="array" ref="A15">nabla.r.QuickRatioλ(165000,137500)</f>
        <v>1.2</v>
      </c>
      <c r="B15" t="str">
        <f t="shared" si="0"/>
        <v>=nabla.r.QuickRatioλ(165000,137500)</v>
      </c>
      <c r="D15" t="s">
        <v>464</v>
      </c>
      <c r="E15" t="s">
        <v>465</v>
      </c>
    </row>
    <row r="16" spans="1:11" x14ac:dyDescent="0.25">
      <c r="A16" s="269" cm="1">
        <f t="array" ref="A16">nabla.r.CashRatioλ( 63900000, 123500000)</f>
        <v>0.51740890688259111</v>
      </c>
      <c r="B16" t="str">
        <f t="shared" si="0"/>
        <v>=nabla.r.CashRatioλ( 63900000, 123500000)</v>
      </c>
      <c r="D16" t="s">
        <v>466</v>
      </c>
      <c r="E16" t="s">
        <v>467</v>
      </c>
    </row>
    <row r="17" spans="1:5" x14ac:dyDescent="0.25">
      <c r="A17" s="269" cm="1">
        <f t="array" ref="A17">nabla.r.OperatingCashFlowRatioλ( 27.8, 77.5)</f>
        <v>0.35870967741935483</v>
      </c>
      <c r="B17" t="str">
        <f t="shared" si="0"/>
        <v>=nabla.r.OperatingCashFlowRatioλ( 27.8, 77.5)</v>
      </c>
      <c r="D17" t="s">
        <v>466</v>
      </c>
      <c r="E17" t="s">
        <v>468</v>
      </c>
    </row>
    <row r="18" spans="1:5" x14ac:dyDescent="0.25">
      <c r="A18" s="269" cm="1">
        <f t="array" ref="A18">nabla.r.ReceivablesTurnoverRatioλ( 800000, 68000 )</f>
        <v>11.764705882352942</v>
      </c>
      <c r="B18" t="str">
        <f t="shared" si="0"/>
        <v>=nabla.r.ReceivablesTurnoverRatioλ( 800000, 68000 )</v>
      </c>
      <c r="D18" t="s">
        <v>469</v>
      </c>
      <c r="E18" t="s">
        <v>470</v>
      </c>
    </row>
    <row r="19" spans="1:5" x14ac:dyDescent="0.25">
      <c r="A19" s="269" cm="1">
        <f t="array" ref="A19">nabla.r.InventoryTurnoverRatioλ( 429, 50.7)</f>
        <v>8.4615384615384617</v>
      </c>
      <c r="B19" t="str">
        <f t="shared" si="0"/>
        <v>=nabla.r.InventoryTurnoverRatioλ( 429, 50.7)</v>
      </c>
      <c r="D19" t="s">
        <v>471</v>
      </c>
      <c r="E19" t="s">
        <v>472</v>
      </c>
    </row>
    <row r="20" spans="1:5" x14ac:dyDescent="0.25">
      <c r="A20" s="269" cm="1">
        <f t="array" ref="A20">nabla.r.WorkingCapitalTurnoverRatioλ( 12, 2)</f>
        <v>6</v>
      </c>
      <c r="B20" t="str">
        <f t="shared" si="0"/>
        <v>=nabla.r.WorkingCapitalTurnoverRatioλ( 12, 2)</v>
      </c>
      <c r="D20" t="s">
        <v>473</v>
      </c>
      <c r="E20" t="s">
        <v>474</v>
      </c>
    </row>
    <row r="21" spans="1:5" x14ac:dyDescent="0.25">
      <c r="A21" s="269"/>
      <c r="D21" t="s">
        <v>403</v>
      </c>
      <c r="E21" t="s">
        <v>403</v>
      </c>
    </row>
    <row r="22" spans="1:5" x14ac:dyDescent="0.25">
      <c r="A22" s="269"/>
      <c r="B22" s="2" t="s">
        <v>450</v>
      </c>
      <c r="D22" t="s">
        <v>450</v>
      </c>
      <c r="E22" t="s">
        <v>403</v>
      </c>
    </row>
    <row r="23" spans="1:5" x14ac:dyDescent="0.25">
      <c r="A23" s="269" cm="1">
        <f t="array" ref="A23">nabla.r.DebtRatioλ(30000000, 100000000)</f>
        <v>0.3</v>
      </c>
      <c r="B23" t="str">
        <f>_xlfn.FORMULATEXT(A23)</f>
        <v>=nabla.r.DebtRatioλ(30000000, 100000000)</v>
      </c>
      <c r="D23" t="s">
        <v>475</v>
      </c>
      <c r="E23" t="s">
        <v>476</v>
      </c>
    </row>
    <row r="24" spans="1:5" x14ac:dyDescent="0.25">
      <c r="A24" s="269" cm="1">
        <f t="array" ref="A24">nabla.r.DSCRλ(2150000, 350000)</f>
        <v>6.1428571428571432</v>
      </c>
      <c r="B24" t="str">
        <f>_xlfn.FORMULATEXT(A24)</f>
        <v>=nabla.r.DSCRλ(2150000, 350000)</v>
      </c>
      <c r="D24" t="s">
        <v>477</v>
      </c>
      <c r="E24" t="s">
        <v>478</v>
      </c>
    </row>
    <row r="25" spans="1:5" x14ac:dyDescent="0.25">
      <c r="A25" s="269" cm="1">
        <f t="array" ref="A25">nabla.r.DebtToCapitalRatioλ( 80000000, 223000000 )</f>
        <v>0.264026402640264</v>
      </c>
      <c r="B25" t="str">
        <f>_xlfn.FORMULATEXT(A25)</f>
        <v>=nabla.r.DebtToCapitalRatioλ( 80000000, 223000000 )</v>
      </c>
      <c r="D25" t="s">
        <v>479</v>
      </c>
      <c r="E25" t="s">
        <v>480</v>
      </c>
    </row>
    <row r="26" spans="1:5" x14ac:dyDescent="0.25">
      <c r="A26" s="198" cm="1">
        <f t="array" ref="A26">nabla.r.EquityMultiplierλ(366.6, 83.2 )</f>
        <v>4.40625</v>
      </c>
      <c r="B26" t="str">
        <f>_xlfn.FORMULATEXT(A26)</f>
        <v>=nabla.r.EquityMultiplierλ(366.6, 83.2 )</v>
      </c>
      <c r="D26" t="s">
        <v>481</v>
      </c>
      <c r="E26" t="s">
        <v>482</v>
      </c>
    </row>
    <row r="27" spans="1:5" x14ac:dyDescent="0.25">
      <c r="D27" t="s">
        <v>403</v>
      </c>
      <c r="E27" t="s">
        <v>403</v>
      </c>
    </row>
    <row r="28" spans="1:5" x14ac:dyDescent="0.25">
      <c r="B28" s="2" t="s">
        <v>451</v>
      </c>
      <c r="D28" t="s">
        <v>451</v>
      </c>
      <c r="E28" t="s">
        <v>403</v>
      </c>
    </row>
    <row r="29" spans="1:5" x14ac:dyDescent="0.25">
      <c r="A29" s="269" cm="1">
        <f t="array" ref="A29">nabla.r.DebtToEquityRatioλ(279, 74 )</f>
        <v>3.7702702702702702</v>
      </c>
      <c r="B29" t="str">
        <f>_xlfn.FORMULATEXT(A29)</f>
        <v>=nabla.r.DebtToEquityRatioλ(279, 74 )</v>
      </c>
      <c r="D29" t="s">
        <v>483</v>
      </c>
      <c r="E29" t="s">
        <v>484</v>
      </c>
    </row>
    <row r="30" spans="1:5" x14ac:dyDescent="0.25">
      <c r="A30" s="269" cm="1">
        <f t="array" ref="A30">nabla.r.DebtToAssetRatioλ(31.845, 63.852 )</f>
        <v>0.4987314414583725</v>
      </c>
      <c r="B30" t="str">
        <f t="shared" ref="B30:B32" si="1">_xlfn.FORMULATEXT(A30)</f>
        <v>=nabla.r.DebtToAssetRatioλ(31.845, 63.852 )</v>
      </c>
      <c r="D30" t="s">
        <v>485</v>
      </c>
      <c r="E30" t="s">
        <v>486</v>
      </c>
    </row>
    <row r="31" spans="1:5" x14ac:dyDescent="0.25">
      <c r="A31" s="269" cm="1">
        <f t="array" ref="A31">nabla.r.InterestCoverageRatioλ( 625, 90 )</f>
        <v>6.9444444444444446</v>
      </c>
      <c r="B31" t="str">
        <f t="shared" si="1"/>
        <v>=nabla.r.InterestCoverageRatioλ( 625, 90 )</v>
      </c>
      <c r="D31" t="s">
        <v>487</v>
      </c>
      <c r="E31" t="s">
        <v>488</v>
      </c>
    </row>
    <row r="32" spans="1:5" x14ac:dyDescent="0.25">
      <c r="A32" s="269" cm="1">
        <f t="array" ref="A32">nabla.r.EquityRatioλ( 20, 60, 10 )</f>
        <v>0.4</v>
      </c>
      <c r="B32" t="str">
        <f t="shared" si="1"/>
        <v>=nabla.r.EquityRatioλ( 20, 60, 10 )</v>
      </c>
      <c r="D32" t="s">
        <v>489</v>
      </c>
      <c r="E32" t="s">
        <v>490</v>
      </c>
    </row>
    <row r="33" spans="1:5" x14ac:dyDescent="0.25">
      <c r="A33" s="269"/>
      <c r="D33" t="s">
        <v>403</v>
      </c>
      <c r="E33" t="s">
        <v>403</v>
      </c>
    </row>
    <row r="34" spans="1:5" x14ac:dyDescent="0.25">
      <c r="A34" s="269"/>
      <c r="B34" s="2" t="s">
        <v>452</v>
      </c>
      <c r="D34" t="s">
        <v>452</v>
      </c>
      <c r="E34" t="s">
        <v>403</v>
      </c>
    </row>
    <row r="35" spans="1:5" x14ac:dyDescent="0.25">
      <c r="A35" s="269" cm="1">
        <f t="array" ref="A35">nabla.r.AssetTurnoverRatioλ( 171760, 538715 )</f>
        <v>0.31883277799949883</v>
      </c>
      <c r="B35" t="str">
        <f t="shared" ref="B35:B37" si="2">_xlfn.FORMULATEXT(A35)</f>
        <v>=nabla.r.AssetTurnoverRatioλ( 171760, 538715 )</v>
      </c>
      <c r="D35" t="s">
        <v>491</v>
      </c>
      <c r="E35" t="s">
        <v>492</v>
      </c>
    </row>
    <row r="36" spans="1:5" x14ac:dyDescent="0.25">
      <c r="A36" s="269" cm="1">
        <f t="array" ref="A36">nabla.r.DSIλ(54.9, 490 )</f>
        <v>40.894897959183673</v>
      </c>
      <c r="B36" t="str">
        <f t="shared" si="2"/>
        <v>=nabla.r.DSIλ(54.9, 490 )</v>
      </c>
      <c r="D36" t="s">
        <v>493</v>
      </c>
      <c r="E36" t="s">
        <v>494</v>
      </c>
    </row>
    <row r="37" spans="1:5" x14ac:dyDescent="0.25">
      <c r="A37" s="269" cm="1">
        <f t="array" ref="A37">nabla.r.OperatingRatioλ( 14.37, 48.48, 90.75 )</f>
        <v>0.69256198347107434</v>
      </c>
      <c r="B37" t="str">
        <f t="shared" si="2"/>
        <v>=nabla.r.OperatingRatioλ( 14.37, 48.48, 90.75 )</v>
      </c>
      <c r="D37" t="s">
        <v>495</v>
      </c>
      <c r="E37" t="s">
        <v>496</v>
      </c>
    </row>
    <row r="38" spans="1:5" x14ac:dyDescent="0.25">
      <c r="A38" s="269"/>
      <c r="D38" t="s">
        <v>403</v>
      </c>
      <c r="E38" t="s">
        <v>403</v>
      </c>
    </row>
    <row r="39" spans="1:5" x14ac:dyDescent="0.25">
      <c r="A39" s="269"/>
      <c r="B39" s="2" t="s">
        <v>453</v>
      </c>
      <c r="D39" t="s">
        <v>453</v>
      </c>
      <c r="E39" t="s">
        <v>403</v>
      </c>
    </row>
    <row r="40" spans="1:5" x14ac:dyDescent="0.25">
      <c r="A40" s="269" cm="1">
        <f t="array" ref="A40">nabla.r.GrossMarginλ( 62984, 102007 )</f>
        <v>0.61744782220827987</v>
      </c>
      <c r="B40" t="str">
        <f t="shared" ref="B40:B46" si="3">_xlfn.FORMULATEXT(A40)</f>
        <v>=nabla.r.GrossMarginλ( 62984, 102007 )</v>
      </c>
      <c r="D40" t="s">
        <v>497</v>
      </c>
      <c r="E40" t="s">
        <v>498</v>
      </c>
    </row>
    <row r="41" spans="1:5" x14ac:dyDescent="0.25">
      <c r="A41" s="269" cm="1">
        <f t="array" ref="A41">nabla.r.EBITDAMarginλ( 15, 125 )</f>
        <v>0.12</v>
      </c>
      <c r="B41" t="str">
        <f t="shared" si="3"/>
        <v>=nabla.r.EBITDAMarginλ( 15, 125 )</v>
      </c>
      <c r="D41" t="s">
        <v>499</v>
      </c>
      <c r="E41" t="s">
        <v>500</v>
      </c>
    </row>
    <row r="42" spans="1:5" x14ac:dyDescent="0.25">
      <c r="A42" s="198" cm="1">
        <f t="array" ref="A42">nabla.r.OperatingMarginλ( 0.8, 2 )</f>
        <v>0.4</v>
      </c>
      <c r="B42" t="str">
        <f t="shared" si="3"/>
        <v>=nabla.r.OperatingMarginλ( 0.8, 2 )</v>
      </c>
      <c r="D42" t="s">
        <v>501</v>
      </c>
      <c r="E42" t="s">
        <v>502</v>
      </c>
    </row>
    <row r="43" spans="1:5" x14ac:dyDescent="0.25">
      <c r="A43" s="198" cm="1">
        <f t="array" ref="A43">nabla.r.PretaxMarginλ( 40, 500 )</f>
        <v>0.08</v>
      </c>
      <c r="B43" t="str">
        <f t="shared" si="3"/>
        <v>=nabla.r.PretaxMarginλ( 40, 500 )</v>
      </c>
      <c r="D43" t="s">
        <v>503</v>
      </c>
      <c r="E43" t="s">
        <v>504</v>
      </c>
    </row>
    <row r="44" spans="1:5" x14ac:dyDescent="0.25">
      <c r="A44" s="198" cm="1">
        <f t="array" ref="A44">nabla.r.NetProfitMarginλ( 56, 100 )</f>
        <v>0.56000000000000005</v>
      </c>
      <c r="B44" t="str">
        <f t="shared" si="3"/>
        <v>=nabla.r.NetProfitMarginλ( 56, 100 )</v>
      </c>
      <c r="D44" t="s">
        <v>505</v>
      </c>
      <c r="E44" t="s">
        <v>506</v>
      </c>
    </row>
    <row r="45" spans="1:5" x14ac:dyDescent="0.25">
      <c r="A45" s="198" cm="1">
        <f t="array" ref="A45">nabla.r.CashFlowMarginλ( 2.695, 5.3 )</f>
        <v>0.50849056603773579</v>
      </c>
      <c r="B45" t="str">
        <f t="shared" si="3"/>
        <v>=nabla.r.CashFlowMarginλ( 2.695, 5.3 )</v>
      </c>
      <c r="D45" t="s">
        <v>507</v>
      </c>
      <c r="E45" t="s">
        <v>508</v>
      </c>
    </row>
    <row r="46" spans="1:5" x14ac:dyDescent="0.25">
      <c r="A46" s="198" cm="1">
        <f t="array" ref="A46">nabla.r.ROAλ(1200, 15000 )</f>
        <v>0.08</v>
      </c>
      <c r="B46" t="str">
        <f t="shared" si="3"/>
        <v>=nabla.r.ROAλ(1200, 15000 )</v>
      </c>
      <c r="D46" t="s">
        <v>509</v>
      </c>
      <c r="E46" t="s">
        <v>510</v>
      </c>
    </row>
    <row r="47" spans="1:5" x14ac:dyDescent="0.25">
      <c r="A47" s="198" cm="1">
        <f t="array" ref="A47">nabla.r.ROEλ( 59.972, AVERAGE(251.635, 256.144) )</f>
        <v>0.23621299817440264</v>
      </c>
      <c r="B47" t="str">
        <f>_xlfn.FORMULATEXT(A47)</f>
        <v>=nabla.r.ROEλ( 59.972, AVERAGE(251.635, 256.144) )</v>
      </c>
      <c r="D47" t="s">
        <v>511</v>
      </c>
      <c r="E47" t="s">
        <v>512</v>
      </c>
    </row>
    <row r="48" spans="1:5" x14ac:dyDescent="0.25">
      <c r="A48" s="198" cm="1">
        <f t="array" ref="A48">nabla.r.ROIλ( 2875, 10000 )</f>
        <v>0.28749999999999998</v>
      </c>
      <c r="B48" t="str">
        <f>_xlfn.FORMULATEXT(A48)</f>
        <v>=nabla.r.ROIλ( 2875, 10000 )</v>
      </c>
      <c r="D48" t="s">
        <v>513</v>
      </c>
      <c r="E48" t="s">
        <v>514</v>
      </c>
    </row>
    <row r="49" spans="1:5" x14ac:dyDescent="0.25">
      <c r="A49" s="198" cm="1">
        <f t="array" ref="A49">nabla.r.ROICλ( 3245, 25729 )</f>
        <v>0.12612227447627192</v>
      </c>
      <c r="B49" t="str">
        <f>_xlfn.FORMULATEXT(A49)</f>
        <v>=nabla.r.ROICλ( 3245, 25729 )</v>
      </c>
      <c r="D49" t="s">
        <v>515</v>
      </c>
      <c r="E49" t="s">
        <v>516</v>
      </c>
    </row>
    <row r="50" spans="1:5" x14ac:dyDescent="0.25">
      <c r="A50" s="198"/>
      <c r="D50" t="s">
        <v>403</v>
      </c>
      <c r="E50" t="s">
        <v>403</v>
      </c>
    </row>
    <row r="51" spans="1:5" x14ac:dyDescent="0.25">
      <c r="B51" s="2" t="s">
        <v>454</v>
      </c>
      <c r="D51" t="s">
        <v>454</v>
      </c>
      <c r="E51" t="s">
        <v>403</v>
      </c>
    </row>
    <row r="52" spans="1:5" x14ac:dyDescent="0.25">
      <c r="A52" s="269" cm="1">
        <f t="array" ref="A52">nabla.r.PriceEarningsRatioλ( 242.62, 16.85)</f>
        <v>14.39881305637982</v>
      </c>
      <c r="B52" t="str">
        <f>_xlfn.FORMULATEXT(A52)</f>
        <v>=nabla.r.PriceEarningsRatioλ( 242.62, 16.85)</v>
      </c>
      <c r="D52" t="s">
        <v>517</v>
      </c>
      <c r="E52" t="s">
        <v>518</v>
      </c>
    </row>
    <row r="53" spans="1:5" x14ac:dyDescent="0.25">
      <c r="A53" s="269" cm="1">
        <f t="array" ref="A53">nabla.r.PriceToBookRatioλ( 5, 2.5 )</f>
        <v>2</v>
      </c>
      <c r="B53" t="str">
        <f>_xlfn.FORMULATEXT(A53)</f>
        <v>=nabla.r.PriceToBookRatioλ( 5, 2.5 )</v>
      </c>
      <c r="D53" t="s">
        <v>519</v>
      </c>
      <c r="E53" t="s">
        <v>520</v>
      </c>
    </row>
    <row r="54" spans="1:5" x14ac:dyDescent="0.25">
      <c r="A54" s="269" cm="1">
        <f t="array" ref="A54">nabla.r.PriceToSalesRatioλ( 455, 100 )</f>
        <v>4.55</v>
      </c>
      <c r="B54" t="str">
        <f>_xlfn.FORMULATEXT(A54)</f>
        <v>=nabla.r.PriceToSalesRatioλ( 455, 100 )</v>
      </c>
      <c r="D54" t="s">
        <v>521</v>
      </c>
      <c r="E54" t="s">
        <v>522</v>
      </c>
    </row>
    <row r="55" spans="1:5" x14ac:dyDescent="0.25">
      <c r="A55" s="269" cm="1">
        <f t="array" ref="A55">nabla.r.PriceToCashRatioλ( 200, 100 )</f>
        <v>2</v>
      </c>
      <c r="B55" t="str">
        <f>_xlfn.FORMULATEXT(A55)</f>
        <v>=nabla.r.PriceToCashRatioλ( 200, 100 )</v>
      </c>
      <c r="D55" t="s">
        <v>523</v>
      </c>
      <c r="E55" t="s">
        <v>524</v>
      </c>
    </row>
    <row r="56" spans="1:5" x14ac:dyDescent="0.25">
      <c r="A56" s="268" cm="1">
        <f t="array" ref="A56">nabla.r.BVPSλ(20, 5, AVERAGE( 2.9, 3.1) )</f>
        <v>5</v>
      </c>
      <c r="B56" t="str">
        <f t="shared" ref="B56:B58" si="4">_xlfn.FORMULATEXT(A56)</f>
        <v>=nabla.r.BVPSλ(20, 5, AVERAGE( 2.9, 3.1) )</v>
      </c>
      <c r="D56" t="s">
        <v>525</v>
      </c>
      <c r="E56" t="s">
        <v>526</v>
      </c>
    </row>
    <row r="57" spans="1:5" x14ac:dyDescent="0.25">
      <c r="A57" s="269" cm="1">
        <f t="array" ref="A57">nabla.r.CAPERatioλ( 100, 10  )</f>
        <v>10</v>
      </c>
      <c r="B57" t="str">
        <f t="shared" si="4"/>
        <v>=nabla.r.CAPERatioλ( 100, 10  )</v>
      </c>
      <c r="D57" t="s">
        <v>527</v>
      </c>
      <c r="E57" t="s">
        <v>528</v>
      </c>
    </row>
    <row r="58" spans="1:5" x14ac:dyDescent="0.25">
      <c r="A58" s="269" cm="1">
        <f t="array" ref="A58">nabla.r.DPRλ( 5, 20 )</f>
        <v>0.25</v>
      </c>
      <c r="B58" t="str">
        <f t="shared" si="4"/>
        <v>=nabla.r.DPRλ( 5, 20 )</v>
      </c>
      <c r="D58" t="s">
        <v>529</v>
      </c>
      <c r="E58" t="s">
        <v>530</v>
      </c>
    </row>
    <row r="59" spans="1:5" x14ac:dyDescent="0.25">
      <c r="A59" s="269" cm="1">
        <f t="array" ref="A59">nabla.r.DividendYieldRatioλ( 1.2, 45 )</f>
        <v>2.6666666666666665E-2</v>
      </c>
      <c r="B59" t="str">
        <f>_xlfn.FORMULATEXT(A59)</f>
        <v>=nabla.r.DividendYieldRatioλ( 1.2, 45 )</v>
      </c>
      <c r="D59" t="s">
        <v>531</v>
      </c>
      <c r="E59" t="s">
        <v>532</v>
      </c>
    </row>
    <row r="60" spans="1:5" x14ac:dyDescent="0.25">
      <c r="A60" s="269" cm="1">
        <f t="array" ref="A60">nabla.r.EPSλ( 7.6, 0, 3.98 )</f>
        <v>1.9095477386934672</v>
      </c>
      <c r="B60" t="str">
        <f t="shared" ref="B60:B61" si="5">_xlfn.FORMULATEXT(A60)</f>
        <v>=nabla.r.EPSλ( 7.6, 0, 3.98 )</v>
      </c>
      <c r="D60" t="s">
        <v>533</v>
      </c>
      <c r="E60" t="s">
        <v>534</v>
      </c>
    </row>
    <row r="61" spans="1:5" x14ac:dyDescent="0.25">
      <c r="A61" s="269" cm="1">
        <f t="array" ref="A61">nabla.r.RetentionRatioλ( 41.981, 22.112)</f>
        <v>1.898561866859624</v>
      </c>
      <c r="B61" t="str">
        <f t="shared" si="5"/>
        <v>=nabla.r.RetentionRatioλ( 41.981, 22.112)</v>
      </c>
      <c r="D61" t="s">
        <v>535</v>
      </c>
      <c r="E61" t="s">
        <v>536</v>
      </c>
    </row>
    <row r="62" spans="1:5" x14ac:dyDescent="0.25">
      <c r="A62" s="198"/>
      <c r="D62" t="s">
        <v>403</v>
      </c>
      <c r="E62" t="s">
        <v>403</v>
      </c>
    </row>
    <row r="63" spans="1:5" x14ac:dyDescent="0.25">
      <c r="D63" t="s">
        <v>537</v>
      </c>
      <c r="E63" t="s">
        <v>538</v>
      </c>
    </row>
    <row r="64" spans="1:5" x14ac:dyDescent="0.25">
      <c r="D64" t="s">
        <v>403</v>
      </c>
      <c r="E64" t="s">
        <v>403</v>
      </c>
    </row>
  </sheetData>
  <mergeCells count="1">
    <mergeCell ref="A1:K1"/>
  </mergeCells>
  <hyperlinks>
    <hyperlink ref="A1" location="'TOC'!$A$1" display="'TOC'!$A$1" xr:uid="{B782A6BB-286B-46B1-81DB-8C4B9AD862BC}"/>
  </hyperlinks>
  <pageMargins left="0.7" right="0.7" top="0.75" bottom="0.75" header="0.3" footer="0.3"/>
</worksheet>
</file>

<file path=xl/worksheets/sheet50.xml><?xml version="1.0" encoding="utf-8"?>
<worksheet xmlns="http://schemas.openxmlformats.org/spreadsheetml/2006/main" xmlns:r="http://schemas.openxmlformats.org/officeDocument/2006/relationships">
  <sheetPr>
    <tabColor rgb="FF157A5F"/>
  </sheetPr>
  <dimension ref="A1:F26"/>
  <sheetViews>
    <sheetView showGridLines="0" workbookViewId="0">
      <selection activeCell="A1" sqref="A1"/>
    </sheetView>
  </sheetViews>
  <sheetFormatPr defaultRowHeight="15"/>
  <cols>
    <col min="1" max="1" width="34" customWidth="1"/>
    <col min="2" max="6" width="16" customWidth="1"/>
  </cols>
  <sheetData>
    <row r="1">
      <c r="A1" s="270" t="str">
        <f>_xlfn.TEXTAFTER(CELL("filename",A1),"]")</f>
        <v>Australian tax</v>
      </c>
    </row>
    <row r="2">
      <c r="A2" s="0" t="inlineStr">
        <is>
          <t>The Australian additions to this library. Change the input cells and the results follow.</t>
        </is>
      </c>
    </row>
    <row r="4">
      <c r="A4" s="319" t="inlineStr">
        <is>
          <t>DEPRECIATION</t>
        </is>
      </c>
    </row>
    <row r="5">
      <c r="A5" s="319" t="inlineStr">
        <is>
          <t>Cost</t>
        </is>
      </c>
      <c r="B5" s="319" t="inlineStr">
        <is>
          <t>Effective life (years)</t>
        </is>
      </c>
    </row>
    <row r="6">
      <c r="A6" s="320">
        <v>50000</v>
      </c>
      <c r="B6" s="0">
        <v>5</v>
      </c>
    </row>
    <row r="8">
      <c r="A8" s="0" t="inlineStr">
        <is>
          <t>Diminishing value (ATO 200% method)</t>
        </is>
      </c>
      <c r="B8" s="320" cm="1">
        <f t="array" ref="B8:F8">nabla.f.DiminishingValueλ($A$6,$B$6)</f>
      </c>
    </row>
    <row r="9">
      <c r="A9" s="0" t="inlineStr">
        <is>
          <t>Prime cost (ATO straight line)</t>
        </is>
      </c>
      <c r="B9" s="320" cm="1">
        <f t="array" ref="B9:F9">nabla.f.PrimeCostλ($A$6,$B$6)</f>
      </c>
    </row>
    <row r="10">
      <c r="A10" s="0" t="inlineStr">
        <is>
          <t>Total written off, diminishing value</t>
        </is>
      </c>
      <c r="B10" s="320">
        <f>SUM(_xlfn.ANCHORARRAY(B8))</f>
      </c>
    </row>
    <row r="11">
      <c r="A11" s="0" t="inlineStr">
        <is>
          <t>Total written off, prime cost</t>
        </is>
      </c>
      <c r="B11" s="320">
        <f>SUM(_xlfn.ANCHORARRAY(B9))</f>
      </c>
    </row>
    <row r="12">
      <c r="A12" s="0" t="inlineStr">
        <is>
          <t>Both totals equal the cost above for any effective life, including part years such as 6 2/3 and lives under 2 years.</t>
        </is>
      </c>
    </row>
    <row r="14">
      <c r="A14" s="319" t="inlineStr">
        <is>
          <t>GST</t>
        </is>
      </c>
    </row>
    <row r="15">
      <c r="A15" s="319" t="inlineStr">
        <is>
          <t>GST-exclusive amount</t>
        </is>
      </c>
      <c r="B15" s="319" t="inlineStr">
        <is>
          <t>Plus GST</t>
        </is>
      </c>
    </row>
    <row r="16">
      <c r="A16" s="320">
        <v>1000</v>
      </c>
      <c r="B16" s="320" cm="1">
        <f t="array" ref="B16:B16">nabla.f.GSTAddλ(A16)</f>
      </c>
    </row>
    <row r="18">
      <c r="A18" s="319" t="inlineStr">
        <is>
          <t>GST-inclusive amount</t>
        </is>
      </c>
      <c r="B18" s="319" t="inlineStr">
        <is>
          <t>GST included</t>
        </is>
      </c>
    </row>
    <row r="19">
      <c r="A19" s="320">
        <v>1100</v>
      </c>
      <c r="B19" s="320" cm="1">
        <f t="array" ref="B19:B19">nabla.f.GSTExtractλ(A19)</f>
      </c>
    </row>
    <row r="21">
      <c r="A21" s="319" t="inlineStr">
        <is>
          <t>FINANCIAL YEAR</t>
        </is>
      </c>
    </row>
    <row r="22">
      <c r="A22" s="319" t="inlineStr">
        <is>
          <t>Date</t>
        </is>
      </c>
      <c r="B22" s="319" t="inlineStr">
        <is>
          <t>Financial year</t>
        </is>
      </c>
    </row>
    <row r="23">
      <c r="A23" s="321">
        <v>46203</v>
      </c>
      <c r="B23" s="0" cm="1">
        <f t="array" ref="B23:B26">nabla.d.FinancialYearλ(A23:A26)</f>
      </c>
    </row>
    <row r="24">
      <c r="A24" s="321">
        <v>46204</v>
      </c>
    </row>
    <row r="25">
      <c r="A25" s="321">
        <v>46249</v>
      </c>
    </row>
    <row r="26">
      <c r="A26" s="321">
        <v>46387</v>
      </c>
    </row>
  </sheetData>
  <hyperlinks>
    <hyperlink ref="A1" location="'TOC'!$A$1" display="'TOC'!$A$1"/>
  </hyperlinks>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uAGEAYgBsAGEALgBkACIALAAiAHQAZQB4AHQAIgA6ACIALwAqACAAIABNAG8AZAB1AGwAZQAgAEMAbwBuAHQAYQBpAG4AcwAgAG4AYQBiAGwAYQAgAEMAbwBtAHAAbABpAGEAbgB0ACAATABBAE0AQgBEAEEAcwAgAHQAaABhAHQAIABkAGUAYQBsACAAdwBpAHQAaAAgAGQAYQB0AGUAcwAgACoALwBcAG4AXABu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EEAYgBvAHUAdAC7AyAAPQAgAFQAUgBJAE0AKABcAG4AIAAgACAAIABUAEUAWABUAFMAUABMAEkAVAAoAFwAbgAgACAAIAAgACAAIAAgACAAXAAiAEEAYgBvAHUAdAA6ACAAIAAgACAAIAAgACAAIAAgACAAIAAgACAAIAAgACAAIACSIUMAQgBTAEUAIABjAG8AbQBwAGwAaQBhAG4AdAAgAEwAQQBNAEIARABBAHMAIABkAGUAYQBsAGkAbgBnACAAdwBpAHQAaAAgAGQAYQB0AGUAcwAuACAAUwB1AGcAZwBlAHMAdABlAGQAIABtAG8AZAB1AGwAZQAgAG4AYQBtAGUAOgAgAG4AYQBiAGwAYQAuAGQAtgBcACIAIAAmAFwAbgAgACAAIAAgACAAIAAgACAAXAAiAFYAZQByAHMAaQBvAG4AOgAgACAAIAAgACAAIAAgACAAIAAgACAAIAAgACAAIACSITEAOAAgAEEAdQBnACAAMgAwADIANgC2AFwAIgAgACYAXABuACAAIAAgACAAIAAgACAAIABcACIAUgBlAHAAbwBzAGkAdABvAHIAeQA6ACAAIAAgACAAIAAgACAAIAAgACAAIAAgACAAIACSIWgAdAB0AHAAcwA6AC8ALwBnAGkAdABoAHUAYgAuAGMAbwBtAC8AcgB5AGEAbgBkAHUAZwB1AGkAZAAvAE4AYQBiAGwAYQAgALYAXAAiACAAJgBcAG4AIAAgACAAIAAgACAAIAAgAFwAIgCSIbYAXAAiACAAJgAgAFwAbgAgACAAIAAgACAAIAAgACAAXAAiAEYAdQBuAGMAdABpAG8AbgAgACAAIAAgACAAIAAgACAAIAAgACAAIAAgACAAIACSIUQAZQBzAGMAcgBpAHAAdABpAG8AbgC2AFwAIgAgACYAIABcAG4AIAAgACAAIAAgACAAIAAgAFwAIgBBAGIAbwB1AHQAuwMgACAAIAAgACAAIAAgACAAIAAgACAAIAAgACAAIAAgACAAkiFQAHIAbwBkAHUAYwBlAHMAIAB0AGgAaQBzACAAdABhAGIAbABlALYAXAAiACAAJgBcAG4AIAAgACAAIAAgACAAIAAgAFwAIgBDAG8AdQBuAHQARABPAFcAuwMgACAAIAAgACAAIAAgACAAIAAgACAAIAAgACAAkiFDAG8AdQBuAHQAIABpAG4AcwB0AGEAbgBjAGUAcwAgAG8AZgAgAGEAIABzAHAAZQBjAGkAZgBpAGMAIABkAGEAeQAgAG8AZgAgAHQAaABlACAAdwBlAGUAawAgAGIAZQB0AHcAZQBlAG4AIAB0AHcAbwAgAGQAYQB0AGUAcwC2AFwAIgAgACYAXABuACAAIAAgACAAIAAgACAAIABcACIASQBzAEIAZQB0AHcAZQBlAG4AuwMgACAAIAAgACAAIAAgACAAIAAgACAAIAAgAJIhRABlAHQAZQByAG0AaQBuAGUAIABpAGYAIABhACAAdgBhAGwAdQBlACAAaQBzACAAYgBlAHQAdwBlAGUAbgAgAGEAIABsAG8AdwBlAHIAIABhAG4AZAAgAHUAcABwAGUAcgAgAGwAaQBtAGkAdAC2AFwAIgAgACYAXABuACAAIAAgACAAIAAgACAAIABcACIASQBzAE8AYwBjAHUAcgByAGUAbgBjAGUARABhAHQAZQC7AyAAIAAgACAAIAAgAJIhRABlAHQAZQByAG0AaQBuAGUAIABpAGYAIABhACAAZABhAHQAZQAgAHAAYQBzAHMAZQBkACAAaQBzACAAdwBoAGUAbgAgAGEAIABwAG8AdABlAG4AdABpAGEAbABsAHkAIAByAGUAcABlAGEAdABpAG4AZwAgAGUAdgBlAG4AdAAgAGgAYQBwAHAAZQBuAHMAtgBcACIAIAAmAFwAbgAgACAAIAAgACAAIAAgACAAXAAiAE8AdgBlAHIATABhAHAARABhAHkAcwC7AyAAIAAgACAAIAAgACAAIAAgACAAIACSIVIAZQB0AHUAcgBuACAAaABvAHcAIABtAGEAbgB5ACAAZABhAHkAcwAgAG8AdgBlAHIAbABhAHAAIAB0AHcAbwAgAHAAZQByAGkAbwBkACAAcgBhAG4AZwBlAHMALgC2AFwAIgAgACYAXABuACAAIAAgACAAIAAgACAAIABcACIAUABlAHIAaQBvAGQAcwC7AyAAIAAgACAAIAAgACAAIAAgACAAIAAgACAAIAAgAJIhRABlAHQAZQByAG0AaQBuAGUAIAB0AGgAZQAgAG4AdQBtAGIAZQByACAAbwBmACAAcABlAHIAaQBvAGQAcwAgAGYAcgBvAG0AIABTAHQAYQByAHQAcwAgAHQAbwAgAEUAbgBkAHMAIABpAG4AYwBsAHUAcwBpAHYAZQC2AFwAIgAgACYAXABuACAAIAAgACAAIAAgACAAIABcACIAUABlAHIAaQBvAGQATABhAGIAZQBsALsDIAAgACAAIAAgACAAIAAgACAAIAAgAJIhQwByAGUAYQB0AGUAcwAgAGEAIABsAGEAYgBlAGwAIABmAG8AcgAgAGEAIABkAGEAdABlACAAYgBhAHMAZQBkACAAbwBuACAAcABlAHIAaQBvAGQAIABpAG4AdABlAHIAdgBhAGwAtgBcACIAIAAmAFwAbgAgACAAIAAgACAAIAAgACAAXAAiAFMAYwBoAGUAZAB1AGwAZQBSAGEAdABlAHMAuwMgACAAIAAgACAAIAAgACAAIACSIVMAYwBoAGUAZAB1AGwAZQAgAHIAYQB0AGUAcwAgAHQAaABhAHQAIABwAGUAcgBzAGkAcwB0ACAAdQBuAHQAaQBsACAAcgBlAHAAbABhAGMAZQBkACAAaQBuACAAYQAgAHQAaQBtAGUAbABpAG4AZQAuALYAXAAiACAAJgBcAG4AIAAgACAAIAAgACAAIAAgAFwAIgBTAGMAaABlAGQAdQBsAGUAUgBhAHQAZQBzAEIAeQBJAHQAZQBtAHMAuwMgACAAkiFTAGMAaABlAGQAdQBsAGUAIAByAGEAdABlAHMAIAB0AGgAYQB0ACAAcABlAHIAcwBpAHMAdAAgAHUAbgB0AGkAbAAgAHIAZQBwAGwAYQBjAGUAZAAgAGkAbgAgAGEAIAB0AGkAbQBlAGwAaQBuAGUAIABmAG8AcgAgAGUAYQBjAGgAIABpAHQAZQBtACAAaQBuACAAYQAgAGwAaQBzAHQALgC2AFwAIgAgACYAXABuACAAIAAgACAAIAAgACAAIABcACIAUwBjAGgAZQBkAHUAbABlAFYAYQBsAHUAZQBzALsDIAAgACAAIAAgACAAIAAgAJIhUwBjAGgAZQBkAHUAbABlAHMAIAB2AGEAbAB1AGUAcwAgAGkAbgAgAGEAIAB0AGkAbQBlAGwAaQBuAGUALgAgALYAXAAiACAAJgBcAG4AIAAgACAAIAAgACAAIAAgAFwAIgBTAGMAaABlAGQAdQBsAGUAVgBhAGwAdQBlAHMAQgB5AEkAdABlAG0AcwC7AyAAkiFTAGMAaABlAGQAdQBsAGUAcwAgAHYAYQBsAHUAZQBzACAAaQBuACAAYQAgAHQAaQBtAGUAbABpAG4AZQAgAGYAbwByACAAZQBhAGMAaAAgAGkAdABlAG0AIABpAG4AIABhACAAbABpAHMAdAAuALYAXAAiACAAJgBcAG4AIAAgACAAIAAgACAAIAAgAFwAIgBUAGkAbQBlAGwAaQBuAGUAuwMgACAAIAAgACAAIAAgACAAIAAgACAAIAAgACAAkiFDAHIAZQBhAHQAZQBzACAAYQAgAGgAbwByAGkAegBvAG4AdABhAGwAIABsAGkAcwB0ACAAbwBmACAAcwB0AGEAcgB0ACAAbwByACAAZQBuAGQAIABkAGEAdABlAHMAIABmAG8AcgAgAGEAIAB0AGkAbQBlAGwAaQBuAGU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tgBcACIAIAAmAFwAbgAgACAAIAAgACAAIAAgACAAXAAiAEQASQBBAEcATgBPAFMAVABJAEMAUwAgACAAIAAgACAAIAAgACAAIAAgACAAIACSIVQAaABlAHMAZQAgAGYAdQBuAGMAdABpAG8AbgBzACAAZABpAGEAZwBuAG8AcwBlACAAcAByAG8AYgBsAGUAbQBzACAAaQBuACAAdABoAGUAaQByACAAYQBzAHMAbwBjAGkAYQB0AGUAIABmAHUAbgBjAHQAaQBvAG4AJwBzACAAYQByAGcAdQBtAGUAbgB0AHMALgC2AFwAIgAgACYAIABcAG4AIAAgACAAIAAgACAAIAAgACAAIAAgACAAIAAgACAAIAAgACAAIAAgACAAIAAgACAAIAAgACAAIAAgACAAIABcACIAkiFTAGgAbwB1AGwAZAAgAGEAIABmAHUAbgBjAHQAaQBvAG4AIABuAG8AdAAgAHcAbwByAGsALAAgAGkAdAAgAG0AYQB5ACAAYgBlACAAYgBlAGMAYQB1AHMAZQAgAHQAaABlAHIAZQAgAGkAcwAgAGEAIABwAHIAbwBiAGwAZQBtACAAdwBpAHQAaAAgAHQAaABlACAAYQByAGcAdQBtAGUAbgB0AHMALgC2AFwAIgAgACYAIABcAG4AIAAgACAAIAAgACAAIAAgACAAIAAgACAAIAAgACAAIAAgACAAIAAgACAAIAAgACAAIAAgACAAIAAgACAAIABcACIAkiFBAHIAZwB1AG0AZQBuAHQAIABwAHIAbwBiAGwAZQBtAHMAIABjAGEAbgAgAGkAbgBjAGwAdQBkAGUAIAB0AGUAeAB0ACAAdwBoAGUAcgBlACAAbgB1AG0AYgBlAHIAcwAgAHMAaABvAHUAbABkACAAYgBlACwAIABpAG4AdgBhAGwAaQBkACAAZABhAHQAZQBzACwAIABlAHQAYwAuALYAXAAiACAAJgAgAFwAbgAgACAAIAAgACAAIAAgACAAIAAgACAAIAAgACAAIAAgACAAIAAgACAAIAAgACAAIAAgACAAIAAgACAAIAAgAFwAIgCSIVQAbwAgAHMAZQBlACAAaQBmACAAeQBvAHUAIABoAGEAdgBlACAAYQByAGcAdQBtAGUAbgB0ACAAcAByAG8AYgBsAGUAbQBzACwAIABpAG4AcwBlAHIAdAAgACcARABWACcAIABiAGUAdAB3AGUAZQBuACAAJwC7AycAIABhAG4AZAAgACcAKAAnAC4AIAC2AFwAIgAgACYAIABcAG4AIAAgACAAIAAgACAAIAAgACAAIAAgACAAIAAgACAAIAAgACAAIAAgACAAIAAgACAAIAAgACAAIAAgACAAIABcACIAkiFIAGUAcgBlACAAaQBzACAAYQBuACAAZQB4AGEAbQBwAGwAZQA6ACAAQwBvAHUAbgB0AEQATwBXALsDRABWACgAIABTAHQAYQByAHQALAAgAEUAbgBkACwAIAAxACkALgAgAEgAaQB0ACAAZQBuAHQAZQByACAAdABvACAAcgB1AG4AIABkAGkAYQBnAG4AbwBzAHQAaQBjAHMALgC2AFwAIgAgACYAIABcAG4AIAAgACAAIAAgACAAIAAgACAAIAAgACAAIAAgACAAIAAgACAAIAAgACAAIAAgACAAIAAgACAAIAAgACAAIABcACIAkiFXAGgAZQBuACAAZgBpAG4AaQBzAGgAZQBkACwAIAByAGUAbQBvAHYAZQAgACcARABWACcAIAB0AG8AIAByAGUAdAB1AHIAbgAgAHQAaABlACAAZgB1AG4AYwB0AGkAbwBuACAAdABvACAAbgBvAHIAbQBhAGwAIABvAHAAZQByAGEAdABpAG8AbgC2AFwAIgAgACYAIABcAG4AIAAgACAAIAAgACAAIAAgAFwAIgBDAG8AdQBuAHQARABPAFcAuwNEAFYAIAAgACAAIAAgACAAIAAgACAAIAAgACAAkiG2AFwAIgAgACYAXABuACAAIAAgACAAIAAgACAAIABcACIASQBzAEIAZQB0AHcAZQBlAG4AuwNEAFYAIAAgACAAIAAgACAAIAAgACAAIAAgAJIhtgBcACIAIAAmAFwAbgAgACAAIAAgACAAIAAgACAAXAAiAEkAcwBPAGMAYwB1AHIAcgBlAG4AYwBlAEQAYQB0AGUAuwNEAFYAIAAgACAAIACSIbYAXAAiACAAJgBcAG4AIAAgACAAIAAgACAAIAAgAFwAIgBPAHYAZQByAEwAYQBwAEQAYQB5AHMAuwNEAFYAIAAgACAAIAAgACAAIAAgACAAkiG2AFwAIgAgACYAXABuACAAIAAgACAAIAAgACAAIABcACIAUABlAHIAaQBvAGQAcwC7A0QAVgAgACAAIAAgACAAIAAgACAAIAAgACAAIAAgAJIhtgBcACIAIAAmAFwAbgAgACAAIAAgACAAIAAgACAAXAAiAFAAZQByAGkAbwBkAEwAYQBiAGUAbAC7A0QAVgAgACAAIAAgACAAIAAgACAAIACSIbYAXAAiACAAJgBcAG4AIAAgACAAIAAgACAAIAAgAFwAIgBTAGMAaABlAGQAdQBsAGUAUgBhAHQAZQBzALsDRABWACAAIAAgACAAIAAgACAAkiG2AFwAIgAgACYAXABuACAAIAAgACAAIAAgACAAIABcACIAUwBjAGgAZQBkAHUAbABlAFIAYQB0AGUAcwBCAHkASQB0AGUAbQBzALsDRABWAJIhtgBcACIAIAAmAFwAbgAgACAAIAAgACAAIAAgACAAXAAiAFMAYwBoAGUAZAB1AGwAZQBWAGEAbAB1AGUAcwC7A0QAVgAgACAAIAAgACAAIACSIbYAXAAiACAAJgBcAG4AIAAgACAAIAAgACAAIAAgAFwAIgBTAGMAaABlAGQAdQBsAGUAVgBhAGwAdQBlAHMAQgB5AEkAdABlAG0AcwC7A0QAVgCSIbYAXAAiACAAJgBcAG4AIAAgACAAIAAgACAAIAAgAFwAIgBUAGkAbQBlAGwAaQBuAGUAuwMgACAAIAAgACAAIAAgACAAIAAgACAAIAAgACAAkiFcACIALAAgACAAXABuACAAIAAgACAAIAAgACAAIABcACIAkiFcACIALAAgAFwAIgC2AFwAIgBcAG4AIAAgACAAIAApAFwAbgApADsAXABuAFwAbgBcAG4AXABuAC8AKgAgACAARgBVAE4AQwBUAEkATwBOACAATgBBAE0ARQA6ACAAIABDAG8AdQBuAHQARABPAFcAuwNcAG4AIAAgACAAIABEAEUAUwBDAFIASQBQAFQASQBPAE4AOgAqAC8AIAAgAC8AKgAqAEMAbwB1AG4AdAAgAGkAbgBzAHQAYQBuAGMAZQBzACAAbwBmACAAYQAgAHMAcABlAGMAaQBmAGkAYwAgAGQAYQB5ACAAbwBmACAAdABoAGUAIAB3AGUAZQBrACAAYgBlAHQAdwBlAGUAbgAgAHQAdwBvACAAZABhAHQAZQBzAC4AKgAvAFwAbgBDAG8AdQBuAHQARABPAFcAuwMgAD0AIABMAEEATQBCAEQAQQAoACAAIAAgAFwAbgAvAC8AIAAgAFAAYQByAGEAbQBlAHQAZQByACAARABlAGMAbABhAHIAYQB0AGkAbwBuAHMAXABuACAAIAAgACAAWwBTAHQAYQByAHQAcwBdACwAXABuACAAIAAgACAAWwBFAG4AZABzAF0ALABcAG4AIAAgACAAIABbAEQAYQB5AE8AZgBXAGUAZQBrAF0ALAAgACAAXABuAC8ALwAgACAASABlAGwAcABcAG4AIAAgACAAIABMAEUAVAAoAEgAZQBsAHAALAAgACAAIAAgACAAIAAgAFQAUgBJAE0AKABUAEUAWABUAFMAUABMAEkAVAAoACAAXABuACAAIAAgACAAIAAgACAAIAAgACAAIAAgACAAIAAgACAAIAAgACAAIAAgACAAIAAgAFwAIgBGAFUATgBDAFQASQBPAE4AOgAgACAAIAAgACAAIACSIUMAbwB1AG4AdABEAE8AVwC7AygAUwB0AGEAcgB0AHMALAAgAEUAbgBkAHMALAAgAEQAYQB5AE8AZgBXAGUAZQBrACkAtgBcACIAIAAmACAAXABuACAAIAAgACAAIAAgACAAIAAgACAAIAAgACAAIAAgACAAIAAgACAAIAAgACAAIAAgAFwAIgBEAEUAUwBDAFIASQBQAFQASQBPAE4AOgAgACAAIACSIUMAbwB1AG4AdAAgAGkAbgBzAHQAYQBuAGMAZQBzACAAbwBmACAAYQAgAHMAcABlAGMAaQBmAGkAYwAgAGQAYQB5ACAAbwBmACAAdABoAGUAIAB3AGUAZQBrACAAYgBlAHQAdwBlAGUAbgAgAHQAdwBvACAAZABhAHQAZQ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wB0AGEAcgB0AHMAIAAgACAAIAAgACAAIAAgACAAkiEoAFIAZQBxAHUAaQByAGUAZAApACAATwBuAGUAIABvAGYAIABtAG8AcgBlACAAcwB0AGEAcgB0ACAAZABhAHQAZQBzACAAKAB0AGUAeAB0ACAAbwByACAAbgB1AG0AZQByAGkAYwApACAAaQBuACAAYQAgAHIAbwB3ACAAbwByACAAYwBvAGwAdQBtAG4AtgBcACIAIAAmACAAXABuACAAIAAgACAAIAAgACAAIAAgACAAIAAgACAAIAAgACAAIAAgACAAIAAgACAAIAAgAFwAIgBFAG4AZABzACAAIAAgACAAIAAgACAAIAAgACAAIACSISgAUgBlAHEAdQBpAHIAZQBkACkAIABFAG4AZAAgAGQAYQB0AGUAcwAgACgAdABlAHgAdAAgAG8AcgAgAG4AdQBtAGUAcgBpAGMAKQAgAGYAbwByACAAZQBhAGMAaAAgAHMAdABhAHIAdAAgAGQAYQB0AGUAtgBcACIAIAAmACAAXABuACAAIAAgACAAIAAgACAAIAAgACAAIAAgACAAIAAgACAAIAAgACAAIAAgACAAIAAgAFwAIgBEAGEAeQBPAGYAVwBlAGUAawAgACAAIAAgACAAIACSISgAUgBlAHEAdQBpAHIAZQBkACkAIAAxAD0AUwB1AG4AZABhAHkALAAgADcAPQBTAGEAdAB1AHIAZABhAHkALg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MAIAAgACAAIAAgACAAIAAgACAAIAAgACAAIAAgAJIhPQBuAGEAYgBsAGEALgBkAC4AQwBvAHUAbgB0AEQATwBXALsDKABcACIAXAAiADIAMgAvADMALwAyADAAMQAyAFwAIgBcACIALAAgAFwAIgBcACIAMQAwAC8ANAAvADIAMAAxADIAXAAiAFwAIgAsACAAIAAx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AgAFwAbgAgACAAIAAgACAAIAAgACAAIAAgACAAIAAgACAAIAAgACAAIAAgACAAIAAgACAAIAAgACAAIAAgAEkAUwBPAE0ASQBUAFQARQBEACgAIABFAG4AZABzACkALABcAG4AIAAgACAAIAAgACAAIAAgACAAIAAgACAAIAAgACAAIAAgACAAIAAgACAAIAAgACAAIAAgACAAIABJAFMATwBNAEkAVABUAEUARAAoACAARABhAHkATwBmAFcAZQBlAGs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cwAsACAAIAAgACAAIAAgAEkARgAoACAASQBTAE8ATQBJAFQAVABFAEQAKAAgAFMAdABhAHIAdABzACkALAAgAFwAbgAgACAAIAAgACAAIAAgACAAIAAgACAAIAAgACAAIAAgACAAIAAgACAAIAAgACAAIAAgACAAIAAgAEYAQQBMAFMARQAsAFwAbgAgACAAIAAgACAAIAAgACAAIAAgACAAIAAgACAAIAAgACAAIAAgACAAIAAgACAAIAAgACAAIAAgAEkARgAoACAASQBTAE4AVQBNAEIARQBSACgAIABTAHQAYQByAHQAcwApACwAIABTAHQAYQByAHQAcwAsACAARABBAFQARQBWAEEATABVAEUAKAAgAFMAdABhAHIAdABzACkAKQBcAG4AIAAgACAAIAAgACAAIAAgACAAIAAgACAAIAAgACAAIAAgACAAIAAgACAAIAAgACAAKQAsAFwAbgAgACAAIAAgACAAIAAgACAAQwB2AHQARQBuAGQAcwAsACAAIAAgACAAIAAgACAAIABJAEYAKAAgAEkAUwBPAE0ASQBUAFQARQBEACgAIABFAG4AZABzACkALAAgAFwAbgAgACAAIAAgACAAIAAgACAAIAAgACAAIAAgACAAIAAgACAAIAAgACAAIAAgACAAIAAgACAAIAAgAEYAQQBMAFMARQAsACA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LwAvACAAIABQAHIAbwBjAGUAZAB1AHIAZQBcAG4AIAAgACAAIAAgACAAIABSAGUAcwB1AGwAdAAsACAAIAAgACAAIAAgACAAIAAgACAASQBOAFQAKAAgACgAIAAoACAAQwB2AHQARQBuAGQAcwAgAC0AIABDAHYAdABTAHQAYQByAHQAcwApACAAKwAgAFcAZQBlAGsARABhAHkAKAAgAEMAdgB0AFMAdABhAHIAdABzACAALQAgAEQAYQB5AE8AZgBXAGUAZQBrACkAKQAgAC8AIAA3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HMAXQAsAFwAbgAgACAAIAAgAFsATABvAHcAXQAsAFwAbgAgACAAIAAgAFsASABpAGcAaABdACwAXABuACAAIAAgACAAWwBJAG4AYwBsAHUAcwBpAHYAZQBdACwAXABuAC8ALwAgACAASABlAGwAcABcAG4AIAAgACAAIABMAEUAVAAoAEgAZQBsAHAALAAgACAAIAAgACAAIAAgAFQAUgBJAE0AKABUAEUAWABUAFMAUABMAEkAVAAoACAAXABuACAAIAAgACAAIAAgACAAIAAgACAAIAAgACAAIAAgACAAIAAgACAAIAAgACAAIAAgAFwAIgBGAFUATgBDAFQASQBPAE4AOgAgACAAIAAgACAAIACSIUkAcwBCAGUAdAB3AGUAZQBuALsDKABWAGEAbAB1AGUAcwAsACAATABvAHcALAAgAEgAaQBnAGgALAAgAFsASQBuAGMAbAB1AHMAaQB2AGUAXQApALYAXAAiACAAJgBcAG4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VgBhAGwAdQBlAHMAIAAgACAAIAAgACAAIAAgACAAkiEoAFIAZQBxAHUAaQByAGUAZAApACAAbwBuAGUAIABvAHIAIABtAG8AcgBlACAAdgBhAGwAdQBlAHMAIAB0AG8AIABjAG8AbQBwAGEAcgBlAC4AtgBcACIAIAAmACAAXABuACAAIAAgACAAIAAgACAAIAAgACAAIAAgACAAIAAgACAAIAAgACAAIAAgACAAIAAgAFwAIgBMAG8AdwAgACAAIAAgACAAIAAgACAAIAAgACAAIACSISgAUgBlAHEAdQBpAHIAZQBkACkAIABUAGgAZQAgAGwAbwB3AGUAcgAgAGwAaQBtAGkAdAAgAHQAaABhAHQAIAB0AGgAZQAgAHYAYQBsAHUAZQAoAHMAKQAgAG0AdQBzAHQAIABiAGUAIABnAHIAZQBhAHQAZQByACAAdABoAGEAbgC2AFwAIgAgACYAXABuACAAIAAgACAAIAAgACAAIAAgACAAIAAgACAAIAAgACAAIAAgACAAIAAgACAAIAAgAFwAIgBIAGkAZwBoACAAIAAgACAAIAAgACAAIAAgACAAIACSISgAUgBlAHEAdQBpAHIAZQBkACkAIABUAGgAZQAgAGgAaQBnAGgAZQByACAAbABpAG0AaQB0ACAAdABoAGEAdAAgAHQAaABlACAAdgBhAGwAdQBlACgAcwApACAAbQB1AHMAdAAgAGIAZQAgAGwAZQBzAHMAIAB0AGgAYQBuALYAXAAiACAAJgBcAG4AIAAgACAAIAAgACAAIAAgACAAIAAgACAAIAAgACAAIAAgACAAIAAgACAAIAAgACAAXAAiAEkAbgBjAGwAdQBzAGkAdgBlACAAIAAgACAAIAAgAJIhKABPAHAAdABpAG8AbgBhAGwAKQAgAFQAUgBVAEUAOgAgAFYAYQBsAHUAZQAoAHMAKQAgAGMAYQBuACAAYgBlACAAZQBxAHUAYQBsACAAdABvACAATABvAHcAIABhAG4AZAAvAG8AcgAgAEgAaQBnAGgAIAAoAGQAZQBmAGEAdQBsAHQ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EYAQQBMAFMARQAgACAAIAAgACAAIAAgACAAIAAgAJIhPQBuAGEAYgBsAGEALgBkAC4ASQBzAEIAZQB0AHcAZQBlAG4AuwMoADEALAAgADIALAAgADQAKQC2AFwAIgAgACYAIABcAG4AIAAgACAAIAAgACAAIAAgACAAIAAgACAAIAAgACAAIAAgACAAIAAgACAAIAAgACAAXAAiAFQAUgBVAEUAIAAgACAAIAAgACAAIAAgACAAIAAgAJIhPQBuAGEAYgBsAGEALgBkAC4ASQBzAEIAZQB0AHcAZQBlAG4AuwMoAFQAbwBkAGEAeQAoACkALAAgAFQAbwBkAGEAeQAoACkALAAgAFQAbwBkAGEAeQAoACkAKwAxACkAtgBcACIAIAAmACAAXABuACAAIAAgACAAIAAgACAAIAAgACAAIAAgACAAIAAgACAAIAAgACAAIAAgACAAIAAgAFwAIgBGAEEATABTAEUAIAAgACAAIAAgACAAIAAgACAAIACSIT0AbgBhAGIAbABhAC4AZAAuAEkAcwBCAGUAdAB3AGUAZQBuALsDKABcACIAXAAiAEIAXAAiAFwAIgAsACAAXAAiAFwAIgBCAFwAIgBcACIALAAgAFwAIgBcACIARABcACIAXAAiACwAIABGAEEATABTAEU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AgAFwAbgAgACAAIAAgACAAIAAgACAASABlAGwAcAA/ACwAIAAgACAAIAAgACAAIAAgACAAIABPAFIAKABcAG4AIAAgACAAIAAgACAAIAAgACAAIAAgACAAIAAgACAAIAAgACAAIAAgACAAIAAgACAAIAAgACAAIABJAFMATwBNAEkAVABUAEUARAAoACAAVgBhAGwAdQBlAHMAKQAsACAAXABuACAAIAAgACAAIAAgACAAIAAgACAAIAAgACAAIAAgACAAIAAgACAAIAAgACAAIAAgACAAIAAgACAASQBTAE8ATQBJAFQAVABFAEQAKAAgAEwAbwB3ACkALABcAG4AIAAgACAAIAAgACAAIAAgACAAIAAgACAAIAAgACAAIAAgACAAIAAgACAAIAAgACAAIAAgACAAIABJAFMATwBNAEkAVABUAEUARAAoACAASABpAGcAaAApAFwAbgAgACAAIAAgACAAIAAgACAAIAAgACAAIAAgACAAIAAgACAAIAAgACAAIAAgACAAIAApACwAIAAgACAAIAAgACAAIAAgAFwAbgAgACAAIAAgAC8ALwAgACAAUAByAG8AYwBlAGQAdQByAGUAXABuACAAIAAgACAAIAAgACAAIABSAGUAcwB1AGwAdAAsACAAIAAgACAAIAAgACAAIAAgAEkARgAoAEkAbgBjAGwAdQBzAGkAdgBlACwAIAAoAFYAYQBsAHUAZQBzACAAPgA9ACAATABvAHcAKQAgACoAIAAoAFYAYQBsAHUAZQBzACAAPAA9ACAASABpAGcAaAApACAAPQAgADEALAAgACgAVgBhAGwAdQBlAHMAIAA+ACAATABvAHcAKQAgACoAIAAoAFYAYQBsAHUAZQBzACAAPAAgAEgAaQBnAGgAKQAgAD0AIAAx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SQBzAE8AYwBjAHUAcgByAGUAbgBjAGUARABhAHQAZQC7A1wAbgAgACAAIAAgAEQARQBTAEMAUgBJAFAAVABJAE8ATgA6ACoALwAvACoAKgBSAGUAdAB1AHIAbgBzACAAVABSAFUARQAgAGkAZgAgAEQAYQB0AGUAIABwAGEAcwBzAGUAZAAgAGkAcwAgAHcAaABlAG4AIABzAG8AbQBlAHQAaABpAG4AZwAgAGgAYQBwAHAAZQBuAHMALgAgAFQAaABpAHMAIAB3AGEAcwAgAGQAZQB2AGUAbABvAHAAZQBkACAAZgBvAHIAIABiAHUAZABnAGUAdABpAG4AZwAgAHcAaABlAHIAZQAgAHcAZQAgAGgAYQB2AGUAIABlAHgAcABlAG4AcwBlAHMAIAB0AGgAYQB0ACAAcwB0AGEAcgB0ACwAIABhAG4AZAAgAHMAbwBtAGUAdABpAG0AZQBzACAAcgBlAHAAZQBhAHQAIABhAHQAIAByAGUAZwB1AGwAYQByACAAaQBuAHQAZQByAHYAYQBsAHMALgAqAC8AXABuAFwAbgBJAHMATwBjAGMAdQByAHIAZQBuAGMAZQBEAGEAdABlALsDIAA9ACAATABBAE0AQgBEAEEAKABcAG4ALwAvACAAIABQAGEAcgBhAG0AZQB0AGUAcgAgAGQAZQBjAGwAYQByAGEAdABpAG8AbgBzAFwAbgAgACAAIAAgAFsARABhAHQAZQBzAF0ALABcAG4AIAAgACAAIABbAEYAaQByAHMAdABPAGMAYwB1AHIAcgBlAG4AYwBlAF0ALABcAG4AIAAgACAAIABbAEwAYQBzAHQATwBjAGMAdQByAHIAZQBuAGMAZQBdACwAXABuACAAIAAgACAAWwBSAGUAcABlAGEAdABzAF0ALABcAG4ALwAvACAAIABIAGUAbABwAFwAbgAgACAAIAAgAEwARQBUACgAXABuACAAIAAgACAAIAAgACAAIABIAGUAbABwACwAIAAgACAAIAAgACAAIABUAFIASQBNACgAVABFAFgAVABTAFAATABJAFQAKABcAG4AIAAgACAAIAAgACAAIAAgACAAIAAgACAAIAAgACAAIAAgACAAIAAgACAAIAAgACAAXAAiAEYAVQBOAEMAVABJAE8ATgA6ACAAIAAgACAAIAAgAJIhSQBzAE8AYwBjAHUAcgByAGUAbgBjAGUARABhAHQAZQC7AygARABhAHQAZQBzACwAIABGAGkAcgBzAHQATwBjAGMAdQByAHIAZQBuAGMAZQAsACAAWwBMAGEAcwB0AE8AYwBjAHUAcgByAGUAbgBjAGUAXQAsACAAWwBSAGUAcABlAGEAdABzAF0AKQC2AFwAIgAgACYAXABuACAAIAAgACAAIAAgACAAIAAgACAAIAAgACAAIAAgACAAIAAgACAAIAAgACAAIAAgAFwAIgBEAEUAUwBDAFIASQBQAFQASQBPAE4AOgAgACAAIACSIVIAZQB0AHUAcgBuAHMAIABUAFIAVQBFACAAaQBmACAAYQAgAEQAYQB0AGUAIABpAHMAIAB3AGgAZQBuACAAcwBvAG0AZQB0AGgAaQBuAGcAIABoAGEAcABwAGUAbgBzAC4AtgBcACIAIAAmAFwAbgAgACAAIAAgACAAIAAgACAAIAAgACAAIAAgACAAIAAgACAAIAAgACAAIAAgACAAIABcACIAIAAgACAAIAAgACAAIAAgACAAIAAgACAAIAAgACAAkiFUAGgAaQBzACAAdwBhAHMAIABkAGUAdgBlAGwAbwBwAGUAZAAgAGYAbwByACAAYgB1AGQAZwBlAHQAaQBuAGcAIAB3AGgAZQByAGUAIAB3AGUAIABoAGEAdgBlACAAZQB4AHAAZQBuAHMAZQBzACAAdABoAGEAdAAgAHMAdABhAHIAdAAsALYAXAAiACAAJgBcAG4AIAAgACAAIAAgACAAIAAgACAAIAAgACAAIAAgACAAIAAgACAAIAAgACAAIAAgACAAXAAiACAAIAAgACAAIAAgACAAIAAgACAAIAAgACAAIAAgAJIhYQBuAGQAIABzAG8AbQBlAHQAaQBtAGUAcwAgAHIAZQBwAGUAYQB0ACAAYQB0ACAAcgBlAGcAdQBsAGEAcgAgAGkAbgB0AGUAcgB2AGEAbABzAC4AtgBcACIAIAAmACAAIABcAG4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RABhAHQAZQBzACAAIAAgACAAIAAgACAAIAAgACAAkiEoAFIAZQBxAHUAaQByAGUAZAApACAARABhAHQAZQAgAHQAbwAgAHQAZQBzAHQALgAgAE4AbwByAG0AYQBsAGwAeQAgAHQAaABpAHMAIABpAHMAIABoAG8AcgBpAHoAbwBuAHQAYQBsACAAdABpAG0AZQBsAGkAbgBlACAAYgB5ACAAZABhAHkAtgBcACIAIAAmAFwAbgAgACAAIAAgACAAIAAgACAAIAAgACAAIAAgACAAIAAgACAAIAAgACAAIAAgACAAIABcACIARgBpAHIAcwB0AE8AYwBjAHUAcgByAGUAbgBjAGUAIACSISgAUgBlAHEAdQBpAHIAZQBkACkAIABXAGgAZQBuACAAcwBvAG0AZQB0AGgAaQBuAGcAIAB0AGgAYQB0ACAAbQBhAHkAIAByAGUAcABlAGEAdAAsACAAaABhAHAAcABlAG4AcwAgAGYAbwByACAAdABoAGUAIABmAGkAcgBzAHQAIAB0AGkAbQBlAC4AtgBcACIAIAAmAFwAbgAgACAAIAAgACAAIAAgACAAIAAgACAAIAAgACAAIAAgACAAIAAgACAAIAAgACAAIABcACIATABhAHMAdABPAGMAYwB1AHIAcgBlAG4AYwBlACAAIACSISgATwBwAHQAaQBvAG4AYQBsACkAIABXAGgAZQBuACAAcwBvAG0AZQB0AGgAaQBuAGcAIAB0AGgAYQB0ACAAbQBhAHkAIAByAGUAcABlAGEAdAAsACAAaABhAHAAcABlAG4AcwAgAGYAbwByACAAdABoAGUAIABsAGEAcwB0ACAAdABpAG0AZQAuALYAXAAiACAAJgBcAG4AIAAgACAAIAAgACAAIAAgACAAIAAgACAAIAAgACAAIAAgACAAIAAgACAAIAAgACAAIAAgACAAIAAgACAAIAAgACAAIAAgACAAIAAgACAAIABcACIAkiFJAGYAIABvAG0AaQB0AHQAZQBkACwAIABpAHQAIABpAHMAIABhAHMAcwB1AG0AZQBkACAAcgBlAHAAZQBhAHQAaQBuAGcAIABpAHQAZQBtAHMAIAByAGUAcABlAGEAdAAgAGYAbwByAGUAdgBlAHIALgC2AFwAIgAgACYAXABuACAAIAAgACAAIAAgACAAIAAgACAAIAAgACAAIAAgACAAIAAgACAAIAAgACAAIAAgAFwAIgBSAGUAcABlAGEAdABzACAAIAAgACAAIAAgACAAIACSISgATwBwAHQAaQBvAG4AYQBsACkAIABBACAAYwBvAGQAZQAgAHQAaABhAHQAIABjAG8AbgB2AGUAeQBzACAAaABvAHcAIABvAGYAdABlAG4AIAB0AGgAaQBzACAAdABoAGkAbgBnACAAcgBlAHAAZQBhAHQAcwAuACAAUgBlAHAAZQBhAHQAIABjAG8AZABlAHMAIABhAHIAZQC2AFwAIgAgACYAXABuACAAIAAgACAAIAAgACAAIAAgACAAIAAgACAAIAAgACAAIAAgACAAIAAgACAAIAAgACAAIAAgACAAIAAgACAAIAAgACAAIAAgACAAIAAgACAAXAAiAJIhTwA9AE8AbgBlACAAdABpAG0AZQAvAG4AZQB2AGUAcgAgAHIAZQBwAGUAYQB0AHMAIAAoAGQAZQBmAGEAdQBsAHQAKQC2AFwAIgAgACYAIABcAG4AIAAgACAAIAAgACAAIAAgACAAIAAgACAAIAAgACAAIAAgACAAIAAgACAAIAAgACAAIAAgACAAIAAgACAAIAAgACAAIAAgACAAIAAgACAAIABcACIAkiFBAD0AQQBuAG4AdQBhAGwAbAB5ALYAXAAiACAAJgAgAFwAbgAgACAAIAAgACAAIAAgACAAIAAgACAAIAAgACAAIAAgACAAIAAgACAAIAAgACAAIAAgACAAIAAgACAAIAAgACAAIAAgACAAIAAgACAAIAAgAFwAIgCSIVMAPQBTAGUAbQBpAC0AQQBuAG4AdQBhAGwAbAB5ALYAXAAiACAAJgBcAG4AIAAgACAAIAAgACAAIAAgACAAIAAgACAAIAAgACAAIAAgACAAIAAgACAAIAAgACAAIAAgACAAIAAgACAAIAAgACAAIAAgACAAIAAgACAAIABcACIAkiFRAD0AUQB1AGEAcgB0AGUAcgBsAHkAtgBcACIAIAAmACAAXABuACAAIAAgACAAIAAgACAAIAAgACAAIAAgACAAIAAgACAAIAAgACAAIAAgACAAIAAgACAAIAAgACAAIAAgACAAIAAgACAAIAAgACAAIAAgACAAXAAiAJIhTQA9AE0AbwBuAHQAaABsAHkAtgBcACIAIAAmACAAXABuACAAIAAgACAAIAAgACAAIAAgACAAIAAgACAAIAAgACAAIAAgACAAIAAgACAAIAAgACAAIAAgACAAIAAgACAAIAAgACAAIAAgACAAIAAgACAAXAAiAJIhQgA9AEIAaQBXAGUAZQBrAGwAeQC2AFwAIgAgACYAIABcAG4AIAAgACAAIAAgACAAIAAgACAAIAAgACAAIAAgACAAIAAgACAAIAAgACAAIAAgACAAIAAgACAAIAAgACAAIAAgACAAIAAgACAAIAAgACAAIABcACIAkiFXAD0AVwBlAGUAawBsAHkAtgBcACIAIAAmAFwAbgAgACAAIAAgACAAIAAgACAAIAAgACAAIAAgACAAIAAgACAAIAAgACAAIAAgACAAIAAgACAAIAAgACAAIAAgACAAIAAgACAAIAAgACAAIAAgAFwAIgCSIVgAPQBFAHYAZQByAHkAIABXAG8AcgBrAGQAYQB5ACAAKABNAG8AbgBkAGEAeQAgAHQAbwAgAEYAcgBpAGQAYQB5ACkAtgBcACIAIAAmACAAXABuACAAIAAgACAAIAAgACAAIAAgACAAIAAgACAAIAAgACAAIAAgACAAIAAgACAAIAAgACAAIAAgACAAIAAgACAAIAAgACAAIAAgACAAIAAgACAAXAAiAJIhRAA9AEQAYQBpAGwAeQC2AFwAIgAgACYAIAAgACAAIAAgACAAIAAgACAAIAAgACAAIAAgACAAIAAgACAAIAAgACAAIABcAG4AIAAgACAAIAAgACAAIAAgACAAIAAgACAAIAAgACAAIAAgACAAIAAgACAAIAAgACAAXAAiAEUAWABBAE0AUABMAEUAUwA6ACAAIAAgACAAIAAg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cAMgAgACAAIAAgACAAIAAgACAAIAAgACAAIAAgAJIhPQBTAFUATQAoAE4AKABuAGEAYgBsAGEALgBkAC4ASQBzAE8AYwBjAHUAcgByAGUAbgBjAGUARABhAHQAZQC7AygAUwBFAFEAVQBFAE4AQwBFACgALAA5ADAALABcACIAXAAiADEALwAxAC8AMgAwADIANQBcACIAXAAiACkALAAgAFwAIgBcACIAMQAvADEALwAyADAAMgA1AFwAIgBcACIALAAgAFwAIgBcACIAMQAzAC8AMwAvADIAMAAyADUAXAAiAFwAIgAsACAAXAAiAFwAIgBEAFwAIgBcACIAKQApACkAtgBcACIAIAAmAFwAbgAgACAAIAAgACAAIAAgACAAIAAgACAAIAAgACAAIAAgACAAIAAgACAAIAAgACAAIABcACIAMAAxACAAIAAgACAAIAAgACAAIAAgACAAIAAgACAAkiE9AFMAVQBNACgATgAoAG4AYQBiAGwAYQAuAGQALgBJAHMATwBjAGMAdQByAHIAZQBuAGMAZQBEAGEAdABlALsDKABTAEUAUQBVAEUATgBDAEUAKAAsADkAMAAsAFwAIgBcACIAMQAvADEALwAyADAAMgA1AFwAIgBcACIAKQAsACAAXAAiAFwAIgAxAC8AMQAvADIAMAAyADUAXAAiAFwAIgAsACAAXAAiAFwAIgAxADMALwAzAC8AMgAwADIANQBcACIAXAAiACwAIABcACIAXAAiAE8AXAAiAFwAIgApACkAKQC2AFwAIgAgACYAXABuACAAIAAgACAAIAAgACAAIAAgACAAIAAgACAAIAAgACAAIAAgACAAIAAgACAAIAAgAFwAIgAxADEAIAAgACAAIAAgACAAIAAgACAAIAAgACAAIACSIT0AUwBVAE0AKABOACgAbgBhAGIAbABhAC4AZAAuAEkAcwBPAGMAYwB1AHIAcgBlAG4AYwBlAEQAYQB0AGUAuwMoAFMARQBRAFUARQBOAEMARQAoACwAOQAwACwAXAAiAFwAIgAxAC8AMQAvADIAMAAyADUAXAAiAFwAIgApACwAIABcACIAXAAiADEALwAxAC8AMgAwADIANQBcACIAXAAiACwAIABcACIAXAAiADEAMwAvADMALwAyADAAMgA1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UAIAAgACAAIAAgACAAIAAgACAAIAAgACAAIAAgAJIhPQBuAGEAYgBsAGEALgBkAC4ATwB2AGUAcgBMAGEAcABEAGEAeQBzALsDKAAwADgALAAgADEANAAsACAAMQAwACwAIAAxADcAKQC2AFwAIgAgACYAIABcAG4AIAAgACAAIAAgACAAIAAgACAAIAAgACAAIAAgACAAIAAgACAAIAAgACAAIAAgACAAXAAiADgAIAAgACAAIAAgACAAIAAgACAAIAAgACAAIAAgAJIhPQBuAGEAYgBsAGEALgBkAC4ATwB2AGUAcgBMAGEAcABEAGEAeQBzALsDKAAxADAALAAgADIAMAAsACAAMQAxACwAIAAxADgAKQC2AFwAIgAgACYAIABcAG4AIAAgACAAIAAgACAAIAAgACAAIAAgACAAIAAgACAAIAAgACAAIAAgACAAIAAgACAAXAAiADEAMgAgACAAIAAgACAAIAAgACAAIAAgACAAIAAgAJIhPQBuAGEAYgBsAGEALgBkAC4ATwB2AGUAcgBMAGEAcABEAGEAeQBzALsDKABcACIAXAAiADEANwAvADEALwAyADAAMgA1AFwAIgBcACIALAAgAFwAIgBcACIAMgA1AC8AMQAvADIAMAAyADUAXAAiAFwAIgAsACAAXAAiAFwAIgA3AC8AMQAvADIAMAAyADUAXAAiAFwAIgAsACAAXAAiAFwAIgAxADgALwAxAC8AMgAwADIAN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DEAUwB0AGEAcgB0ACkALAAgAFwAbgAgACAAIAAgACAAIAAgACAAIAAgACAAIAAgACAAIAAgACAAIAAgACAAIAAgACAAIAAgACAAIAAgAEkAUwBPAE0ASQBUAFQARQBEACgAIABQAGUAcgBpAG8AZAAxAEUAbgBkACkALABcAG4AIAAgACAAIAAgACAAIAAgACAAIAAgACAAIAAgACAAIAAgACAAIAAgACAAIAAgACAAIAAgACAAIABJAFMATwBNAEkAVABUAEUARAAoACAAUABlAHIAaQBvAGQAMgBTAHQAYQByAHQAKQAsACAAXABuACAAIAAgACAAIAAgACAAIAAgACAAIAAgACAAIAAgACAAIAAgACAAIAAgACAAIAAgACAAIAAgACAASQBTAE8ATQBJAFQAVABFAEQAKAAgAFAAZQByAGkAbwBkADIARQBuAG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DEAUwB0AGEAcgB0ACwAIAAgACAAIAAgAEkARgAoACAASQBTAE8ATQBJAFQAVABFAEQAKAAgAFAAZQByAGkAbwBkADEAUwB0AGEAcgB0ACkALAAgAFwAbgAgACAAIAAgACAAIAAgACAAIAAgACAAIAAgACAAIAAgACAAIAAgACAAIAAgACAAIAAgACAAIAAgAEYAQQBMAFMARQAsAFwAbgAgACAAIAAgACAAIAAgACAAIAAgACAAIAAgACAAIAAgACAAIAAgACAAIAAgACAAIAAgACAAIAAgAEkARgAoACAASQBTAE4AVQBNAEIARQBSACgAIABQAGUAcgBpAG8AZAAxAFMAdABhAHIAdAApACwAIABQAGUAcgBpAG8AZAAxAFMAdABhAHIAdAAsACAARABBAFQARQBWAEEATABVAEUAKAAgAFAAZQByAGkAbwBkADEAUwB0AGEAcgB0ACkAKQBcAG4AIAAgACAAIAAgACAAIAAgACAAIAAgACAAIAAgACAAIAAgACAAIAAgACAAIAAgACAAKQAsAFwAbgAgACAAIAAgACAAIAAgACAAQwB2AHQAUAAxAEUAbgBkACwAIAAgACAAIAAgAEkARgAoACAASQBTAE8ATQBJAFQAVABFAEQAKAAgAFAAZQByAGkAbwBkADEARQBuAGQAKQAsACAAXABuACAAIAAgACAAIAAgACAAIAAgACAAIAAgACAAIAAgACAAIAAgACAAIAAgACAAIAAgACAAIAAgACAARgBBAEwAUwBFACwAXABuACAAIAAgACAAIAAgACAAIAAgACAAIAAgACAAIAAgACAAIAAgACAAIAAgACAAIAAgACAAIAAgACAASQBGACgAIABJAFMATgBVAE0AQgBFAFIAKAAgAFAAZQByAGkAbwBkADEARQBuAGQAKQAsACAAUABlAHIAaQBvAGQAMQBFAG4AZAAsACAARABBAFQARQBWAEEATABVAEUAKAAgAFAAZQByAGkAbwBkADEARQBuAGQAKQApAFwAbgAgACAAIAAgACAAIAAgACAAIAAgACAAIAAgACAAIAAgACAAIAAgACAAIAAgACAAIAApACwAXABuACAAIAAgACAAIAAgACAAIABDAHYAdABQADIAUwB0AGEAcgB0ACwAIAAgACAAIAAgAEkARgAoACAASQBTAE8ATQBJAFQAVABFAEQAKAAgAFAAZQByAGkAbwBkADIAUwB0AGEAcgB0ACkALAAgAFwAbgAgACAAIAAgACAAIAAgACAAIAAgACAAIAAgACAAIAAgACAAIAAgACAAIAAgACAAIAAgACAAIAAgAEYAQQBMAFMARQAsAFwAbgAgACAAIAAgACAAIAAgACAAIAAgACAAIAAgACAAIAAgACAAIAAgACAAIAAgACAAIAAgACAAIAAgAEkARgAoACAASQBTAE4AVQBNAEIARQBSACgAIABQAGUAcgBpAG8AZAAyAFMAdABhAHIAdAApACwAIABQAGUAcgBpAG8AZAAyAFMAdABhAHIAdAAsACAARABBAFQARQBWAEEATABVAEUAKAAgAFAAZQByAGkAbwBkADIAUwB0AGEAcgB0ACkAKQBcAG4AIAAgACAAIAAgACAAIAAgACAAIAAgACAAIAAgACAAIAAgACAAIAAgACAAIAAgACAAKQAsAFwAbgAgACAAIAAgACAAIAAgACAAQwB2AHQAUAAyAEUAbgBkACwAIAAgACAAIAAgAEkARgAoACAASQBTAE8ATQBJAFQAVABFAEQAKAAgAFAAZQByAGkAbwBkADIARQBuAGQAKQAsACAAXABuACAAIAAgACAAIAAgACAAIAAgACAAIAAgACAAIAAgACAAIAAgACAAIAAgACAAIAAgACAAIAAgACAARgBBAEwAUwBFACwAXABuACAAIAAgACAAIAAgACAAIAAgACAAIAAgACAAIAAgACAAIAAgACAAIAAgACAAIAAgACAAIAAgACAASQBGACgAIABJAFMATgBVAE0AQgBFAFIAKAAgAFAAZQByAGkAbwBkADIARQBuAGQAKQAsACAAUABlAHIAaQBvAGQAMgBFAG4AZAAsACAARABBAFQARQBWAEEATABVAEUAKAAgAFAAZQByAGkAbwBkADIARQBuAGQAKQApAFwAbgAgACAAIAAgACAAIAAgACAAIAAgACAAIAAgACAAIAAgACAAIAAgACAAIAAgACAAIAApACwAXABuACAAIAAgACAALwAvACAAIABQAHIAbwBjAGUAZAB1AHIAZQBcAG4AIAAgACAAIAAgACAAIAAgAE0AaQBuAE8AZgBFAG4AZAAsACAAIAAgAEkARgAoAFAAZQByAGkAbwBkADIARQBuAGQAIAA8AD0AIABQAGUAcgBpAG8AZAAxAEUAbgBkACwAIABQAGUAcgBpAG8AZAAyAEUAbgBkACwAIABQAGUAcgBpAG8AZAAxAEUAbgBkACkALABcAG4AIAAgACAAIAAgACAAIAAgAE0AYQB4AE8AZgBTAHQAYQByAHQALAAgAEkARgAoAFAAZQByAGkAbwBkADIAUwB0AGEAcgB0ACAAPgA9ACAAUABlAHIAaQBvAGQAMQBTAHQAYQByAHQALAAgAFAAZQByAGkAbwBkADIAUwB0AGEAcgB0ACwAIABQAGUAcgBpAG8AZ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MAAyADUALQBGAGUAYgAtADIANgAgACAAIAAgAJIhPQBuAGEAYgBsAGEALgBkAC4AUABlAHIAaQBvAGQATABhAGIAZQBsALsDKABEAEEAVABFAFYAQQBMAFUARQAoAFwAIgBcACIAMgA2AC8AMgAvADIAMAAyADUAXAAiAFwAIgApACwAIABcACIAXAAiAEQAXAAiAFwAIgApALYAXAAiACAAJgBcAG4AIAAgACAAIAAgACAAIAAgACAAIAAgACAAIAAgACAAIAAgACAAIAAgACAAIAAgACAAXAAiADIAMAAyADMALQBGAGUAYgAgACAAIAAgACAAIAAgAJIhPQBuAGEAYgBsAGEALgBkAC4AUABlAHIAaQBvAGQATABhAGIAZQBsALsDKABEAEEAVABFAFYAQQBMAFUARQAoAFwAIgBcACIAMgA2AC8AMgAvADIAMAAyADUAXAAiAFwAIgApACwAIABcACIAXAAiAE0AXAAiAFwAIgApALYAXAAiACAAJgAgAFwAbgAgACAAIAAgACAAIAAgACAAIAAgACAAIAAgACAAIAAgACAAIAAgACAAIAAgACAAIABcACIAMgAwADIANQA6AFEAMQAgACAAIAAgACAAIAAgAJIhPQBuAGEAYgBsAGEALgBkAC4AUABlAHIAaQBvAGQATABhAGIAZQBsALsDKABEAEEAVABFAFYAQQBMAFUARQAoAFwAIgBcACIAMgA2AC8AMgAvADIAMAAyADUAXAAiAFwAIgApACwAIABcACIAXAAiAFEAXAAiAFwAIgApALYAXAAiACAAJgAgAFwAbgAgACAAIAAgACAAIAAgACAAIAAgACAAIAAgACAAIAAgACAAIAAgACAAIAAgACAAIABcACIAMgAwADIAMwAgACAAIAAgACAAIAAgACAAIAAgACAAkiE9AG4AYQBiAGwAYQAuAGQALgBQAGUAcgBpAG8AZABMAGEAYgBlAGwAuwMoAEQAQQBUAEUAVgBBAEwAVQBFACgAXAAiAFwAIgAyADYALwAyAC8AMgAwADIANQBcACIAXAAiACkALAAgAFwAIgBcACIAWQBcACIAXAAi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EAGEAdABl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RABhAHQAZQAsACAAIAAgACAAIAAgACAAIABJAEYAKAAgAEkAUwBPAE0ASQBUAFQARQBEACgAIABEAGEAdABlACkALAAgAFwAbgAgACAAIAAgACAAIAAgACAAIAAgACAAIAAgACAAIAAgACAAIAAgACAAIAAgACAAIAAgACAAIAAgAEYAQQBMAFMARQAsAFwAbgAgACAAIAAgACAAIAAgACAAIAAgACAAIAAgACAAIAAgACAAIAAgACAAIAAgACAAIAAgACAAIAAgAEkARgAoACAASQBTAE4AVQBNAEIARQBSACgAIABEAGEAdABlACkALAAgAEQAYQB0AGUALAAgAEQAQQBUAEUAVgBBAEwAVQBFACgAIABEAGEAdABlACkAKQBcAG4AIAAgACAAIAAgACAAIAAgACAAIAAgACAAIAAgACAAIAAgACAAIAAgACAAIAAgACAAKQAsAFwAbgAgACAAIAAgACAAIAAgACAASQBuAHQAZQByAHYAYQBsACwAIAAgACAAIAAgACAAIAAgACAASQBGACgAIABJAFMATwBNAEkAVABUAEUARAAoACAASQBuAHQAZQByAHYAYQBsACkALAAgAFwAIgBNAFwAIgAsACAASQBuAHQAZQByAHYAYQBsACkALABcAG4AIAAgACAAIAAvAC8AIAAgAFAAcgBvAGMAZQBkAHUAcgBlAFwAbgAgACAAIAAgACAAIAAgACAAUgBlAHMAdQBsAHQALAAgACAAIAAgACAAUwBXAEkAVABDAEgAKABJAG4AdABlAHIAdgBhAGwALABcAG4AIAAgACAAIAAgACAAIAAgACAAIAAgACAAIAAgACAAIAAgACAAIAAgACAAIAAgACAAXAAiAEQAXAAiACwAIABUAEUAWABUACgARABhAHQAZQAsACAAXAAiAHkAeQB5AHkALQBtAG0AbQAtAGQAZABcACIAKQAsAFwAbgAgACAAIAAgACAAIAAgACAAIAAgACAAIAAgACAAIAAgACAAIAAgACAAIAAgACAAIABcACIAVwBcACIALAAgAFkARQBBAFIAKABEAGEAdABlACkAIAAmACAAXAAiADoAVwBcACIAIAAmACAAVABFAFgAVAAoAFEAVQBPAFQASQBFAE4AVAAoAEQAYQB0AGUAIAAtACAARABBAFQARQAoAFkARQBBAFIAKABEAGEAdABlACkALAAgADEALAAgADAAKQAgAC0AIAAxACwAIAA3ACkAIAArACAAMQAsACAAXAAiADAAMABcACIAKQAsAFwAbgAgACAAIAAgACAAIAAgACAAIAAgACAAIAAgACAAIAAgACAAIAAgACAAIAAgACAAIABcACIASQBcACIALAAgAFkARQBBAFIAKABEAGEAdABlACkAIAAmACAAXAAiADoAVwBcACIAIAAmACAAVABFAFgAVAAoAEkAUwBPAFcARQBFAEsATgBVAE0AKABEAGEAdABlACkALAAgAFwAIgAwADAAXAAiACkALABcAG4AIAAgACAAIAAgACAAIAAgACAAIAAgACAAIAAgACAAIAAgACAAIAAgACAAIAAgACAAXAAiAE0AXAAiACwAIABUAEUAWABUACgARABhAHQAZQAsACAAXAAiAFkAWQBZAFkALQBNAE0ATQBcACIAKQAsAFwAbgAgACAAIAAgACAAIAAgACAAIAAgACAAIAAgACAAIAAgACAAIAAgACAAIAAgACAAIABcACIAUQBcACIALAAgAFkARQBBAFIAKABEAGEAdABlACkAIAAmACAAXAAiADoAUQBcACIAIAAmACAAUQBVAE8AVABJAEUATgBUACgATQBPAE4AVABIACgARABhAHQAZQApACAALQAgADEALAAgADMAKQAgACsAIAAxACwAXABuACAAIAAgACAAIAAgACAAIAAgACAAIAAgACAAIAAgACAAIAAgACAAIAAgACAAIAAgAFwAIgBTAFwAIgAsACAAWQBFAEEAUgAoAEQAYQB0AGUAKQAgACYAIABcACIAOgBTAFwAIgAgACYAIABRAFUATwBUAEkARQBOAFQAKABNAE8ATgBUAEgAKABEAGEAdABlACkAIAAtACAAMQAsACAANgApACAAKwAgADEALABcAG4AIAAgACAAIAAgACAAIAAgACAAIAAgACAAIAAgACAAIAAgACAAIAAgACAAIAAgACAAXAAiAEEAXAAiACwAIABUAEUAWABUACgARABhAHQAZQAsACAAXAAiAFkAWQBZAFkAXAAiACkALABcAG4AIAAgACAAIAAgACAAIAAgACAAIAAgACAAIAAgACAAIAAgACAAIAAgACAAIAAgACAAXAAiAFkAXAAiACwAIABUAEUAWABUACgARABhAHQAZQAsACAAXAAiAFkAWQBZAFkAXAAiACkALAAgACAAIAAgACAAIAAgACAAIAAgACAAIAAgACAAIAAgACAAIAAgACAAIAAgACAAIAAgACAAIAAgAFwAbgAgACAAIAAgACAAIAAgACAAIAAgACAAIAAgACAAIAAgACAAIAAgACAAIAAgACAAIAAjAFYAYQBsAHUAZQAhAFwAbgAgACAAIAAgACAAIAAgACAAIAAgACAAIAAgACAAIAAgACAAIAAgACAAKQAsACAAIAAgACAAIAAgACAAIABcAG4AIAAgACAAIAAvAC8AIAAgAFIAZQB0AHUAcgBuACAAUgBlAHMAdQBsAHQAXABuACAAIAAgACAAIAAgACAAIABDAEgATwBPAFMARQAoACAASABlAGwAcAA/ACAAKwAgADEALAAgAFIAZQBzAHUAbAB0ACwAIABIAGUAbABwACkAXABuACAAIAAgACAAKQBcAG4AKQA7AFwAbgBcAG4AXABuAFwAbgAvACoAIAAgAEYAVQBOAEMAVABJAE8ATgAgAE4AQQBNAEUAOgAgACAAUABlAHIAaQBvAGQAcwC7A1wAbgAgACAAIAAgAEQARQBTAEMAUgBJAFAAVABJAE8ATgA6ACoALwAvACoAKgBEAGUAdABlAHIAbQBpAG4AZQAgAHQAaABlACAAbgB1AG0AYgBlAHIAIABvAGYAIABwAGUAcgBpAG8AZABzACAAZgByAG8AbQAgAFMAdABhAHIAdABzACAAdABvACAARABhAHQAZQAyACAAaQBuACAARABhAHkAcwAsACAAVwBlAGUAawBzACwAIABNAG8AbgB0AGgAcwAsACAAUQB1AGEAcgB0AGUAcgBzACwAIABvAHIAIABZAGUAYQByAHMALgAqAC8AXABuAFAAZQByAGkAbwBkAHMAuwMgAD0AIABMAEEATQBCAEQAQQAoAFwAbgAvAC8AIAAgAFAAYQByAGEAbQBlAHQAZQByACAARABlAGMAbABhAHIAYQB0AGkAbwBuAHMAXABuACAAIAAgACAAWwBTAHQAYQByAHQAcwBdACwAXABuACAAIAAgACAAWwBFAG4AZABzAF0ALABcAG4AIAAgACAAIABbAEkAbgB0AGUAcgB2AGEAbA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QAGUAcgBpAG8AZABzALsDKABTAHQAYQByAHQAcwAsACAARQBuAGQAcwAsACAAWwBJAG4AdABlAHIAdgBhAGwAcwBdACkAtgBcACIAIAAmAFwAbgAgACAAIAAgACAAIAAgACAAIAAgACAAIAAgACAAIAAgACAAIAAgACAAIAAgACAAIABcACIARABFAFMAQwBSAEkAUABUAEkATwBOADoAIAAgACAAkiFEAGUAdABlAHIAbQBpAG4AZQAgAHQAaABlACAAbgB1AG0AYgBlAHIAIABvAGYAIABwAGUAcgBpAG8AZABzACAAZgByAG8AbQAgAGQAYQB0AGUAMQAgAHQAbwAgAGQAYQB0AGUAIAAyACAAaQBuAGMAbAB1AHMAaQB2AGUALgC2AFwAIgAgACYAXABuACAAIAAgACAAIAAgACAAIAAgACAAIAAgACAAIAAgACAAIAAgACAAIAAgACAAIAAgACAAIAAgACAAIAAgACAAIAAgACAAIAAgACAAIAAgAFwAIgCSIUQAaQBmAGYAZQByAGUAbgBjAGUAcwAgAHQAbwAgAEUAeABjAGUAbAA0AC4AMAAnAHMAIABEAGEAdABlAEQAaQBm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FAG4AZAAgAEQAYQB0AGUAIABpAHMAIABpAG4AYwBsAHUAcwBpAHYAZQC2AFwAIgAgACYAIABcAG4AIAAgACAAIAAgACAAIAAgACAAIAAgACAAIAAgACAAIAAgACAAIAAgACAAIAAgACAAIAAgACAAIAAgACAAIAAgACAAIAAgACAAIAAgACAAXAAiAJIhKgAgAFIAZQB0AHUAcgBuAHMAIABuAGUAZwBhAHQAaQB2AGUAIAB2AGEAbAB1AGUAcwAgAGkAZgAgAEQAYQB0AGUAMQAgAGkAcwAgAGEAZgB0AGUAcgAgAEQAYQB0AGUAM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AAQQBSAEEATQBFAFQARQBSAFMAOgAgACAAIAAgAJIhtgBcACIAIAAmAFwAbgAgACAAIAAgACAAIAAgACAAIAAgACAAIAAgACAAIAAgACAAIAAgACAAIAAgACAAIABcACIAUwB0AGEAcgB0AHMAIAAgACAAIAAgACAAIAAgACAAkiEoAFIAZQBxAHUAaQByAGUAZAApACAARgBpAHIAcwB0ACAAZABhAHQAZQAgACgAbgBvAHIAbQBhAGwAbAB5ACAAbwBsAGQAZQByACkALgAgAFQAaABpAHMAIABjAGEAbgAgAGIAZQAgAGEAIABzAGkAbgBnAGwAZQAgAG4AdQBtAGIAZQByACAAbwByACAAYQByAHIAYQB5AC4AtgBcACIAIAAmAFwAbgAgACAAIAAgACAAIAAgACAAIAAgACAAIAAgACAAIAAgACAAIAAgACAAIAAgACAAIABcACIARQBuAGQAcwAgACAAIAAgACAAIAAgACAAIAAgACAAkiEoAFIAZQBxAHUAaQByAGUAZAApACAAUwBlAGMAbwBuAGQAIABkAGEAdABlACAAKABuAG8AcgBtAGEAbABsAHkAIABuAGUAdwBlAHIAKQAuACAAVABoAGkAcwAgAG0AdQBzAHQAIABiAGUAIAB0AGgAZQAgAHMAYQBtAGUAIABzAGgAYQBwAGUAIAAoACMAIABvAGYAIAByAG8AdwBzACAAJgAgAGMAbwBsAHUAbQBuAHMAKQAgAGEAcwAgAEQAYQB0AGUAMQAuALYAXAAiACAAJgBcAG4AIAAgACAAIAAgACAAIAAgACAAIAAgACAAIAAgACAAIAAgACAAIAAgACAAIAAgACAAXAAiAEkAbgB0AGUAcgB2AGEAbABzACAAIAAgACAAIAAgAJIhKABPAHAAdABpAG8AbgBhAGwAKQAgAEQAYQB5AHMALAAgAFcAZQBlAGsAcwAsACAATQBvAG4AdABoAHMAIAAoAGQAZQBmAGEAdQBsAHQAKQAsACAAUQB1AGEAcgB0AGUAcgBzACwAIABvAHIAIABZAGUAYQByAHMAIAAoAEQALAAgAFcALAAgAE0ALAAgAFEALAAgAFkAKQC2AFwAIgAgACY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XAAiADIAIAAgACAAIAAgACAAIAAgACAAIAAgACAAIAAgAJIhPQBuAGEAYgBsAGEALgBkAC4AUABlAHIAaQBvAGQAcwC7AygAXAAiAFwAIgAzADEALwAzAC8AMgAwADIANQBcACIAXAAiACwAIABcACIAXAAiADEANQAvADUALwAyADAAMgA1AFwAIgBcACIAKQC2AFwAIgAgACYAXABuACAAIAAgACAAIAAgACAAIAAgACAAIAAgACAAIAAgACAAIAAgACAAIAAgACAAIAAgAFwAIgAtADIAIAAgACAAIAAgACAAIAAgACAAIAAgACAAIACSIT0AbgBhAGIAbABhAC4AZAAuAFAAZQByAGkAbwBkAHMAuwMoAFwAIgBcACIAMQA1AC8ANQAvADIAMAAyADUAXAAiAFwAIgAsACAAXAAiAFwAIgAzADEALwAzAC8AMgAwADIANQBcACIAXAAiACkAtgBcACIAIAAmAFwAbgAgACAAIAAgACAAIAAgACAAIAAgACAAIAAgACAAIAAgACAAIAAgACAAIAAgACAAIABcACIALQAxADIAIAAgACAAIAAgACAAIAAgACAAIAAgACAAkiE9AG4AYQBiAGwAYQAuAGQALgBQAGUAcgBpAG8AZABzALsDKABcACIAXAAiADEANQAvADEALwAyADAAMgA2AFwAIgBcACIALAAgAFwAIgBcACIAMQA2AC8AMQAvADIAMAAyADUAXAAiAFwAIgAsACAALAAgAEYAQQBMAFMARQApALYAXAAiACAAJgBcAG4AIAAgACAAIAAgACAAIAAgACAAIAAgACAAIAAgACAAIAAgACAAIAAgACAAIAAgACAAXAAiAC0ANQAzACAAIAAgACAAIAAgACAAIAAgACAAIAAgAJIhPQBuAGEAYgBsAGEALgBkAC4AUABlAHIAaQBvAGQAcwC7AygAXAAiAFwAIgAxADUALwAxAC8AMgAwADIANgBcACIAXAAiACwAIABcACIAXAAiADEANgAvADEALwAyADAAMgA1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LwAvACAAIABQAHIAbwBjAGUAZAB1AHIAZQBcAG4AIAAgACAAIAAgACAAIAAgAFIAbwB3AHMALAAgACAAIAAgACAAIAAgAE0AQQBYACgAIABSAE8AVwBTACgAIABDAHYAdABTAHQAYQByAHQAcwApACwAIABSAE8AVwBTACgAIABDAHYAdABFAG4AZABzACkAKQAsACAAXABuACAAIAAgACAAIAAgACAAIABDAG8AbABzACwAIAAgACAAIAAgACAAIABNAEEAWAAoACAAQwBPAEwAVQBNAE4AUwAoACAAQwB2AHQAUwB0AGEAcgB0AHMAKQAsACAAQwBPAEwAVQBNAE4AUwAoACAAQwB2AHQARQBuAGQAcwApACkALAAgAFwAbgAgACAAIAAgACAAIAAgACAAUgBlAHMAdQBsAHQALAAgACAAIAAgACAATQBBAEsARQBBAFIAUgBBAFkAKABSAG8AdwBzACwAIABDAG8AbABzACwAIABcAG4AIAAgACAAIAAgACAAIAAgACAAIAAgACAAIAAgACAAIAAgACAAIAAgACAAIAAgACAATABBAE0AQgBEAEEAKABSACwAIABDACwAIABcAG4AIAAgACAAIAAgACAAIAAgACAAIAAgACAAIAAgACAAIAAgACAAIAAgACAAIAAgACAAIAAgACAAIABMAEUAVAAoAEQAYQB0AGUATwBuAGUALAAgACAAIAAgAEkARgAoACAAQwBPAFUATgBUAEEAKAAgAEMAdgB0AFMAdABhAHIAdABzACkAIAA9ACAAMQAsACAAQwB2AHQAUwB0AGEAcgB0AHMALAAgAEkATgBEAEUAWAAoACAAQwB2AHQAUwB0AGEAcgB0AHMALAAgAFIALAAgAEMAKQApACwAIABcAG4AIAAgACAAIAAgACAAIAAgACAAIAAgACAAIAAgACAAIAAgACAAIAAgACAAIAAgACAAIAAgACAAIAAgACAAIAAgAEQAYQB0AGUAVAB3AG8ALAAgACAAIAAgAEkARgAoACAAQwBPAFUATgBUAEEAKAAgAEMAdgB0AEUAbgBkAHMAKQAgAD0AIAAxACwAIABDAHYAdABFAG4AZABzACwAIABJAE4ARABFAFgAKAAgAEMAdgB0AEUAbgBkAHMALAAgAFIALAAgAEMAKQApACwAXABuACAAIAAgACAAIAAgACAAIAAgACAAIAAgACAAIAAgACAAIAAgACAAIAAgACAAIAAgACAAIAAgACAAIAAgACAAIABJAG4AdABlAHIAdgBhAGwALAAgACAAIABJAEYAKAAgAEMATwBVAE4AVABBACgAIABJAG4AdABlAHIAdgBhAGwAcwApACAAPQAgADEALAAgAEkAbgB0AGUAcgB2AGEAbABzACwAIABJAE4ARABFAFgAKAAgAEkAbgB0AGUAcgB2AGEAbABzACwAIABSACwAIABDACkAKQAsAFwAbgAgACAAIAAgACAAIAAgACAAIAAgACAAIAAgACAAIAAgACAAIAAgACAAIAAgACAAIAAgACAAIAAgACAAIAAgACAARQBhAHIAbABpAGUAcwB0ACwAIAAgACAATQBJAE4AKABEAGEAdABlAE8AbgBlACwAIABEAGEAdABlAFQAdwBvACkALABcAG4AIAAgACAAIAAgACAAIAAgACAAIAAgACAAIAAgACAAIAAgACAAIAAgACAAIAAgACAAIAAgACAAIAAgACAAIAAgAEwAYQB0AGUAcwB0ACwAIAAgACAAIAAgAE0AQQBYACgARABhAHQAZQBPAG4AZQAsACAARABhAHQAZQBUAHcAbwApACAALAAgAC8ALwArACAAMQAsAFwAbgAgACAAIAAgACAAIAAgACAAIAAgACAAIAAgACAAIAAgACAAIAAgACAAIAAgACAAIAAgACAAIAAgACAAIAAgACAAUwBpAGcAbgAsACAAIAAgACAAIAAgACAAUwBJAEcATgAoAE0AYQB4ACgARABhAHQAZQBUAHcAbwAgAC0AIABEAGEAdABlAE8AbgBlACwAIAAxACkAKQAsAFwAbgAgACAAIAAgACAAIAAgACAAIAAgACAAIAAgACAAIAAgACAAIAAgACAAIAAgACAAIAAgACAAIAAgACAAIAAgACAAUABlAHIAaQBvAGQAcwAsACAAIAAgACAAUwB3AGkAdABjAGgAKABJAG4AdABlAHIAdgBhAGwALAAgACAAIABcAG4AIAAgACAAIAAgACAAIAAgACAAIAAgACAAIAAgACAAIAAgACAAIAAgACAAIAAgACAAIAAgACAAIAAgACAAIAAgACAAIAAgACAAIAAgACAAIAAgACAAIAAgACAAIAAgACAAXAAiAEQAXAAiACwAIABEAEEAVABFAEQASQBGACgARQBhAHIAbABpAGUAcwB0ACwAIABMAGEAdABlAHMAdAAsACAAXAAiAEQAXAAiACkALABcAG4AIAAgACAAIAAgACAAIAAgACAAIAAgACAAIAAgACAAIAAgACAAIAAgACAAIAAgACAAIAAgACAAIAAgACAAIAAgACAAIAAgACAAIAAgACAAIAAgACAAIAAgACAAIAAgACAAXAAiAFcAXAAiACwAIABJAE4AVAAoAEQAQQBUAEUARABJAEYAKABFAGEAcgBsAGkAZQBzAHQALAAgAEwAYQB0AGUAcwB0ACwAIABcACIARABcACIAKQAvAEQAUABXACkALABcAG4AIAAgACAAIAAgACAAIAAgACAAIAAgACAAIAAgACAAIAAgACAAIAAgACAAIAAgACAAIAAgACAAIAAgACAAIAAgACAAIAAgACAAIAAgACAAIAAgACAAIAAgACAAIAAgACAAXAAiAE0AXAAiACwAIABEAEEAVABFAEQASQBGACgARQBhAHIAbABpAGUAcwB0ACwAIABMAGEAdABlAHMAdAAsACAAXAAiAE0AXAAiACkALABcAG4AIAAgACAAIAAgACAAIAAgACAAIAAgACAAIAAgACAAIAAgACAAIAAgACAAIAAgACAAIAAgACAAIAAgACAAIAAgACAAIAAgACAAIAAgACAAIAAgACAAIAAgACAAIAAgACAAXAAiAFEAXAAiACwAIABJAE4AVAAoAEQAQQBUAEUARABJAEYAKABFAGEAcgBsAGkAZQBzAHQALAAgAEwAYQB0AGUAcwB0ACwAIABcACIATQBcACIAKQAvAE0AUABRACkALABcAG4AIAAgACAAIAAgACAAIAAgACAAIAAgACAAIAAgACAAIAAgACAAIAAgACAAIAAgACAAIAAgACAAIAAgACAAIAAgACAAIAAgACAAIAAgACAAIAAgACAAIAAgACAAIAAgACAAXAAiAFkAXAAiACwAIABEAEEAVABFAEQASQBGACgARQBhAHIAbABpAGUAcwB0ACwAIABMAGEAdABlAHMAdAAsACAAXAAiAFkAXAAiACkAXABuACAAIAAgACAAIAAgACAAIAAgACAAIAAgACAAIAAgACAAIAAgACAAIAAgACAAIAAgACAAIAAgACAAIAAgACAAIAAgACAAIAAgACAAIAAgACAAIAAgACAAIAApACwAXABuACAAIAAgACAAIAAgACAAIAAgACAAIAAgACAAIAAgACAAIAAgACAAIAAgACAAIAAgACAAIAAgACAAIAAgACAAIABTAGkAZwBuACAAKgAgAFAAZQByAGkAbwBkAHMAXABuACAAIAAgACAAIAAgACAAIAAgACAAIAAgACAAIAAgACAAIAAgACAAIAAgACAAIAAgACAAIAAgACAAKQBcAG4AIAAgACAAIAAgACAAIAAgACAAIAAgACAAIAAgACAAIAAgACAAIAAgACAAIAAgACAAK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uwNcAG4AIAAgACAAIABEAEUAUwBDAFIASQBQAFQASQBPAE4AOgAqAC8ALwAqACoAUwBjAGgAZQBkAHUAbABlACAAcgBhAHQAZQBzACAAdABoAGEAdAAgAHAAZQByAHMAaQBzAHQAIAB1AG4AdABpAGwAIAByAGUAcABsAGEAYwBlAGQAIABpAG4AIABhACAAdABpAG0AZQBsAGkAbgBlAC4AIAAqAC8AXABuAFMAYwBoAGUAZAB1AGwAZQBSAGEAdABlAHMAuwMgAD0AIABMAEEATQBCAEQAQQAoAFwAbgAvAC8AIAAgAFAAYQByAGEAbQBlAHQAZQByACAARABlAGMAbABhAHIAYQB0AGkAbwBuAHMAXABuACAAIAAgACAAWwBQAGUAcgBpAG8AZABFAG4AZABzAF0ALABcAG4AIAAgACAAIABbAFIAYQB0AGUAUwB0AGEAcgB0AHMAXQAsAFwAbgAgACAAIAAgAFsAUgBhAHQAZQBzAF0ALAAgACA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uwMoAFAAZQByAGkAbwBkAEUAbgBkAHMALAAgAFIAYQB0AGUAUwB0AGEAcgB0AHMALAAgAFIAYQB0AGUAcwApALYAXAAiACAAJgBcAG4AIAAgACAAIAAgACAAIAAgACAAIAAgACAAIAAgACAAIAAgACAAIAAgACAAIAAgACAAXAAiAEQARQBTAEMAUgBJAFAAVABJAE8ATgA6ACAAIAAgAJIhUwBjAGgAZQBkAHUAbABlAHMAIAByAGEAdABlAHMAIAB0AGgAYQB0ACAAcABlAHIAcwBpAHMAdAAgAHUAbgB0AGkAbAAgAHIAZQBwAGwAYQBjAGUAZAAgAGkAbgAgAGEAIAB0AGkAbQBlAGwAaQBuAGUAIABmAHIAbwBtACAAYQAgAHMAYwBoAGUAZAB1AGwAZQAgAGkAbgAgAGEAIAB0AGEAYgBsAGUALgC2AFwAIgAgACYAIABcAG4AIAAgACAAIAAgACAAIAAgACAAIAAgACAAIAAgACAAIAAgACAAIAAgACAAIAAgACAAXAAiAE4ATwBUAEUAIQAgACAAIAAgACAAIAAgACAAIAAgAJIhSQBmACAAMgAgAHIAYQB0AGUAcwAgAGEAcgBlACAAcwBjAGgAZQBkAHUAbABlAGQAIAB3AGkAdABoAGkAbgAgAHQAaABlACAAcwBhAG0AZQAgAHAAZQByAGkAbwBkACwAIABvAG4AbAB5ACAAdABoAGUAIABsAGEAcwB0ACAAcgBhAHQAZQAgAHcAaQBsAGwAIABiAGUAIABzAGUAbABlAGMAdABlAGQALgC2AFwAIgAgACYAIABcAG4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BcACIAUABBAFIAQQBNAEUAVABFAFIAUwA6ACAAIAAgACAAkiG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SAGEAdABlAFMAdABhAHIAdABzACAAIAAgACAAIACSISgAUgBlAHEAdQBpAHIAZQBkACkAIABBACAAYwBvAGwAdQBtAG4AIABvAHIAIAByAG8AdwAgAG8AZgAgAHIAYQB0AGUAIABlAGYAZgBlAGMAdABpAHYAZQAgAGQAYQB0AGUAcwAgAGkAbgAgAGEAbgB5ACAAbwByAGQAZQByAC4AtgBcACIAIAAmACAAXABuACAAIAAgACAAIAAgACAAIAAgACAAIAAgACAAIAAgACAAIAAgACAAIAAgACAAIAAgAFwAIgBSAGEAdABlAHMAIAAgACAAIAAgACAAIAAgACAAIACSISgAUgBlAHEAdQBpAHIAZQBkACkAIABBACAAYwBvAGwAdQBtAG4AIABvAHIAIAByAG8AdwAgAG8AZgAgAHIAYQB0AGUAcwAgAGEAcwBzAG8AYwBpAGEAdABlAGQAIAB3AGkAdABoACAAUgBhAHQAZQBTAHQAYQByAHQAcw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gBhAGIAbABhAC4AZAAgAGkAcwAgAGEAcwBzAHUAbQBlAGQAIAB0AG8AIABiAGUAIAB0AGgAZQAgAG0AbwBkAHUAbABlACcAcwAgAG4AYQBtAGUAKQC2AFwAIgAgACYAXABuACAAIAAgACAAIAAgACAAIAAgACAAIAAgACAAIAAgACAAIAAgACAAIAAgACAAIAAgAFwAIgBfACwAMQAwACwAMgAwACwAMwAwACwAMwAwACAAIACSIT0AbgBhAGIAbABhAC4AZAAuAFMAYwBoAGUAZAB1AGwAZQBSAGEAdABlAHMAuwMoAFQAaQBtAGUAbABpAG4AZQC7AygAXAAiAFwAIgAxAC8AMQAvADIAMAAyADUAXAAiAFwAIgAsADUALABcACIAXAAiAFcAXAAiAFwAIgApACwAewA0ADUANgA2ADIAOwAgADQANQA2ADcAMAA7ACAANAA1ADYANwA2AH0ALAAgAHsAMQAwADsAIAAyADAAOwAgADMAMAB9ACkAXAAiACwAIABcAG4AIAAgACAAIAAgACAAIAAgACAAIAAgACAAIAAgACAAIAAgACAAIAAgACAAIAAgACAAXAAiAJIhXAAiACwAIABcACIAtgBcACIAXABuACAAIAAgACAAIAAgACAAIAAgACAAIAAgACAAIAAgACAAIAAgACAAIAAgACAAIAAgACkAXABuACAAIAAgACAAIAAgACAAIAAgACAAIAAgACAAIAAgACAAIAAgACAAIAApACwAIAAgACAAXABuACAAIAAgACAALwAvACAAIABDAGgAZQBjAGsAIABpAG4AcAB1AHQAcwAgAC0AIABPAG0AaQB0AHQAZQBkACAAcgBlAHEAdQBpAHIAZQBkACAAYQByAGcAdQBtAGUAbgB0AHMAXABuACAAIAAgACAAIAAgACAAIABzACwAIAAgACAAIAAgACAAIAAgACAAIAAgACAAIAAgADEALABcAG4AIAAgACAAIAAgACAAIAAgAEgAZQBsAHAAPwAsACAAIAAgACAAIAAgACAAIAAgACAATwBSACgAIABJAFMATwBNAEkAVABUAEUARAAoACAAUABlAHIAaQBvAGQARQBuAGQAcwApACwAXABuACAAIAAgACAAIAAgACAAIAAgACAAIAAgACAAIAAgACAAIAAgACAAIAAgACAAIAAgACAAIAAgACAASQBTAE8ATQBJAFQAVABFAEQAKAAgAFIAYQB0AGUAUwB0AGEAcgB0AHMAKQAsAFwAbgAgACAAIAAgACAAIAAgACAAIAAgACAAIAAgACAAIAAgACAAIAAgACAAIAAgACAAIAAgACAAIAAgAEkAUwBPAE0ASQBUAFQARQBEACgAIABS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FAG4AZABzACwAIAAgACA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TAHQAYQByAHQAcwAsACAAIAAgACAAIAAgAEkARgAoACAASQBTAE8ATQBJAFQAVABFAEQAKAAgAFIAYQB0AGUAUwB0AGEAcgB0AHMAKQAsACAAXABuACAAIAAgACAAIAAgACAAIAAgACAAIAAgACAAIAAgACAAIAAgACAAIAAgACAAIAAgACAAIAAgACAARgBBAEwAUwBFACwAIABcAG4AIAAgACAAIAAgACAAIAAgACAAIAAgACAAIAAgACAAIAAgACAAIAAgACAAIAAgACAAIAAgACAAIABJAEYAKAAgAEkAUwBOAFUATQBCAEUAUgAoACAAUgBhAHQAZQBTAHQAYQByAHQAcwApACwAIABSAGEAdABlAFMAdABhAHIAdABzACwAIABEAEEAVABFAFYAQQBMAFUARQAoACAAUgBhAHQAZQBTAHQAYQByAHQAcwApACkAXABuACAAIAAgACAAIAAgACAAIAAgACAAIAAgACAAIAAgACAAIAAgACAAIAAgACAAIAAgACkALABcAG4AIAAgACAAIAAvAC8AIAAgAFAAcgBvAGMAZQBkAHUAcgBlAFwAbgAgACAAIAAgACAAIAAgACAAUgBlAHMAdQBsAHQALAAgACAAIAAgACAAIAAgACAAIABYAEwATwBPAEsAVQBQACgAUABlAHIAaQBvAGQARQBuAGQAcwAsACAAUgBhAHQAZQ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bgBhAGIAbABhAC4AZAAuAFMAYwBoAGUAZAB1AGwAZQBSAGEAdABlAHMAQgB5AEkAdABlAG0AcwC7AygAIABUAGkAbQBlAGwAaQBuAGUAuwMoACAAXAAiAFwAIgAxAC8AMQAvADIAMAAyADUAXAAiAFwAIgApACwAIABVAE4ASQBRAFUARQAoACAAdABiAGwAUgBhAHQAZQBzACgAVQBuAGkAdAApACkALAC2AFwAIgAgACYAXABuACAAIAAgACAAIAAgACAAIAAgACAAIAAgACAAIAAgACAAIAAgACAAIAAgACAAIAAgACAAIAAgACAAIAAgACAAIAAgACAAIAAgACAAIAAgAFwAIgCSIXQAYgBsAFIAYQB0AGUAcwBbAFUAbgBpAHQAXQAsACAAdABiAGwAUgBhAHQAZQBzAFsAUgBlAG4AdABdACwAIAB0AGIAbABSAGEAdABlAHMAWwBFAGYAZgBlAGMAdABpAHYAZQ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EAG8ATgBvAHQAVQBzAGUALAAgACAAIAAgACAAIAAgAEkARgAoACAASQBTAE8ATQBJAFQAVABFAEQAKAAgAEQAbwBOAG8AdABVAHMAZQApACwAIAAxACwAIABEAG8ATgBvAHQAVQBzAGU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EAG8ATgBvAHQAVQBzAGUAKQAsAFwAbgAgACAAIAAgACAAIAAgACAASQB0AGUAbQBEAGEAdABlAHMALAAgACAAIAAgACAAIABGAEkATABUAEUAUgAoACAAQwB2AHQARQBmAGYARABhAHQAZQBzACwAIABJAHQAZQBtAEwAaQBzAHQAIAA9ACAASQB0AGUAbQApACwAIABcAG4AIAAgACAAIAAgACAAIAAgAEkAdABlAG0AUgBhAHQAZQBzACwAIAAgACAAIAAgACAARgBJAEwAVABFAFIAKAAgAFIAYQB0AGUATABpAHMAdAAsACAASQB0AGUAbQBMAGkAcwB0ACAAPQAgAEkAdABlAG0AKQAsACAAXABuACAAIAAgACAAIAAgACAAIABOAGUAdwBSAG8AdwAsACAAIAAgACAAIAAgACAAIAAgAFgATABPAE8ASwBVAFAAKAAgAFAAZQByAGkAbwBkAEUAbgBkAHMALAAgAEkAdABlAG0ARABhAHQAZQBzACwAIABJAHQAZQBtAFIAYQB0AGUAcwAsACAAMAAsACAALQAxACkALABcAG4AIAAgACAAIAAgACAAIAAgAFIAZQBzAHUAbAB0ACwAIAAgACAAIAAgACAAIAAgACAASQBGACgAIABEAG8ATgBvAHQAVQBzAGU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SAGEAdABlAHMAQgB5AEkAdABlAG0AcwC7AygAIABDAHYAdABQAHIAZABFAG4AZABzACwAIABJAHQAZQBtAEYAaQBsAHQAZQByACwAIABJAHQAZQBtAEwAaQBzAHQALAAgAEMAdgB0AEUAZgBmAEQAYQB0AGUAcwAsACAAUgBhAHQAZQBMAGkAcwB0ACwAIABEAG8ATgBvAHQAVQBzAGUAIAArACAAMQ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uwNcAG4AIAAgACAAIABEAEUAUwBDAFIASQBQAFQASQBPAE4AOgAqAC8ALwAqACoAUwBjAGgAZQBkAHUAbABlAHMAIAB2AGEAbAB1AGUAcwAgAGkAbgAgAGEAIAB0AGkAbQBlAGwAaQBuAGUAIABmAHIAbwBtACAAYQAgAHMAYwBoAGUAZAB1AGwAZQAgAGkAbgAgAGEAIAB0AGEAYgBsAGUALgAgACoALwBcAG4AUwBjAGgAZQBkAHUAbABlAFYAYQBsAHUAZQBzALsDIAA9ACAATABBAE0AQgBEAEEAKABcAG4ALwAvACAAIABQAGEAcgBhAG0AZQB0AGUAcgAgAEQAZQBjAGwAYQByAGEAdABpAG8AbgBzAFwAbgAgACAAIAAgAFsAUABlAHIAaQBvAGQAUwB0AGEAcgB0AHMAXQAsAFwAbgAgACAAIAAgAFsAUABlAHIAaQBvAGQARQBuAGQAcwBdACwAXABuACAAIAAgACAAWwBWAGEAbAB1AGUAcwBdACwAXABuACAAIAAgACAAWwBFAGYAZgBlAGMAdABpAHYAZQBEAGEAdABl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MAYwBoAGUAZAB1AGwAZQBWAGEAbAB1AGUAcwC7AygAUABlAHIAaQBvAGQAUwB0AGEAcgB0AHMALAAgAFAAZQByAGkAbwBkAEUAbgBkAHMALAAgAFYAYQBsAHUAZQBzACwAIABFAGYAZgBlAGMAdABpAHYAZQBEAGEAdABlAHMAKQC2AFwAIgAgACYAXABuACAAIAAgACAAIAAgACAAIAAgACAAIAAgACAAIAAgACAAIAAgACAAIAAgACAAIAAgAFwAIgBEAEUAUwBDAFIASQBQAFQASQBPAE4AOgAgACAAIACSIVAAbABhAGMAZQAgAHYAYQBsAHUAZQBzACAAZgByAG8AbQAgAGEAIAB0AGEAYgBsAGUAIABpAG4AdABvACAAYQAgAHQAaQBtAGUAbABpAG4AZQAnAHMAIABhAHAAcAByAG8AcAByAGkAYQB0AGUAIABwAGUAcgBpAG8AZAAuALYAXAAiACAAJgAgAFwAbgAgACAAIAAgACAAIAAgACAAIAAgACAAIAAgACAAIAAgACAAIAAgACAAIAAgACAAIABcACIAVwBFAEIAUwBJAFQARQA6ACAAIAAgACAAIAAgACAAkiFoAHQAdABwAHMAOgAvAC8AZwBpAHQAaAB1AGIALgBjAG8AbQAvAHIAeQBhAG4AZAB1AGcAdQBpAGQALwBOAGEAYgBsAGEAIAC2AFwAIgAgACY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GMAbwBsAHUAbQBuACAAbwByACAAcgBvAHcAIABvAGYAIABwAGUAcgBpAG8AZAAgAHMAdABhAHIAdAAgAGQAYQB0AGUAcwAgACgAdABpAG0AZQBsAGkAbgBlACkALgC2AFwAIgAgACYAIABcAG4AIAAgACAAIAAgACAAIAAgACAAIAAgACAAIAAgACAAIAAgACAAIAAgACAAIAAgACAAXAAiAFAAZQByAGkAbwBkAEUAbgBkAHMAIAAgACAAIAAgAJIhKABSAGUAcQB1AGkAcgBlAGQAKQAgAEEAIABjAG8AbAB1AG0AbgAgAG8AcgAgAHIAbwB3ACAAbwBmACAAcABlAHIAaQBvAGQAIABlAG4AZABzACAAZABhAHQAZQBzACAAKAB0AGkAbQBlAGwAaQBuAGUAKQAuALYAXAAiACAAJgAgAFwAbgAgACAAIAAgACAAIAAgACAAIAAgACAAIAAgACAAIAAgACAAIAAgACAAIAAgACAAIABcACIAVgBhAGwAdQBlAHMAIAAgACAAIAAgACAAIAAgACAAkiEoAFIAZQBxAHUAaQByAGUAZAApACAAQQAgAGMAbwBsAHUAbQBuACAAbwByACAAcgBvAHcAIABvAGYAIAB2AGEAbAB1AGUAcwAgAHQAbwAgAGIAZQAgAHMAYwBoAGUAZAB1AGwAZQBkAC4AtgBcACIAIAAmACAAXABuACAAIAAgACAAIAAgACAAIAAgACAAIAAgACAAIAAgACAAIAAgACAAIAAgACAAIAAgAFwAIgBFAGYAZgBlAGMAdABpAHYAZQBEAGEAdABlAHMAIACSISgAUgBlAHEAdQBpAHIAZQBkACkAIABBACAAYwBvAGwAdQBtAG4AIABvAHIAIAByAG8AdwAgAG8AZgAgAHcAaABlAG4AIABhACAAdgBhAGwAdQBlACAAaQBzACAAcwBjAGgAZQBkAHUAbABlAGQ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AgACAAIAAgACAAIAAgACAAIAAgACAAXAAiAJIhPQBuAGEAYgBsAGEALgBkAC4AUwBjAGgAZQBkAHUAbABlAFYAYQBsAHUAZQBzALsDKABUAGkAbQBlAGwAaQBuAGUAuwMoAFwAIgBcACIAMQAvADEALwAyADAAMgA1AFwAIgBcACIAKQAsACAAVABpAG0AZQBsAGkAbgBlALsDKABcACIAXAAiADEALwAxAC8AMgAwADIANQBcACIAXAAiACwALAAsAEYAQQBMAFMARQApACwAIAB7ADEAOwAzAH0ALAAgAHsAXAAiAFwAIgAxAC8AMQAvADIAMAAyADUAXAAiAFwAIgA7ACAAXAAiAFwAIgAxADUALwAyAC8AMgAwADIANQBcACIAXAAiAH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FwAbgAgACAAIAAgACAAIAAgACAAIAAgACAAIAAgACAAIAAgACAAIAAgACAAIAAgACAAIAAgACAAIAAgAEkAUwBPAE0ASQBUAFQARQBEACgAIABWAGEAbAB1AGUAcwApACwAIABcAG4AIAAgACAAIAAgACAAIAAgACAAIAAgACAAIAAgACAAIAAgACAAIAAgACAAIAAgACAAIAAgACAAIABJAFMATwBNAEkAVABUAEUARAAoACAARQBmAGYAZQBjAHQAaQB2AGUARABhAHQAZQ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AByAGQAUwB0AGEAcgB0AHMALAAgACAAIABJAEYAKAAgAEkAUwBPAE0ASQBUAFQARQBEACgAIABQAGUAcgBpAG8AZABTAHQAYQByAHQAcwApACwAIABcAG4AIAAgACAAIAAgACAAIAAgACAAIAAgACAAIAAgACAAIAAgACAAIAAgACAAIAAgACAAIAAgACAAIABGAEEATABTAEUALABcAG4AIAAgACAAIAAgACAAIAAgACAAIAAgACAAIAAgACAAIAAgACAAIAAgACAAIAAgACAAIAAgACAAIABJAEYAKAAgAEkAUwBOAFUATQBCAEUAUgAoACAAUABlAHIAaQBvAGQAUwB0AGEAcgB0AHMAKQAsACAAUABlAHIAaQBvAGQAUwB0AGEAcgB0AHMALAAgAEQAQQBUAEUAVgBBAEwAVQBFACgAIABQAGUAcgBpAG8AZABTAHQAYQByAHQAcwApACkAXABuACAAIAAgACAAIAAgACAAIAAgACAAIAAgACAAIAAgACAAIAAgACAAIAAgACAAIAAg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RABhAHQAZQBzACkALAAgAFwAbgAgACAAIAAgACAAIAAgACAAIAAgACAAIAAgACAAIAAgACAAIAAgACAAIAAgACAAIAAgACAAIAAgAEYAQQBMAFMARQAsAFwAbgAgACAAIAAgACAAIAAgACAAIAAgACAAIAAgACAAIAAgACAAIAAgACAAIAAgACAAIAAgACAAIAAgAEkARgAoACAASQBTAE4AVQBNAEIARQBSACgAIABFAGYAZgBlAGMAdABpAHYAZQBEAGEAdABlAHMAKQAsACAARQBmAGYAZQBjAHQAaQB2AGUARABhAHQAZQBzACwAIABEAEEAVABFAFYAQQBMAFUARQAoACAARQBmAGYAZQBjAHQAaQB2AGUARABhAHQAZQBzACkAKQBcAG4AIAAgACAAIAAgACAAIAAgACAAIAAgACAAIAAgACAAIAAgACAAIAAgACAAIAAgACAAKQAsAFwAbgAgACAAIAAgAC8ALwAgACAAUAByAG8AYwBlAGQAdQByAGUAXABuACAAIAAgACAAIAAgACAAIABSAGUAcwB1AGwAdAAsACAAIAAgACAAIAAgACAAIAAgAEIAWQBDAE8ATAAoAFwAbgAgACAAIAAgACAAIAAgACAAIAAgACAAIAAgACAAIAAgACAAIAAgACAAIAAgACAAIAAgACAAIAAgAFMARQBRAFUARQBOAEMARQAoACwAIABDAE8ATABVAE0ATgBTACgAUABlAHIAaQBvAGQAUwB0AGEAcgB0AHMAKQApACwAIABcAG4AIAAgACAAIAAgACAAIAAgACAAIAAgACAAIAAgACAAIAAgACAAIAAgACAAIAAgACAAIAAgACAAIABMAEEATQBCAEQAQQAoAFAAZQByAGkAbwBkACwAIABcAG4AIAAgACAAIAAgACAAIAAgACAAIAAgACAAIAAgACAAIAAgACAAIAAgACAAIAAgACAAIAAgACAAIAAgACAAIAAgAEwARQBUACgAUwB0AGEAcgB0AEQAYQB0AGUALAAgACAASQBOAEQARQBYACgAUABlAHIAaQBvAGQAUwB0AGEAcgB0AHMALAAgAFAAZQByAGkAbwBkACkALAAgAFwAbgAgACAAIAAgACAAIAAgACAAIAAgACAAIAAgACAAIAAgACAAIAAgACAAIAAgACAAIAAgACAAIAAgACAAIAAgACAAIAAgACAAIABFAG4AZABEAGEAdABlACwAIAAgACAAIABJAE4ARABFAFgAKABQAGUAcgBpAG8AZABFAG4AZABzACwAIABQAGUAcgBpAG8AZAApACwAXABuACAAIAAgACAAIAAgACAAIAAgACAAIAAgACAAIAAgACAAIAAgACAAIAAgACAAIAAgACAAIAAgACAAIAAgACAAIAAgACAAIAAgAFMAVQBNACgAVgBhAGwAdQBlAHMAIAAqACAAKABDAHYAdABFAGYAZgBEAGEAdABlAHMAIAA+AD0AIABTAHQAYQByAHQARABhAHQAZQApACAAKgAgACgAQwB2AHQARQBmAGYARABhAHQAZQBzACAAPAA9ACAARQBuAGQARABhAHQAZQAp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EIAeQBJAHQAZQBtAHMAuwNcAG4AIAAgACAAIABEAEUAUwBDAFIASQBQAFQASQBPAE4AOgAqAC8ALwAqACoAUwBjAGgAZQBkAHUAbABlACAAYQBuAGQAIABzAHUAbQAgAHYAYQBsAHUAZQBzACAAaQBuACAAYQAgAHQAaQBtAGUAbABpAG4AZQAgAGYAbwByACAAZQBhAGMAaAAgAGkAdABlAG0ALgAqAC8AXABuAFMAYwBoAGUAZAB1AGwAZQBWAGEAbAB1AGUAcwBCAHkASQB0AGUAbQBzALsDIAA9ACAATABBAE0AQgBEAEEAKABcAG4ALwAvACAAIABQAGEAcgBhAG0AZQB0AGUAcgAgAEQAZQBjAGwAYQByAGEAdABpAG8AbgBzAFwAbgAgACAAIAAgAFsAUABlAHIAaQBvAGQAUwB0AGEAcgB0AHMAXQAsAFwAbgAgACAAIAAgAFsAUABlAHIAaQBvAGQARQBuAGQAcwBdACwAXABuACAAIAAgACAAWwBJAHQAZQBtAEYAaQBsAHQAZQByAF0ALABcAG4AIAAgACAAIABbAEkAdABlAG0ATABpAHMAdABdACwAXABuACAAIAAgACAAWwBFAGYAZgBlAGMAdABpAHYAZQBMAGkAcwB0AF0ALABcAG4AIAAgACAAIABbAFYAYQBsAHUAZQBMAGkAcwB0AF0ALABcAG4AIAAgACAAIABbAEQAbwBOAG8AdABVAHMAZQ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BcACIARABvAE4AbwB0AFUAcwBlACAAIAAgACAAIAAgACAAkiFUAGgAaQBzACAAaQBzACAAYQAgAGMAbwB1AG4AdABlAHIAIAB1AHMAZQBkACAAaQBuAHQAZQByAG4AYQBsAGwAeQAuACAARABvACAAbgBvAHQAIABtAGEAawBlACAAYQBuAHkAIABlAG4AdAByAHk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4AYQBiAGwAYQAuAGQAIABpAHMAIABhAHMAcwB1AG0AZQBkACAAdABvACAAYgBlACAAdABoAGUAIABtAG8AZAB1AGwAZQAnAHMAIABuAGEAbQBlACkAtgBcACIAIAAmAFwAbgAgACAAIAAgACAAIAAgACAAIAAgACAAIAAgACAAIAAgACAAIAAgACAAIAAgACAAIAAgACAAIAAgACAAIAAgACAAIAAgACAAIAAgACAAIABcACIAkiFuAGEAYgBsAGEALgBkAC4AUwBjAGgAZQBkAHUAbABlAFIAYQB0AGUAcwBCAHkASQB0AGUAbQBzALsDKAAgAFQAaQBtAGUAbABpAG4AZQC7AygAIABcACIAXAAiADEALwAxAC8AMgAwADIANQBcACIAXAAiACkALAAgACAAVABpAG0AZQBsAGkAbgBlALsDKAAgAFwAIgBcACIAMQAvADEALwAyADAAMgA1AFwAIgBcACIALAAsACwARgBBAEwAUwBFACkALAAgALYAXAAiACAAJgAgAFwAbgAgACAAIAAgACAAIAAgACAAIAAgACAAIAAgACAAIAAgACAAIAAgACAAIAAgACAAIAAgACAAIAAgACAAIAAgACAAIAAgACAAIAAgACAAIABcACIAkiFVAE4ASQBRAFUARQAoACAAdABiAGwARQB4AHAAKABJAHQAZQBtAHMAKQApACwAIAB0AGIAbABFAHgAcABbAEkAdABlAG0AcwBdACwAIAB0AGIAbABFAHgAcABbAEQAYQB0AGUAcwBdACwAIAB0AGIAbABFAHgAcABbAEEAbQBvAHUAbgB0AF0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UwB0AGEAcgB0AHMAKQAsACAAXABuACAAIAAgACAAIAAgACAAIAAgACAAIAAgACAAIAAgACAAIAAgACAAIAAgACAAIAAgACAAIAAg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WAGEAbAB1AGUATABpAHMAd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bwB1AG4AdABlAHIALAAgACAAIAAgACAAIAAgACAASQBGACgAIABJAFMATwBNAEkAVABUAEUARAAoACAARABvAE4AbwB0AFUAcwBlACkALAAgADEALAAgAEQAbwBOAG8AdABVAHMAZQApACw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XABuACAAIAAgACAAIAAgACAAIABDAG8AdQBuAHQAcwAsACAAIAAgACAAIAAgACAAIAAgAEMATwBVAE4AVABBACgAIABJAHQAZQBtAEYAaQBsAHQAZQByACkALABcAG4AIAAgACAAIAAgACAAIAAgAEkAdABlAG0ALAAgACAAIAAgACAAIAAgACAAIAAgACAASQBOAEQARQBYACgAIABJAHQAZQBtAEYAaQBsAHQAZQByACwAIABDAG8AdQBuAHQAZQByACkALABcAG4AIAAgACAAIAAgACAAIAAgAEkAdABlAG0ARABhAHQAZQBzACwAIAAgACAAIAAgACAARgBJAEwAVABFAFIAKAAgAEMAdgB0AEUAZgBmAEQAYQB0AGUAcwAsACAASQB0AGUAbQBMAGkAcwB0ACAAPQAgAEkAdABlAG0AKQAsACAAXABuACAAIAAgACAAIAAgACAAIABJAHQAZQBtAFYAYQBsAHUAZQBzACwAIAAgACAAIAAgAEYASQBMAFQARQBSACgAIABWAGEAbAB1AGUATABpAHMAdAAsACAASQB0AGUAbQBMAGkAcwB0ACAAPQAgAEkAdABlAG0AKQAsACAAXABuACAAIAAgACAAIAAgACAAIABBAHIAcgBhAHkALAAgACAAIAAgACAAIAAgACAAIAAgACgASQB0AGUAbQBEAGEAdABlAHMAIAA+AD0AIABQAGUAcgBpAG8AZABTAHQAYQByAHQAcwApACAAKgAgACgASQB0AGUAbQBEAGEAdABlAHMAIAA8AD0AIABQAGUAcgBpAG8AZABFAG4AZABzACkAIAAqACAASQB0AGUAbQBWAGEAbAB1AGUAcwAsAFwAbgAgACAAIAAgACAAIAAgACAATgBlAHcAUgBvAHcALAAgACAAIAAgACAAIAAgACAAIABCAFkAQwBPAEwAKAAgAEEAcgByAGEAeQAsACAATABBAE0AQgBEAEEAKAAgAEMAbwBsAHUAbQBuACwAIABTAFUATQAoACAAQwBvAGwAdQBtAG4AKQApACkALABcAG4AIAAgACAAIAAgACAAIAAgAFIAZQBzAHUAbAB0ACwAIAAgACAAIAAgACAAIAAgACAASQBGACgAIABDAG8AdQBuAHQAZQBy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VgBhAGwAdQBlAHMAQgB5AEkAdABlAG0AcwC7AygAIABDAHYAdABQAHIAZABTAHQAYQByAHQAcwAsACAAQwB2AHQAUAByAGQARQBuAGQAcwAsACAAXABuACAAIAAgACAAIAAgACAAIAAgACAAIAAgACAAIAAgACAAIAAgACAAIAAgACAAIAAgACAAIAAgACAAIAAgACAAIAAgACAAIAAgAEkAdABlAG0ARgBpAGwAdABlAHIALAAgAEkAdABlAG0ATABpAHMAdAAsACAAQwB2AHQARQBmAGYARABhAHQAZQBzACwAIABWAGEAbAB1AGUATABpAHMAdAAsACAAQwBvAHUAbgB0AGUAcgAgACsAIAAx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4AYQBiAGwAYQ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kACAAaQBzACAAYQBzAHMAdQBtAGUAZAAgAHQAbwAgAGIAZQAgAHQAaABlACAAbQBvAGQAdQBsAGUAJwBzACAAbgBhAG0AZQApALYAXAAiACAAJgBcAG4AIAAgACAAIAAgACAAIAAgACAAIAAgACAAIAAgACAAIAAgACAAIAAgACAAIAAgACAAIAAgACAAIABcACIAMQAyACAAbQBvACwAIABzAHQAYQByAHQAcwAgACAAkiE9AG4AYQBiAGwAYQAuAGQALgBUAGkAbQBlAGwAaQBuAGUAuwMoAFQATwBEAEEAWQAoACkAKQC2AFwAIgAgACYAXABuACAAIAAgACAAIAAgACAAIAAgACAAIAAgACAAIAAgACAAIAAgACAAIAAgACAAIAAgACAAIAAgACAAXAAiADEAMgAgAHEAdAByACwAIABlAG4AZABzACAAIAAgAJIhPQBuAGEAYgBsAGEALgBk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TAHQAYQByAHQARABhAHQAZQAsACAAUwBFAFEAVQBFAE4AQwBFACgAMQAsACAAUABlAHIAaQBvAGQAcwAsACAARQBuAGQARABhAHQAZQBzACAAKgAgAE0AUABZACwAIABNAFAAWQApACkAIAAtACAARQBuAGQARABhAHQAZQBzACwAXABuACAAIAAgACAAIAAgACAAIAAgACAAIAAgACAAIAAgACAAIAAgACAAIAAgACAAIAAgACAAIAAgACAAXAAiAFEAXAAiACwAIABFAEQAQQBUAEUAKABTAHQAYQByAHQARABhAHQAZQAsACAAUwBFAFEAVQBFAE4AQwBFACgAMQAsACAAUABlAHIAaQBvAGQAcwAsACAARQBuAGQARABhAHQAZQBzACAAKgAgAE0AUABRACwAIABNAFAAUQApACkAIAAtACAARQBuAGQARABhAHQAZQBzACwAXABuACAAIAAgACAAIAAgACAAIAAgACAAIAAgACAAIAAgACAAIAAgACAAIAAgACAAIAAgACAAIAAgACAAXAAiAE0AXAAiACwAIABFAEQAQQBUAEUAKABTAHQAYQByAHQARABhAHQAZQ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FMAdABhAHIAdABEAGEAdABlACAAKwAgAEkARgAoAFAAZQByAGkAbwBkAFMAdABhAHIAdABzAD8ALAAgADAALAAgAEQAUABXACAALQAgADEAKQAsACAARABQAFcAKQAsAFwAbgAgACAAIAAgACAAIAAgACAAIAAgACAAIAAgACAAIAAgACAAIAAgACAAIAAgACAAIAAgACAAIAAgAFwAIgBEAFwAIgAsACAAUwBFAFEAVQBFAE4AQwBFACgAMQAsACAAUABlAHIAaQBvAGQAcwAsACAAUwB0AGEAcgB0AEQAYQB0AGUALAAgADEAKQAsAFwAbgAgACAAIAAgACAAIAAgACAAIAAgACAAIAAgACAAIAAgACAAIAAgACAAIAAgACAAIAAgACAAIAAgACMAVgBhAGwAdQBlAC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RgBpAG4AYQBuAGMAaQBhAGwAWQBlAGEAcgC7A1wAbgAgACAAIAAgAEQARQBTAEMAUgBJAFAAVABJAE8ATgA6ACoALwAvACoAKgBMAGEAYgBlAGwAcwAgAGQAYQB0AGUAcwAgAHcAaQB0AGgAIAB0AGgAZQBpAHIAIABBAHUAcwB0AHIAYQBsAGkAYQBuACAAZgBpAG4AYQBuAGMAaQBhAGwAIAB5AGUAYQByACwAIAB3AGgAaQBjAGgAIABzAHQAYQByAHQAcwAgAG8AbgAgADEAIABKAHUAbAB5ACoALwBcAG4AXABuAEYAaQBuAGEAbgBjAGkAYQBsAFkAZQBhAHIAuwMgAD0AIABMAEEATQBCAEQAQQAoAFwAbgAvAC8AIAAgAFAAYQByAGEAbQBlAHQAZQByACAARABlAGMAbABhAHIAYQB0AGkAbwBuAFwAbgAgACAAIAAgAFsARABhAHQAZQBzAF0ALABcAG4AIAAgACAAIABbAFMAdABhAHIAdABNAG8AbgB0AGg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GAGkAbgBhAG4AYwBpAGEAbABZAGUAYQByALsDKABEAGEAdABlAHMALAAgAFsAUwB0AGEAcgB0AE0AbwBuAHQAaABdACkAtgBcACIAIAAmAFwAbgAgACAAIAAgACAAIAAgACAAIAAgACAAIAAgACAAIAAgACAAIAAgACAAIAAgACAAIAAgACAAIAAgAFwAIgBEAEUAUwBDAFIASQBQAFQASQBPAE4AOgAgACAAIACSIUwAYQBiAGUAbABzACAAZABhAHQAZQBzACAAdwBpAHQAaAAgAHQAaABlAGkAcgAgAEEAdQBzAHQAcgBhAGwAaQBhAG4AIABmAGkAbgBhAG4AYwBpAGEAbAAgAHkAZQBhAHIALAAgAHcAaABpAGMAaAAgAHMAdABhAHIAdABzACAAbwBuACAAMQAgAEoAdQBsAHk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RABhAHQAZQBzACAAIAAgACAAIAAgACAAIAAgACAAkiEoAFIAZQBxAHUAaQByAGUAZAApACAATwBuAGUAIABvAHIAIABtAG8AcgBlACAAZABhAHQAZQBz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QAIABpAHMAIABhAHMAcwB1AG0AZQBkACAAdABvACAAYgBlACAAdABoAGUAIABtAG8AZAB1AGwAZQAnAHMAIABuAGEAbQBlACkAtgBcACIAIAAmAFwAbgAgACAAIAAgACAAIAAgACAAIAAgACAAIAAgACAAIAAgACAAIAAgACAAIAAgACAAIAAgACAAIAAgAFwAIgCSIT0AbgBhAGIAbABhAC4AZA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UwB0AGEAcgB0AE0AbwBuAHQAaAApACwAXABuACAAIAAgACAALwAvACAAIABNAHUAbAB0AGkAcABsAHkAIAByAGEAdABoAGUAcgAgAHQAaABhAG4AIABBAE4ARAAsACAAdwBoAGkAYwBoACAAdwBvAHUAbABkACAAYwBvAGwAbABhAHAAcwBlACAAYQAgAHIAYQBuAGcAZQAgAG8AZgAgAGQAYQB0AGUAcwAgAHQAbwAgAG8AbgBlACAAYQBuAHMAdwBlAHIAXABuACAAIAAgACAAIAAgACAAIABSAGUAcwB1AGwAdAAsACAAIAAgACAAIAAgACAAIAAgAEkARgAoAE4AKABEAGEAdABlAHMAKQA9ADAALAAgAFwAIgBcACIALAAgAFwAIgBGAFkAXAAiACAAJgAgAFQARQBYAFQAKABZAEUAQQBSACgARABhAHQAZQBzACkAIAArACAAKABGAFkAUwB0AGEAcgB0AD4AMQApACAAKgAgACgATQBPAE4AVABIACgARABhAHQAZQBzACkAIAA+AD0AIABGAFkAUwB0AGEAcgB0ACkALAAgAFwAIgAwADAAMAAwAFwAIgApACkALABcAG4AIAAgACAAIAAvAC8AIAAgAFIAZQB0AHUAcgBuACAAUgBlAHMAdQBsAHQAIABvAHIAIABIAGUAbABwAFwAbgAgACAAIAAgACAAIAAgACAAQwBIAE8ATwBTAEUAKAAgAEgAZQBsAHAAPwAgACsAIAAxACwAIABSAGUAcwB1AGwAdAAsACAASABlAGwAcAApAFwAbgAgACAAIAAgACkAXABuACkAOwBcAG4AIgB9ACwAewAiAHAAYQB0AGgAIgA6ACIALwBwAHIAbwBqAGUAYwB0AHMALwBuAGEAYgBsAGEALgBlACIALAAiAHQAZQB4AHQAIgA6ACIALwAqACAAIABGAFUATgBDAFQASQBPAE4AIABOAEEATQBFADoAIAAgAEEAYgBvAHUAdAC7A1wAbgAgACAAIAAgAEQARQBTAEMAUgBJAFAAVABJAE8ATgA6ACoALwAvACoAKgBEAGkAcwBwAGwAYQB5AHMAIAB0AGgAaQBzACAAbQBvAGQAdQBsAGUAJwBzACAAcgBlAHAAbwBzAGkAdABvAHIAeQAgAFUAUgBMACAAYQBuAGQAIABmAHUAbgBjAHQAaQBvAG4AIABsAGkAcwB0ACoALwBcAG4AXABuAEEAYgBvAHUAdA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4AYQBiAGwAYQAuAGUAtgBcACIAIAAmAFwAbgAgACAAIAAgAFwAIgBWAGUAcgBzAGkAbwBuADoAIAAgACAAIAAgACAAIAAgACAAIAAgACAAIAAgACAAIAAgACAAIACSITEAOAAgAEEAdQBnACAAMgAwADIANgC2AFwAIgAgACYAXABuACAAIAAgACAAXAAiAFIAZQBwAG8AcwBpAHQAbwByAHkAOgAgACAAIAAgACAAIAAgACAAIAAgACAAIAAgACAAIAAgACAAIACSIWgAdAB0AHAAcwA6AC8ALwBnAGkAdABoAHUAYgAuAGMAbwBtAC8AcgB5AGEAbgBkAHUAZwB1AGkAZAAvAE4AYQBiAGwAYQAgALYAXAAiACAAJgBcAG4AIAAgACAAIABcACIAkiG2AFwAIgAgACYAXABuACAAIAAgACAAXAAiAEYAdQBuAGMAdABpAG8AbgAgACAAIAAgACAAIAAgACAAIAAgACAAIAAgACAAIAAgACAAIAAgAJIhRABlAHMAYwByAGkAcAB0AGkAbwBuALYAXAAiACAAJgAgAFwAbgAgACAAIAAgAFwAIgBBAGIAbwB1AHQ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C7A1wAbgAgACAAIAAgAEQARQBTAEMAUgBJAFAAVABJAE8ATgA6ACoALwAvACoAKgBDAG8AdQBuAHQAIABvAGMAYwB1AHIAcgBlAG4AYwBlAHMAIABvAGYAIABjAGgAYQByAGEAYwB0AGUAcgAoAHMAKQAgAGkAbgAgAGEAIABzAHQAcgBpAG4AZwAqAC8AXABuAEMAbwB1AG4AdABDALsDIAA9ACAATABBAE0AQgBEAEEAKABcAG4ALwAvACAAIABQAGEAcgBhAG0AZQB0AGUAcgAgAEQAZQBjAGwAYQByAGEAdABpAG8AbgBzAFwAbgAgACAAIAAgACAAIAAgACAAWwBUAGUAeAB0AF0ALABcAG4AIAAgACAAIAAgACAAIAAgAFsAQwBoAGEAcgBhAGMAdABlAHIAcwBdACwAXABuAC8ALwAgACAASABlAGwAcABcAG4AIAAgACAAIABMAEUAVAAoAEgAZQBsAHAALAAgACAAIAAgACAAIAAgAFQAUgBJAE0AKABUAEUAWABUAFMAUABMAEkAVAAoACAAXABuACAAIAAgACAAIAAgACAAIAAgACAAIAAgACAAIAAgACAAIAAgACAAIAAgACAAIAAgACAAIAAgACAAXAAiAEYAVQBOAEMAVABJAE8ATgA6ACAAIAAgACAAIAAgAJIhQwBvAHUAbgB0AEM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LsDXABuACAAIAAgACAARABFAFMAQwBSAEkAUABUAEkATwBOADoAKgAvAC8AKgAqAEcAZQB0ACAAdABoAGUAIAB0AG8AdABhAGwAIABmAG8AcgAgAGUAYQBjAGgAIABDAG8AbAB1AG0AbgAqAC8AXABuAFMAdQBt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EAdgBn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C7A1wAbgAgACAAIAAgAEQARQBTAEMAUgBJAFAAVABJAE8ATgA6ACoALwAvACoAKgBHAGUAdAAgAHQAaABlACAAbQBpAG4AaQBtAHUAbQAgAGYAbwByACAAZQBhAGMAaAAgAHIAbwB3ACoALwBcAG4ATQBpAG4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NAGEAeA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LsDXABuACAAIAAgACAARABFAFMAQwBSAEkAUABUAEkATwBOADoAKgAvAC8AKgAqAEcAZQB0ACAAdABoAGUAIABtAGEAeABpAG0AdQBtACAAZgBvAHIAIABlAGEAYwBoACAAQwBvAGwAdQBtAG4AKgAvAFwAbgBNAGEAe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HIAbwB3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B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C7A1wAbgAgACAAIAAgAEQARQBTAEMAUgBJAFAAVABJAE8ATgA6ACoALwAvACoAKgBDAG8AdQBuAHQAIABuAHUAbQBiAGUAcgBzACAAaQBuACAAZQBhAGMAaAAgAHIAbwB3ACoALwBcAG4AQwBvAHUAbgB0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yAG8Adw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LA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MAbwBs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IA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bABvAHc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CAAYQBuAGQALwBvAHIAIABIAGkAtgBcACIAIAAmAFwAbgAgACAAIAAgACAAIAAgACAAIAAgACAAIAAgACAAIAAgACAAIAAgACAAIAAgACAAIAAgACAAIAAgAFwAIgCSIbYAXAAiACAAJgBcAG4AIAAgACAAIAAgACAAIAAgACAAIAAgACAAIAAgACAAIAAgACAAIAAgACAAIAAgACAAIAAgACAAIABcACIARQBYAEEATQBQAEwARQBTACAAIAAgACAAIAAgACAAOg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uwMoADEALAAgADIALAAgADQAKQC2AFwAIgAgACYAIABcAG4AIAAgACAAIAAgACAAIAAgACAAIAAgACAAIAAgACAAIAAgACAAIAAgACAAIAAgACAAIAAgACAAIABcACIAVABSAFUARQAgACAAIAAgACAAIAAgACAAIAAgACAAkiE9AEkAcwBCAGUAdAB3AGUAZQBuALsDKAAyACwAIAAyACwAIAA0ACkAtgBcACIAIAAmACAAXABuACAAIAAgACAAIAAgACAAIAAgACAAIAAgACAAIAAgACAAIAAgACAAIAAgACAAIAAgACAAIAAgACAAXAAiAEYAQQBMAFMARQAgACAAIAAgACAAIAAgACAAIAAgAJIhPQBJAHMAQgBlAHQAdwBlAGUAbg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aQBmACAAYQAgAHYAYQBsAHUAZQAgAGkAcwAgAGIAZQB0AHcAZQBlAG4AIABhACAAbABvAHcAZQByACAAYQBuAGQAIAB1AHAAcABlAHIAIABsAGkAbQBpAHQAKgAvAFwAbgBJAHMASQBuAEwAaQBzAHQAuwMgAD0AIABMAEEATQBCAEQAQQAoAFwAbgAvAC8AIAAgAFAAYQByAGEAbQBlAHQAZQByACAARABlAGMAbABhAHIAYQB0AGkAbwBuAHMAXABuACAAIAAgACAAWwBWAGEAbAB1AGUAXQAsAFwAbgAgACAAIAAgAFsATABJAFMAVABdACwAXABuAC8ALwAgACAASABlAGwAcABcAG4AIAAgACAAIABMAEUAVAAoAEgAZQBsAHAALAAgACAAIAAgACAAIAAgACAAIAAgACAAVABSAEkATQAoAFQARQBYAFQAUwBQAEwASQBUACgAIABcAG4AIAAgACAAIAAgACAAIAAgACAAIAAgACAAIAAgACAAIAAgACAAIAAgACAAIAAgACAAIAAgACAAIABcACIARgBVAE4AQwBUAEkATwBOADoAIAAgACAAIAAgACAAkiFJAHMASQBuAEwAaQBzAHQ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EkAUwBUACkAXABuACAAIAAgACAAIAAgACAAIAAgACAAIAAgACAAIAAgACAAIAAgACAAIAAgACAAIAAgACkALABcAG4AIAAgACAAIAAvAC8AIAAgAFAAcgBvAGMAZQBkAHUAcgBlAFwAbgAgACAAIAAgACAAIAAgACAAUgBlAHMAdQBsAHQALAAgACAAIAAgACAAIAAgACAAIABOAE8AVAAoACAASQBTAE4AQQAoACAATQBBAFQAQwBIACgAIABWAGEAbAB1AGUALAAgAEwAaQBzAHQALAAgADAAKQ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LsDXABuACAAIAAgACAARABFAFMAQwBSAEkAUABUAEkATwBOADoAKgAvAC8AKgAqAEMAbwBuAHYAZQByAHQAIABhACAAcgBhAG4AZwBlACAAcgBlAGYAZQByAGUAbgBjAGUAIAB0AG8AIABhACAAZAB5AG4AYQBtAGkAYwAgAGEAcgByAGEAeQAgAHIAZQBmAGUAcgBlAG4AYwBlACoALwBcAG4AUgBhAG4AZwBlAFQAbwBEAEE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4AYQBiAGwAYQ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G4AYQBiAGwAYQAuAGYAIgAsACIAdABlAHgAdAAiADoAI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cAG4AQQBiAG8AdQB0ALsDIAA9ACAAVABSAEkATQAoAFQARQBYAFQAUwBQAEwASQBUACgAXABuACAAIAAgACAAXAAiAEEAQgBPAFUAVAA6ACAAIAAgACAAIAAgACAAIAAgACAAIAAgACAAkiFuAGEAYgBsAGEAJwBzACAARgBpAG4AYQBuAGMAaQBhAGwAIABNAG8AZABlAGwAcwAgAG0AbwBkAHUAbABlAC4AIABTAHUAZwBnAGUAcwB0AGUAZAAgAG0AbwBkAHUAbABlACAAbgBhAG0AZQA6ACAAbgBhAGIAbABhAC4AZgC2AFwAIgAgACYAXABuACAAIAAgACAAXAAiAFYARQBSAFMASQBPAE4AOgAgACAAIAAgACAAIAAgACAAIAAgACAAkiExADgAIABBAHUAZwAgADIAMAAyADYAtgBcACIAIAAmAFwAbgAgACAAIAAgAFwAIgBSAEUAUABPAFMASQBUAE8AUgBZADoAIAAgACAAIAAgACAAIAAgACAAIACSIWgAdAB0AHAAcwA6AC8ALwBnAGkAdABoAHUAYgAuAGMAbwBtAC8AcgB5AGEAbgBkAHUAZwB1AGkAZAAvAE4AYQBiAGwAYQAgALYAXAAiACAAJgBcAG4AIAAgACAAIABcACIAVwBFAEIAUwBJAFQARQA6ACAAIAAgACAAIAAgACAAIAAgACAAIACSIWgAdAB0AHAAcwA6AC8ALwBnAGkAdABoAHUAYgAuAGMAbwBtAC8AcgB5AGEAbgBkAHUAZwB1AGkAZAAvAE4AYQBiAGwAYQAgALYAXAAiACAAJgBcAG4AIAAgACAAIABcACIAkiG2AFwAIgAgACYAXABuACAAIAAgACAAXAAiAEYAVQBOAEMAVABJAE8ATgAgACAAIAAgACAAIAAgACAAIAAgACAAkiFEAEUAUwBDAFIASQBQAFQASQBPAE4AtgBcACIAIAAmACAAXABuACAAIAAgACAAXAAiAEEAYgBvAHUAd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gAHYAYQBsAHUAZQAgAGQAZQBwAHIAZQBjAGkAYQB0AGkAbwBuACAAKABBAFQATwAgADIAMAAwACUAIABtAGUAdABoAG8AZAApACwAIAB3AHIAaQB0AGkAbgBnACAAdABoAGUAIAByAGUAcwBpAGQAdQBhAGwAIABvAGYAZgAgAGkAbgAgAHQAaABlACAAZgBpAG4AYQBsACAAcABlAHIAaQBvAGQALgC2AFwAIgAgACYAIABcAG4AIAAgACAAIAAgACAAIAAgACAAIAAgACAAIAAgACAAIAAgACAAIAAgACAAIAAgACAAIAAgACAAIAAgACAAIAAgACAAIAAgACAAIAAgACAAIAAgACAAIABcACIAUAByAGkAbQBlAEMAbwBzAHQAuwMgACAAIAAgACAAIAAgACAAIACSIVAAcgBpAG0AZQAgAGMAbwBzAHQAIAAoAHMAdAByAGEAaQBnAGgAdAAgAGwAaQBuAGUAKQAgAGQAZQBwAHIAZQBjAGkAYQB0AGkAbwBuACwAIABBAFQATwAgAG0AZQB0AGgAbwBkACwAIABmAG8AcgAgAG8AbgBlACAAYQBzAHMAZQB0ACAAbwByACAAYQBzAHMAZQB0ACAAYwBsAGEAcwBzAC4AtgBcACIAIAAmACAAXABuACAAIAAgACAAIAAgACAAIAAgACAAIAAgACAAIAAgACAAIAAgACAAIAAgACAAIAAgACAAIAAgACAAIAAgACAAIAAgACAAIAAgACAAIAAgACAAIAAgACAAXAAiAJIhtgBcACIAIAAmACAAXABuACAAIAAgACAAIAAgACAAIAAgACAAIAAgACAAIAAgACAAIAAgACAAIAAgACAAIAAgACAAIAAgACAAIAAgACAAIAAgACAAIAAgACAAIAAgACAAIAAgACAAXAAiAEEAVQBTAFQAUgBBAEwASQBBAE4AIABUAEEAWAAgACAAIAAgACAAkiG2AFwAIgAgACYAIABcAG4AIAAgACAAIAAgACAAIAAgACAAIAAgACAAIAAgACAAIAAgACAAIAAgACAAIAAgACAAIAAgACAAIAAgACAAIAAgACAAIAAgACAAIAAgACAAIAAgACAAIABcACIARwBTAFQAQQBkAGQAuwMgACAAIAAgACAAIAAgACAAIAAgACAAIACSIUEAZABkAHMAIABHAFMAVAAgAHQAbwAgAG8AbgBlACAAbwByACAAbQBvAHIAZQAgAEcAUwBUAC0AZQB4AGMAbAB1AHMAaQB2AGUAIABhAG0AbwB1AG4AdABzAC4AtgBcACIAIAAmACAAXABuACAAIAAgACAAIAAgACAAIAAgACAAIAAgACAAIAAgACAAIAAgACAAIAAgACAAIAAgACAAIAAgACAAIAAgACAAIAAgACAAIAAgACAAIAAgACAAIAAgACAAXAAiAEcAUwBUAEUAeAB0AHIAYQBjAHQAuwMgACAAIAAgACAAIAAgACAAkiFSAGUAdAB1AHIAbgBzACAAdABoAGUAIABHAFMAVAAgAGMAbwBuAHQAYQBpAG4AZQBkACAAaQBuACAAbwBuAGUAIABvAHIAIABtAG8AcgBlACAARwBTAFQALQBpAG4AYwBsAHUAcwBpAHYAZQAgAGEAbQBvAHUAbgB0AHMALgC2AFwAIgAgACYAIABcAG4AIAAgACAAIAAgACAAIAAgACAAIAAgACAAIAAgACAAIAAgACAAIAAgACAAIAAgACAAIAAgACAAIAAgACAAIAAgACAAIAAgACAAIAAgACAAIAAgACAAIABcAG4AIAAgACAAIABcACIAkiG2AFwAIgAgACYAXABuACAAIAAgACAAXAAiAFMAVQBCAFIATwBVAFQASQBOAEUAUwAgACAAIAAgACAAIAAgACAAkiFGAHUAbgBjAHQAaQBvAG4AcwAgAHUAcwBlAGQAIABiAHkAIABvAHQAaABlAHIAIABmAHUAbgBjAHQAaQBvAG4AcwAgAG8AcgAgAGcAZQBuAGUAcgBhAGwAIABwAHUAcgBwAG8AcwBlACAAZgB1AG4AYwB0AGkAbwBuAHMALgC2AFwAIgAgACYAIABcAG4AIAAgACAAIABcACIARgBpAGwAdABlAHIAQwBvAG4AdABhAGkAbgBzALsDIAAgACAAIACSIUYAaQBsAHQAZQByACAAYQBuACAAYQByAHIAYQB5ACAAYgB5ACAAYQBuAG8AdABoAGUAcgAgAGEAcgByAGEAeQAgAHQAaABhAHQAIABjAG8AbgB0AGEAaQBuAHMAIABzAHAAZQBjAGkAZgBpAGMAIAB0AGUAeAB0ALYAXAAiACAAJgAgAFwAbgAgACAAIAAgAFwAIgBSAGEAbgBnAGUAVABvAEQAQQC7AyAAIAAgACAAIAAgACAAIAAgAJIhQwByAGUAYQB0AGUAIABhACAAZAB5AG4AYQBtAGkAYwAgAGEAcgByAGEAeQAgAGYAcgBvAG0AIABhACAAcwB0AGEAdABpAGMAIAByAGEAbgBnAGUAtgBcACIAIAAmACAAXABuACAAIAAgACAAXAAiAFQAaQBtAGUAbABpAG4AZQBPAGYAZgBzAGUAdAC7AyAAIAAgACAAkiFEAGUAdABlAHIAbQBpAG4AZQBzACAAaABvAHcAIABtAGEAbgB5ACAAYwBvAGwAdQBtAG4AcwAgAGEAIABkAGEAdABlACAAaQBzACAAbwBmAGYAcwBlAHQAIABmAHIAbwBtACAAYQAgAHQAaQBtAGUAbABpAG4AZQAnAHMAIABmAGkAcgBzAHQAIABkAGEAdABlALYAXAAiACAAJgAgAFwAbgAgACAAIAAgAFwAIgBUAGkAbQBlAGwAaQBuAGUAUABvAHMAaQB0AGkAbwBuALsDIAAgAJIhUABsAGEAYwBlAHMAIABhAG4AIABhAHIAcgBhAHkAIABvAHIAIAB2AGEAbAB1AGUAIABhAHAAcAByAG8AcAByAGkAYQB0AGUAbAB5ACAAdwBpAHQAaABpAG4AIABhACAAbQBvAGQAZQBsACcAcwAgAHQAaQBtAGUAbABpAG4AZQAuALYAXAAiACAAJgAgACAAXABuACAAIAAgACAAXAAiAFAAZQByAGkAbwBkAFMAdABhAHIAdAC7AyAAIAAgACAAIAAgACAAkiFEAGUAdABlAHIAbQBpAG4AZQAgAHcAaABlAG4AIABhACAAcABlAHIAaQBvAGQAIABjAG8AbgB0AGEAaQBuAGkAbgBnACAAYQAgAGQAYQB0AGUAIABvAGYAIABpAG4AdABlAHIAZQBzAHQAIABzAHQAYQByAHQAcwAuALYAXAAiACAAJgAgAFwAbgAgACAAIAAgAFwAIgBQAGUAcgBpAG8AZABEAGkAZgBmALsDIAAgACAAIAAgACAAIAAgAJIhRABlAHQAZQByAG0AaQBuAGUAIAB0AGgAZQAgAG4AdQBtAGIAZQByACAAbwBmACAAcABlAHIAaQBvAGQAcwAgAGIAZQB0AHcAZQBlAG4AIAB0AHcAbwAgAGQAYQB0AGUAcwAuAFwAIgAsAFwAbgAgACAAIAAgAFwAIgCSIVwAIgAsAFwAIgC2AFwAIgBcAG4AIAAgACAAIAApAFwAbgApADsAXABuAFwAbgBcAG4AXABuAFwAbgAvACoAIAAgAEYAVQBOAEMAVABJAE8ATgAgAE4AQQBNAEUAOgAgACAAQwBvAHIAawBzAGMAcgBlAHcAuwNcAG4AIAAgACAAIABEAEUAUwBDAFIASQBQAFQASQBPAE4AOgAqAC8ALwAqACoAQwByAGUAYQB0AGUAIABhACAAYwBvAHIAawBzAGMAcgBlAHcAIABzAGUAYwB0AGkAbwBuACAAdABoAGEAdAAgAHMAdQBtAHMAIAB0AGgAZQAgAG8AcABlAG4AaQBuAGcAIABiAGEAbABhAG4AYwBlACAAYQBuAGQAIAB1AHAAIAB0AG8AIAA0ACAAaQBuAGQAZQBwAGUAbgBkAGUAbgB0ACAAZgBsAG8AdwBzAC4AKgAvAFwAbgBDAG8AcgBrAHMAYwByAGUAdwC7Ay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gAZQBsAHAAXABuACAAIAAgACAAIAAgACAAIABIAGUAbABwACwAIAAgACAAIAAgACAAIABUAFIASQBNACgAVABFAFgAVABTAFAATABJAFQAKAAgAFwAbgAgACAAIAAgACAAIAAgACAAIAAgACAAIAAgACAAIAAgACAAIAAgACAAIAAgACAAIABcACIARgBVAE4AQwBUAEkATwBOADoAIAAgACAAIAAgACAAkiFDAG8AcgBrAHMAYwByAGUAdwC7AygAIABPAHAAZQBuAGkAbgBnACwAIABGAEwAbwB3ADEALAAgAFsARgBsAG8AdwAyAF0ALAAgAFsARgBsAG8AdwAzAF0ALAAgAFsARgBsAG8AdwA0AF0AKQC2AFwAIgAgACYAXABuACAAIAAgACAAIAAgACAAIAAgACAAIAAgACAAIAAgACAAIAAgACAAIAAgACAAIAAgAFwAIgBEAEUAUwBDAFIASQBQAFQASQBPAE4AOgAgACAAIACSIUMAcgBlAGEAdABlACAAYQAgAGMAbwByAGsAcwBjAHIAZQB3ACAAcwBlAGMAdABpAG8AbgAgAHQAaABhAHQAIABzAHUAbQBzACAAdABoAGUAIABvAHAAZQBuAGkAbgBnACAAYgBhAGwAYQBuAGMAZQAgAGEAbgBkACAAdQBwACAAdABvACAANAAgAGkAbgBkAGUAcABlAG4AZABlAG4AdAAgAGYAbABvAHcAcwC2AFwAIgAgACYAIABcAG4AIAAgACAAIAAgACAAIAAgACAAIAAgACAAIAAgACAAIAAgACAAIAAgACAAIAAgACAAXAAiAFcARQBCAFAAQQBHAEUAOgAgACAAIAAgACAAIAAgAJIhPABDAG8AbQBpAG4AZwAgAFMAbwBvAG4APgC2AFwAIgAgACYAIA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TwBwAGUAbgBpAG4AZwAgACAAIAAgACAAIAAgACAAkiEoAFIAZQBxAHUAaQByAGUAZAApACAARgBpAHIAcwB0ACAAcABlAHIAaQBvAGQAcwAgAG8AcABlAG4AaQBuAGcAIABiAGEAbABhAG4AYwBlAC4AtgBcACIAIAAmACAAXABuACAAIAAgACAAIAAgACAAIAAgACAAIAAgACAAIAAgACAAIAAgACAAIAAgACAAIAAgAFwAIgBGAGwAbwB3ADEAIAAgACAAIAAgACAAIAAgACAAIACSISgAUgBlAHEAdQBpAHIAZQBkACkAIABGAGkAcgBzAHQAIAByAG8AdwAgACgAbwByACAAYQByAHIAYQB5ACAAbwBmACAAcgBvAHcAcwApACAAbwBmACAAbgB1AG0AYgBlAHIAcwAgAHQAbwAgAGkAbgBjAGwAdQBkAGUAIABpAG4AIABwAGUAcgBpAG8AZAAgAHQAbwB0AGEAbABzAC4AtgBcACIAIAAmACAAXABuACAAIAAgACAAIAAgACAAIAAgACAAIAAgACAAIAAgACAAIAAgACAAIAAgACAAIAAgAFwAIgBGAGwAbwB3ADIAIAAgACAAIAAgACAAIAAgACAAIACSISgATwBwAHQAaQBvAG4AYQBsACkAIABTAGUAYwBvAG4AZAAgAHIAbwB3ACAAKABvAHIAIABhAHIAcgBhAHkAIABvAGYAIAByAG8AdwBzACkAIABvAGYAIABuAHUAbQBiAGUAcgBzACAAdABvACAAaQBuAGMAbAB1AGQAZQAgAGkAbgAgAHAAZQByAGkAbwBkACAAdABvAHQAYQBsAHMALgC2AFwAIgAgACYAIABcAG4AIAAgACAAIAAgACAAIAAgACAAIAAgACAAIAAgACAAIAAgACAAIAAgACAAIAAgACAAXAAiAEYAbABvAHcAMwAgACAAIAAgACAAIAAgACAAIAAgAJIhKABPAHAAdABpAG8AbgBhAGwAKQAgAFQAaABpAHIAZAAgAHIAbwB3ACAAKABvAHIAIABhAHIAcgBhAHkAIABvAGYAIAByAG8AdwBzACkAIABvAGYAIABuAHUAbQBiAGUAcgBzACAAdABvACAAaQBuAGMAbAB1AGQAZQAgAGkAbgAgAHAAZQByAGkAbwBkACAAdABvAHQAYQBsAHMALgC2AFwAIgAgACYAIABcAG4AIAAgACAAIAAgACAAIAAgACAAIAAgACAAIAAgACAAIAAgACAAIAAgACAAIAAgACAAXAAiAEYAbABvAHcANAAgACAAIAAgACAAIAAgACAAIAAgAJIhKABPAHAAdABpAG8AbgBhAGwAKQAgAEYAbwB1AHIAdABoACAAcgBvAHcAIAAoAG8AcgAgAGEAcgByAGEAeQAgAG8AZgAgAHIAbwB3AHMAKQAgAG8AZgAgAG4AdQBtAGIAZQByAHMAIAB0AG8AIABpAG4AYwBsAHUAZABlACAAaQBuACAAcABlAHIAaQBvAGQAIAB0AG8AdABhAGwAcwAuALYAXAAiACAAJgAgAFwAbgAgACAAIAAgACAAIAAgACAAIAAgACAAIAAgACAAIAAgACAAIAAgACAAIAAgACAAIABcACIATgBPAFQARQAhACAAIAAgACAAIAAgACAAIAAgACAAkiFBAGwAbAAgAGYAbABvAHcAcwAgAGEAcgBlACAAYQBkAGQAZQBkAC4AIABUAG8AIABzAHUAYgB0AHIAYQBjAHQAIABhACAAZgBsAG8AdwAgAG0AYQBrAGUAIABpAHQAIABuAGUAZwBhAHQAaQB2AGUALgC2AFwAIgAgACYAIABcAG4AIAAgACAAIAAgACAAIAAgACAAIAAgACAAIAAgACAAIAAgACAAIAAgACAAIAAgACAAXAAiAJIhtgBcACIAIAAmAFwAbgAgACAAIAAgACAAIAAgACAAIAAgACAAIAAgACAAIAAgACAAIAAgACAAIAAgACAAIABcACIARQBYAEEATQBQAEwARQBTADoAIAAgACAAIAAgACAAkiFOAE8AVABFACEAIABuAGEAYgBsAGEALgBmACAAaQBzACAAYQBzAHMAdQBtAGUAZAAgAHQAbwAgAGIAZQAgAHQAaABlACAAbQBvAGQAdQBsAGUAJwBzACAAbgBhAG0AZQC2AFwAIgAgACYAIABcAG4AIAAgACAAIAAgACAAIAAgACAAIAAgACAAIAAgACAAIAAgACAAIAAgACAAIAAgACAAXAAiAEYAbwByAG0AdQBsAGEAOgAgACAAIAAgACAAIAAgAJIhPQBuAGEAYgBsAGEALgBmAC4AQwBvAHIAawBzAGMAcgBlAHcAuwMoADAALAAgAFMAZQBxAHUAZQBuAGMAZQAoADEALAA1ACkAKQC2AFwAIgAgACYAXABuACAAIAAgACAAIAAgACAAIAAgACAAIAAgACAAIAAgACAAIAAgACAAIAAgACAAIAAgAFwAIgBSAGUAcwB1AGwAdAA6ACAAIAAgACAAIAAgACAAIACSITAAMAAsACAAMAAxACwAIAAwADMALAAgADAANgAsACAAMQAwALYAXAAiACAAJgBcAG4AIAAgACAAIAAgACAAIAAgACAAIAAgACAAIAAgACAAIAAgACAAIAAgACAAIAAgACAAIAAgACAAIAAgACAAIAAgACAAIAAgACAAIAAgACAAXAAiAJIhMAAxACwAIAAwADIALAAgADAAMwAsACAAMAA0ACwAIAAwADUAtgBcACIAIAAmAFwAbgAgACAAIAAgACAAIAAgACAAIAAgACAAIAAgACAAIAAgACAAIAAgACAAIAAgACAAIAAgACAAIAAgACAAIAAgACAAIAAgACAAIAAgACAAIABcACIAkiEwADEALAAgADAAMwAsACAAMAA2ACwAIAAxADAALAAgADEAN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8AcABlAG4AaQBuAGcAKQAsAFwAbgAgACAAIAAgACAAIAAgACAAIAAgACAAIAAgACAAIAAgACAAIAAgACAAIAAgACAAIAAgACAAIAAgAEkAUwBPAE0ASQBUAFQARQBEACgAIABGAGwAbwB3ADEAKQBcAG4AIAAgACAAIAAgACAAIAAgACAAIAAgACAAIAAgACAAIAAgACAAIAAgACAAIAAgACAAKQAsAFwAbgAgACAAIAAgAC8ALwAgACAAUAByAG8AYwBlAHMAcwBpAG4AZwBcAG4AIAAgACAAIAAgACAAIAAgAEMAbwBsAHMALAAgACAAIAAgACAAIAAgACAAIAAgACAAQwBvAGwAdQBtAG4AcwAoAEYAbABvAHcAMQApACw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CAAIAAgACAAIAAgACAAIAAgACAAIAAgACAAIAAgACAAIAAgACAAIAAgACAAIABcAG4AIAAgACAAIAAgACAAIAAgAFAAZQByAGkAbwBkAEEAcgByAGEAeQAsACAAIAAgACAAUwBXAEkAVABDAEgAKABSAG8AdwBzACwAIABcAG4AIAAgACAAIAAgACAAIAAgACAAIAAgACAAIAAgACAAIAAgACAAIAAgACAAIAAgACAAIAAgACAAIAAxACwAIAAgAEYAbABvAHcAMQAsACAAXABuACAAIAAgACAAIAAgACAAIAAgACAAIAAgACAAIAAgACAAIAAgACAAIAAgACAAIAAgACAAIAAgACAAMgAsACAAIABWAFMAVABBAEMASwAoAEYAbABvAHcAMQAsACAARgBsAG8AdwAyACkALAAgAFwAbgAgACAAIAAgACAAIAAgACAAIAAgACAAIAAgACAAIAAgACAAIAAgACAAIAAgACAAIAAgACAAIAAgADMALAAgACAAVgBTAFQAQQBDAEsAKABGAGwAbwB3ADEALAAgAEYAbABvAHcAMgAsACAARgBsAG8AdwAzACkALABcAG4AIAAgACAAIAAgACAAIAAgACAAIAAgACAAIAAgACAAIAAgACAAIAAgACAAIAAgACAAIAAgACAAIAA0ACwAIAAgAFYAUwBUAEEAQwBLACgARgBsAG8AdwAxACwAIABGAGwAbwB3ADIALAAgAEYAbABvAHcAMwAsACAARgBsAG8AdwA0ACkAXABuACAAIAAgACAAIAAgACAAIAAgACAAIAAgACAAIAAgACAAIAAgACAAIAAgACAAIAAgACkALAAgAFwAbgAgACAAIAAgACAAIAAgACAAUABlAHIAaQBvAGQAVABvAHQAYQBsACwAIAAgACAAIABCAFkAQwBPAEwAKABQAGUAcgBpAG8AZABBAHIAcgBhAHkALAAgAEwAQQBNAEIARABBACgAQwBvAGwALAAgAFMAVQBNACgAQwBvAGwAKQApACkALAAgAFwAbgAgACAAIAAgACAAIAAgACAAQwBsAG8AcwBpAG4AZwBUAG8AdABhAGwALAAgACAAIABTAEMAQQBOACgATwBwAGUAbgBpAG4AZwAsACAAUABlAHIAaQBvAGQAVABvAHQAYQBsACwAIABMAEEATQBCAEQAQQAoAE8AcABuACwAIABQAHIAZABUAG8AdAAsACAATwBwAG4AIAArACAAUAByAGQAVABvAHQAKQApACwAIABcAG4AIAAgACAAIAAgACAAIAAgAE8AcABlAG4AaQBuAGcAVABvAHQAYQBsACwAIAAgACAATQBBAFAAKAAgAFMARQBRAFUARQBOAEMARQAoACwAIABDAG8AbABzACkALAAgAEwAQQBNAEIARABBACgAIABDAG8AbAAsACAASQBGACgAIABDAG8AbAAgAD0AIAAxACwAIABPAHAAZQBuAGkAbgBnACwAIABJAE4ARABFAFgAKAAgAEMAbABvAHMAaQBuAGcAVABvAHQAYQBsACwAIABDAG8AbAAgAC0AIAAxACkAKQApACkALABcAG4AIAAgACAAIAAgACAAIAAgAFIAZQBzAHUAbAB0ACwAIAAgACAAIAAgACAAIAAgACAAVgBTAFQAQQBDAEsAKABPAHAAZQBuAGkAbgBnAFQAbwB0AGEAbAAsACAAUABlAHIAaQBvAGQAQQByAHIAYQB5ACwAIABDAGwAbwBzAGkAbgBnAFQAbwB0AGEAbAApACwAI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DAG8AcgBrAFMAYwByAGUAdwBSAGUAdgBlAHIAcwBhAGwAuwNcAG4AIAAgACAAIABEAEUAUwBDAFIASQBQAFQASQBPAE4AOgAqAC8ALwAqACoAQwByAGUAYQB0AGUAIABhACAAYwBvAHIAawBzAGMAcgBlAHcAIAB3AGgAZQByAGUAIAB0AGgAZQAgAG8AcABlAG4AaQBuAGcAIABiAGEAbABhAG4AYwBlACAAaQBzACAAcgBlAHYAZQByAHMAZQBkACAAaQBuACAAdABoAGUAIABuAGUAeAB0ACAAcABlAHIAaQBvAGQAIABiAGEAcwBlAGQAIABvAG4AIABhACAAdABpAG0AaQBuAGcAIABwAGEAcgBhAG0AZQB0AGUAcgAuACoALwBcAG4AQwBvAHIAawBTAGMAcgBlAHcAUgBlAHYAZQByAHMAYQBsALsDPQBMAEEATQBCAEQAQQAoAFwAbgAvAC8AIAAgAFAAYQByAGEAbQBlAHQAZQByACAARABlAGMAbABhAHIAYQB0AGkAbwBuAHMAXABuACAAIAAgACAAWwBPAHAAZQBuAGkAbgBnAF0ALABcAG4AIAAgACAAIABbAFIAZQB2AGUAcgBzAGEAbABGAGwAYQBnAHMAXQAsAFwAbgAgACAAIAAgAFsARgBsAG8AdwAxAF0ALABcAG4AIAAgACAAIABbAEYAbABvAHcAMgBdACwAXABuACAAIAAgACAAWwBGAGwAbwB3ADMAXQAsAFwAbgAgACAAIAAgAFsARgBsAG8AdwA0AF0ALAAgAFwAbgAgACAAIAAgAC8ALwAgACAASABlAGwAcABcAG4AIAAgACAAIABMAEUAVAAoAEgAZQBsAHAALAAgACAAIAAgACAAIAAgACAAIAAgACAAVABSAEkATQAoAFQARQBYAFQAUwBQAEwASQBUACgAXABuACAAIAAgACAAIAAgACAAIAAgACAAIAAgACAAIAAgACAAIAAgACAAIAAgACAAIAAgAFwAIgBGAFUATgBDAFQASQBPAE4AOgAgACAAIAAgACAAIACSIUMAbwByAGsAcwBjAHIAZQB3ALsDKAAgAE8AcABlAG4AaQBuAGcALAAgAEYAT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QA4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DIALgA2ADMAIAAgACAAIAAgACAAIAAgACAAIACSIT0AbgBhAGIAbABhAC4AZgAuAEkAbgB0AE8AbgBJAG4AdAC7AygAIAAxADAAMAAwACwAIAA1AC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cgBpAG4AYwBpAHAAYQBsACkALABcAG4AIAAgACAAIAAgACAAIAAgACAAIAAgACAAIAAgACAAIAAgACAAIAAgACAAIAAgACAAIAAgACAAIABJAFMATwBNAEkAVABUAEUARAAoACAAUgBhAHQAZQApAFwAbgAgACAAIAAgACAAIAAgACAAIAAgACAAIAAgACAAIAAgACAAIAAgACAAIAAgACAAIAApACwAXABuACAAIAAgACAALwAvACAAIABQAHIAbwBjAGUAZAB1AHIAZQBcAG4AIAAgACAAIAAgACAAIAAgAFIAZQBzAHUAbAB0ACwAIAAgACAAIAAgACAAIAAgACAAUAByAGkAbgBjAGkAcABhAGwAIAAvACgAMQAtAFIAYQB0AGUAKQAgAC0AIABQAHIAaQBuAGMAaQBwAGEAbA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kAUgBSALsDXAB0AFwAbgAgACAAIAAgAEQARQBTAEMAUgBJAFAAVABJAE8ATgA6ACoALwAgAC8AKgAqAEMAYQBsAGMAdQBsAGEAdABlAHMAIABJAFIAUgAsACAAYwBvAHIAcgBlAGMAdABpAG4AZwAgAGYAbwByACAAdwBoAGUAbgAgAHQAaABlACAAZgBpAHIAcwB0ACAAaQBuAHYAZQBzAHQAbQBlAG4AdAAgAGkAcwAgAG4AbwB0ACAAaQBuACAAdABoAGUAIABmAGkAcgBzAHQAIABwAGUAcgBpAG8AZAAgACoALwBcAG4ASQBSAFIAuwMgAD0AIABMAEEATQBCAEQAQQAoAFwAbgAgACAAIAAgAFsAVgBhAGwAdQBlAHMAXQAsAFwAbgAgACAAIAAgAFsARABhAHQAZQBz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FIAUgC7AygAIABWAGEAbAB1AGUAcwAsACAARABhAHQAZQBzACkAtgBcACIAIAAmACAAXABuACAAIAAgACAAIAAgACAAIAAgACAAIAAgACAAIAAgACAAIAAgACAAIAAgACAAIAAgACAAIAAgACAAXAAiAEQARQBTAEMAUgBJAFAAVABJAE8ATgA6ACAAIAAgAJIhQwBhAGwAYwB1AGwAYQB0AGUAcwAgAEkAUgBSACwAIABjAG8AcgByAGUAYwB0AGkAbgBnACAAZgBvAHIAIAB3AGgAZQBuACAAdABoAGUAIABmAGkAcgBzAHQAIABpAG4AdgBlAHMAdABtAGUAbgB0ACAAaQBzACAAbgBvAHQAIABpAG4AIAB0AGgAZQAgAGYAaQByAHMAdAAgAHAAZQByAGkAbwBkALYAXAAiACAAJgAgAFwAbgAgACAAIAAgACAAIAAgACAAIAAgACAAIAAgACAAIAAgACAAIAAgACAAIAAgACAAIAAgACAAIAAgAFwAIgBXAEUAQgBTAEkAVA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aQBuAHYAZQBzAHQAbQBlAG4AdABzACAAKABuAGUAZwBhAHQAaQB2AGUAKQAgAGEAbgBkACAAZABpAHMAdAByAGkAYgB1AHQAaQBvAG4AcwAgACgAcABvAHMAaQB0AGkAdgBlACkAtgBcACIAIAAmACAAXABuACAAIAAgACAAIAAgACAAIAAgACAAIAAgACAAIAAgACAAIAAgACAAIAAgACAAIAAgACAAIAAgACAAIAAgACAAIAAgACAAIAAgACAAIAAgACAAIAAgACAAXAAiAJIhVABoAGUAIABmAGkAcgBzAHQAIABlAG4AdAByAHkALAAgAHcAaABlAHQAaABlAHIAIAAwACAAbwByACAAYQBuACAAYQBtAG8AdQBuAHQALAAgAG0AdQBzAHQAIABiAGUAIABmAG8AcgAgAHQAaABlACAAZgBpAHIAcwB0ACAAcABlAHIAaQBvAGQAIABpAG4AIAB0AGgAZQAgAHQAaQBtAGUAbABpAG4AZQC2AFwAIgAgACYAIABcAG4AIAAgACAAIAAgACAAIAAgACAAIAAgACAAIAAgACAAIAAgACAAIAAgACAAIAAgACAAIAAgACAAIAAgACAAIAAgACAAIAAgACAAIAAgACAAIAAgACAAIABcACIAkiFhAG4AZAAgAHMAdQBiAHMAZQBxAHUAZQBuAHQAIABlAG4AdAByAGkAZQBzACAAbQB1AHMAdAAgAGMAbwByAHIAZQBzAHAAbwBuAGQAIAB0AG8AIABwAGUAcgBpAG8AZABzACAAaQBuACAAdABoAGUAIAB0AGkAbQBlAGwAaQBuAGUAOwAgAGgAbwB3AGUAdgBlAHIALAC2AFwAIgAgACYAIABcAG4AIAAgACAAIAAgACAAIAAgACAAIAAgACAAIAAgACAAIAAgACAAIAAgACAAIAAgACAAIAAgACAAIAAgACAAIAAgACAAIAAgACAAIAAgACAAIAAgACAAIABcACIAkiF0AGgAZQAgAHQAaQBtAGUAbABpAG4AZQAgAG0AYQB5ACAAZQB4AHQAZQBuAGQAIABiAGUAeQBvAG4AZAAgAHQAaABlACAAZQBuAGQAIABvAGYAIAB2AGEAbAB1AGUAcwAuALYAXAAiACAAJgAgAFwAbgAgACAAIAAgACAAIAAgACAAIAAgACAAIAAgACAAIAAgACAAIAAgACAAIAAgACAAIAAgACAAIAAgAFwAIgBEAGEAdABlAHMAIAAgACAAIAAgACAAIAAgACAAIACSISgAUgBlAHEAdQBpAHIAZQBkACkAIABBACAAdABpAG0AZQBsAGkAbgBlACAAZgBvAHIAIAB3AGgAZQBuACAAZQBhAGMAaAAgAGkAbgB2AGUAcwB0AG0AZQBuAHQAIABpAHMAIABtAGEAZABlALYAXAAiACAAJgAg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RABhAHQAZQBzACAAIAAgACAAIAAgACAAIAAgACAAkiE9AEUARABBAFQARQAoAFwAIgBcACIAMQAvADEALwAyADAAMgA1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QAJQAgACAAIAAgACAAIAAgACAAIAAgACAAIACSIT0AbgBhAGIAbABhAC4AZ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dACwAIABWAGEAbAB1AGUAcwApALYAXAAiACAAJgBcAG4AIAAgACAAIAAgACAAIAAgACAAIAAgACAAIAAgACAAIAAgACAAIAAgACAAIAAgACAAIAAgACAAIABcACIARABFAFMAQwBSAEkAUABUAEkATwBOADoAIAAgACAAkiFDAHIAZQBhAHQAZQAgAGEAIAByAG8AdwAgAG8AZgAgAGQAaQBmAGYAZQByAGUAbgBjAGUAcwAgAGYAcgBvAG0AIABjAG8AbAB1AG0AbgAgAHQAbw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gBlAGcAaQBuAG4AaQBuAGcAVgBhAGwAdQBlAHMAkiEoAE8AcAB0AGkAbwBuAGEAbAApACAARABlAGYAYQB1AGwAdABzACAAdABvACAAMAC2AFwAIgAgACYAIABcAG4AIAAgACAAIAAgACAAIAAgACAAIAAgACAAIAAgACAAIAAgACAAIAAgACAAIAAgACAAIAAgACAAIABcACIAVgBhAGwAdQBlAHMAIAAgACAAIAAgACAAIAAgACAAkiEoAFIAZQBxAHUAaQByAGUAZAApACAAQQAgAHIAbwB3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wADAALAAxADAALAAyADAALAAtADMAMAAgACAAkiE9AG4AYQBiAGwAYQAuAGYALgBNAG8AdgBlAG0AZQBuAHQAuwMoACwAewAxADAAMAAsADEAMQAwACwAMQAzADAALAAxADAAMAB9ACwAIAA0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gBhAGwAdQBlAHMAKQAsAFwAbgAgACAAIAAgAC8ALwAgACAAUwBlAHQAIABEAGUAZgBhAHUAbAB0AHMAXABuACAAIAAgACAAIAAgACAAIABCAGUAZwBpAG4AbgBpAG4AZwBWAGEAbAB1AGUAcwAsACAASQBGACgATwBSACgASQBTAE8ATQBJAFQAVABFAEQAKABCAGUAZwBpAG4AbgBpAG4AZwBWAGEAbAB1AGUAcwApACwAIABCAGUAZwBpAG4AbgBpAG4AZwBWAGEAbAB1AGUAcwA9AFwAIgBcACIAKQAsACAAMAAsACAAQgBlAGcAaQBuAG4AaQBuAGcAVgBhAGwAdQBlAHMAKQAsAFwAbgAgACAAIAAgAC8ALwAgACAAUAByAG8AYwBlAGQAdQByAGUAXABuACAAIAAgACAAIAAgACAAIABSAG8AdwBzACwAIAAgACAAIAAgACAAIAAgACAAIAAgAFIATwBXAFMAKAAgAFYAYQBsAHUAZQBzACkALABcAG4AIAAgACAAIAAgACAAIAAgAEMAbwBsAHMALAAgACAAIAAgACAAIAAgACAAIAAgACAAQwBvAGwAdQBtAG4AcwAoACAAVgBhAGwAdQBlAHMAKQAsAFwAbgAgACAAIAAgACAAIAAgACAAUwBlAHEALAAgACAAIAAgACAAIAAgACAAIAAgACAAIABTAEUAUQBVAEUATgBDAEUAKAAsACAAQwBvAGwAcwApACwAXABuACAAIAAgACAAIAAgACAAIABSAGUAcwB1AGwAdAAsACAAIAAgACAAIAAgACAAIAAgAFIARQBEAFUAQwBFACgAMAAsACAAUwBFAFEAVQBFAE4AQwBFACgAIABSAG8AdwBzACkALAAgAFwAbgAgACAAIAAgACAAIAAgACAAIAAgACAAIAAgACAAIAAgACAAIAAgACAAIAAgACAAIAAgACAAIAAgAEwAQQBNAEIARABBACgAIABBAGMAYwAsACAAUgAsACAAXABuACAAIAAgACAAIAAgACAAIAAgACAAIAAgACAAIAAgACAAIAAgACAAIAAgACAAIAAgACAAIAAgACAAIAAgACAAIABMAEUAVAAoAFwAbgAgACAAIAAgACAAIAAgACAAIAAgACAAIAAgACAAIAAgACAAIAAgACAAIAAgACAAIAAgACAAIAAgACAAIAAgACAAIAAgACAAIABCAGUAZwBpAG4ALAAgACAAIAAgACAAIABJAGYAKAAgAFIATwBXAFMAKABCAGUAZwBpAG4AbgBpAG4AZwBWAGEAbAB1AGUAcwApACAAPQAgADEALAAgAEIAZQBnAGkAbgBuAGkAbgBnAFYAYQBsAHUAZQBzACwAIABJAE4ARABFAFgAKAAgAEIAZQBnAGkAbgBuAGkAbgBnAFYAYQBsAHUAZQBzACwAIABSACkAKQAsAFwAbgAgACAAIAAgACAAIAAgACAAIAAgACAAIAAgACAAIAAgACAAIAAgACAAIAAgACAAIAAgACAAIAAgACAAIAAgACAAIAAgACAAIABSAG8AdwAsACAAIAAgACAAIAAgACAAIABDAEgATwBPAFMARQBSAE8AVwBTACgAIABWAGEAbAB1AGUAcwAsACAAUgApACwAIABcAG4AIAAgACAAIAAgACAAIAAgACAAIAAgACAAIAAgACAAIAAgACAAIAAgACAAIAAgACAAIAAgACAAIAAgACAAIAAgACAAIAAgACAATgBlAHcAUgBvAHcALAAgACAAIAAgACAAUwBDAEEATgAoACAAQgBlAGcAaQBuACwAIABTAGUAcQAsACAAXABuACAAIAAgACAAIAAgACAAIAAgACAAIAAgACAAIAAgACAAIAAgACAAIAAgACAAIAAgACAAIAAgACAAIAAgACAAIAAgACAAIAAgACAAIAAgACAAIAAgACAAIAAgACAAIAAgACAAIAAgACAATABBAE0AQgBEAEEAKAAgAEEALAAgAEMALABcAG4AIAAgACAAIAAgACAAIAAgACAAIAAgACAAIAAgACAAIAAgACAAIAAgACAAIAAgACAAIAAgACAAIAAgACAAIAAgACAAIAAgACAAIAAgACAAIAAgACAAIAAgACAAIAAgACAAIAAgACAAIAAgACAAIAAgAEkATgBEAEUAWAAoACAAUgBvAHcALAAgAEMAIAApACAALQAgAEkARgAoACAAQwAgAD0AIAAxACwAIABBACwAIABJAE4ARABFAFgAKAAgAFIAbwB3ACwAIABDACAALQAgADEAKQ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LABcAG4AIAAgACAAIAAgACAAIAAgACAAIAAgACAAIAAgACAAIAAgACAAIAAgACAAIAAgACAAIAAgACAAIAAgACAAIAAgACAAIAAgACAAUgBlAHMAdQBsAHQALAAgACAAIAAgACAASQBGACgAIABSACAAPQAgADEALAAgAE4AZQB3AFIAbwB3ACwAIABWAFMAVABBAEMASwAoAEEAYwBjACwAIABOAGUAdwBSAG8Ad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UAdgBlAHIAcwBhAGwAuwNcAG4AIAAgACAAIABEAEUAUwBDAFIASQBQAFQASQBPAE4AOgAqAC8ALwAqACoAQwByAGUAYQB0AGUAIABhACAAcgBvAHcAIAB0AGgAYQB0ACAAcgBlAHYAZQByAHMAZQBzACAAaQBuAHAAdQB0ACAAdgBhAGwAdQBlAHMAIABpAG4AIAB0AGgAZQAgAG4AZQB4AHQAIABwAGUAcgBpAG8AZAAuACoALwBcAG4AUgBlAHYAZQByAHMAYQBsALsDIAA9ACAATABBAE0AQgBEAEEAKABcAG4ALwAvACAAIABQAGEAcgBhAG0AZQB0AGUAcgAgAEQAZQBjAGwAYQByAGEAdABpAG8AbgBzAFwAbgAgACAAIAAgAFsATwBwAGUAbgBpAG4AZwBWAGEAbAB1AGUAXQAsAFwAbgAgACAAIAAgAFsAUgBvAHcAVABvAFIAZQB2AGUAcgBzAGUAXQAsACAAIAAgACAAXABuAC8ALwAgACAASABlAGwAcABcAG4AIAAgACAAIABMAEUAVAAoAEgAZQBsAHAALAAgACAAIAAgACAAIAAgAFQAUgBJAE0AKABUAEUAWABUAFMAUABMAEkAVAAoACAAXABuACAAIAAgACAAIAAgACAAIAAgACAAIAAgACAAIAAgACAAIAAgACAAIAAgACAAIAAgACAAIAAgACAAXAAiAEYAVQBOAEMAVABJAE8ATgA6ACAAIAAgACAAIAAgAJIhUgBlAHYAZQByAHMAYQBsALsDKAAgAFsATwBwAGUAbgBpAG4AZwBWAGEAbAB1AGUAXQAsACAAUgBvAHcAVABvAFIAZQB2AGUAcgBzAGUAKQC2AFwAIgAgACYAXABuACAAIAAgACAAIAAgACAAIAAgACAAIAAgACAAIAAgACAAIAAgACAAIAAgACAAIAAgACAAIAAgACAAXAAiAEQARQBTAEMAUgBJAFAAVABJAE8ATgA6ACAAIAAgAJIhQwByAGUAYQB0AGUAIABhACAAcgBvAHcAIAB0AGgAYQB0ACAAcgBlAHYAZQByAHMAZQBzACAAaQBuAHAAdQB0ACAAdgBhAGwAdQBlAHMAIABpAG4AIAB0AGgAZQAgAG4AZQB4AHQAIABwAGUAcgBpAG8AZAA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TwBwAGUAbgBpAG4AZwBWAGEAbAB1AGUAIAAgACAAkiEoAE8AcAB0AGkAbwBuAGEAbAApACAARABlAGYAYQB1AGwAdABzACAAdABvACAAMAC2AFwAIgAgACYAIABcAG4AIAAgACAAIAAgACAAIAAgACAAIAAgACAAIAAgACAAIAAgACAAIAAgACAAIAAgACAAIAAgACAAIABcACIAUgBvAHcAVABvAFIAZQB2AGUAcgBzAGUAIAAgACAAkiEoAFIAZQBxAHUAaQByAGUAZAApACAAQQAgAHIAbwB3ACAAbwBmACAAdgBhAGwAdQBlAHMAIAB0AG8AIAByAGUAdgBlAHIAcwBlACAAdABoAGUAIABmAG8AbABsAG8AdwBpAG4AZwAgAHAAZQByAGkAbwBkAHM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0AMQAwADAALAAtADEAMQAwACwALQAxADMAMAAgAJIhPQBuAGEAYgBsAGEALgBm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xACwAMwAsADYAIAAgACAAIAAgACAAIAAgACAAIACSIT0AbgBhAGIAbABhAC4AZ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DEALAAzACwANgAsADkALAAxADIAIAAgACAAIAAgAJIhPQBuAGEAYgBsAGEALgBmAC4AUgBvAGwAbABpAG4AZwBBAHYAZwC7AygAUwBFAFEAVQBFAE4AQwBFACgALAAgADUAK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BAFYARQBSAEEARwBF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TQBhAHgAuwNcAG4AIAAgACAAIABEAEUAUwBDAFIASQBQAFQASQBPAE4AOgAqAC8ALwAqACoA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KgAvAFwAbgBSAG8AbABsAGkAbgBnAE0AYQB4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E0AYQB4ALsDKAAgAFYAYQBsAHUAZQBzACwAIABTAGkAegBlACkAtgBcACIAIAAmAFwAbgAgACAAIAAgACAAIAAgACAAIAAgACAAIAAgACAAIAAgACAAIAAgACAAIAAgACAAIAAgACAAIAAgAFwAIgBEAEUAUwBDAFIASQBQAFQASQBPAE4AOgAgACAAIACSIUMAcgBlAGEAdABlAHMAIAB0AGgAZQAgAG0AYQB4AGkAbQB1AG0AIABmAG8AcgAgAHAAcgBlAGMAZQBkAGkAbgBnACAAdgBhAGwAdQBlAHMAIABvAGYAIABhACAAcwBlAHQAIABzAGkAegBlACAAbQBvAHYAaQBuAGcAIABmAHIAbwBtACAAYgBlAGcAaQBuAG4AaQBuAGcAIAB0AG8AIABlAG4AZAAgAG8AdgBlAHIAIABhACAAcgBvAHcAIABvAGYAIAB2AGEAbAB1AGUAcwAu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tAGEAeABpAG0AdQBt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1ACwANQAsADUALAA2ACwANgAsADcAIAAgACAAIACSIT0AbgBhAGIAbABhAC4AZ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NQAsADMALAAzACwAMwAsADIALAAyACAAIAAgACAAkiE9AG4AYQBiAGwAYQAuAGYALgBSAG8AbABsAGkAbgBnAE0AYQB4ALsDKAB7ADUALAAzACwANAAsADYALAAyACwANwB9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0ASQBOACgAQgBsAG8AYwBr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bwBsAGwAaQBuAGcAUwB1AG0AuwNcAG4AIAAgACAAIABEAEUAUwBDAFIASQBQAFQASQBPAE4AOgAqAC8ALwAqACoAQwByAGUAYQB0AGUAcwAgAHQAbwB0AGEAbABzACAAZgBvAHIAIABwAHIAZQBjAGUAZABpAG4AZwAgAHYAYQBsAHUAZQBzACAAbwBmACAAYQAgAHMAZQB0ACAAcwBpAHoAZQAgAG0AbwB2AGkAbgBnACAAZgByAG8AbQAgAGIAZQBnAGkAbgBuAGkAbgBnACAAdABvACAAZQBuAGQAIABvAHYAZQByACAAYQAgAHIAbwB3ACAAbwBmACAAdgBhAGwAdQBlAHMALgAqAC8AXABuAFIAbwBsAGwAaQBuAGcAUwB1AG0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UwB1AG0AuwMoACAAVgBhAGwAdQBlAHMALAAgAFMAaQB6AGUAKQC2AFwAIgAgACYAXABuACAAIAAgACAAIAAgACAAIAAgACAAIAAgACAAIAAgACAAIAAgACAAIAAgACAAIAAgACAAIAAgACAAXAAiAEQARQBTAEMAUgBJAFAAVABJAE8ATgA6ACAAIAAgAJIhQwByAGUAYQB0AGUAcwAgAHQAbwB0AGEAbA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dABvAHQAYQBsAGwAZQBkAC4AtgBcACIAIAAmACAAXABuACAAIAAgACAAIAAgACAAIAAgACAAIAAgACAAIAAgACAAIAAgACAAIAAgACAAIAAgACAAIAAgACAAXAAiAFMAaQB6AGUAIAAgACAAIAAgACAAIAAgACAAIAAgAJIhKABSAGUAcQB1AGkAcgBlAGQAKQAgAFQAaABlACAAbgB1AG0AYgBlAHIAIABvAGYAIAB2AGEAbAB1AGUAcwAgAHQAbwAgAHQAbwB0AGEAbA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sADMALAA2ACwAOQAsADEAMgAgACAAIAAgACAAkiE9AG4AYQBiAGwAYQAuAGYALgBSAG8AbABsAGkAbgBnAE0AaQBu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EwAVQBNAE4AUw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UwBVAE0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kiF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CAAIAAgACAAIAAgACAAIAAgACAAIAAgACAAIAAgAJIhPQBuAGEAYgBsAGEALgBmAC4AUwB1AG0AQwBvAG4AdABhAGkAbgBzALsDKAAgAEEAcgByAGEAeQAsACAATABhAGIAZQBsAHMALAAgAFwAIgBcACIAQwBBAFAARQBY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VABvAEYAaQBsAHQAZQByACkALAAgAFwAbgAgACAAIAAgACAAIAAgACAAIAAgACAAIAAgACAAIAAgACAAIAAgACAAIAAgACAAIAAgACAAIAAgAEkAUwBPAE0ASQBUAFQARQBEACgAIABWAGEAbAB1AGUATABhAGIAZQBsAHMAKQAsACAAXABuACAAIAAgACAAIAAgACAAIAAgACAAIAAgACAAIAAgACAAIAAgACAAIAAgACAAIAAgACAAIAAgACAASQBTAE8ATQBJAFQAVABFAEQAKAAgAEYAaQBsAHQAZQByAEIAeQBUAGUAeAB0ACk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AAIAAgACAATABhAGIAZQBsAHMALAAgACAAIAAgACAAIAAgACAAIABDAEgATwBPAFMARQBDAE8ATABTACgAVgBhAGwAdQBlAEwAYQBiAGUAbABzACwAIAAxACkALABcAG4AIAAgACAAIAAvAC8AIAAgAFAAcgBvAGMAZQBkAHUAcgBlAFwAbgAgACAAIAAgACAAIAAgACAATQBhAHQAYwBoAGUAcwAsACAAIAAgACAAIAAgACAAIABJAEYAKAAgAEkAZwBuAG8AcgBlAEMAYQBzAGUAPwAsACAAXABuACAAIAAgACAAIAAgACAAIAAgACAAIAAgACAAIAAgACAAIAAgACAAIAAgACAAIAAgACAAIAAgACAAUwBFAEEAUgBDAEgAKAAgAEYAaQBsAHQAZQByAEIAeQBUAGUAeAB0ACwAIABMAGEAYgBlAGwAcwApACwAXABuACAAIAAgACAAIAAgACAAIAAgACAAIAAgACAAIAAgACAAIAAgACAAIAAgACAAIAAgACAAIAAgACAARgBJAE4ARAAoACAARgBpAGwAdABlAHIAQgB5AFQAZQB4AHQALAAgAEwAYQBiAGUAbABzACkAXABuACAAIAAgACAAIAAgACAAIAAgACAAIAAgACAAIAAgACAAIAAgACAAIAAgACAAIAAgACkALABcAG4AIAAgACAAIAAgACAAIAAgAEYAaQBsAHQAZQByAGUAZABSAG8AdwBzACwAIAAgACAARgBJAEwAVABFAFIAKAAgAFYAYQBsAHUAZQBzAFQAbwBGAGkAbAB0AGUAcgAsACAASQBTAE4AVQBNAEIARQBSACgAIABNAGEAdABjAGgAZQBzACkAKQAsAFwAbgAgACAAIAAgACAAIAAgACAAUgBlAHMAdQBsAHQALAAgACAAIAAgACAAIAAgACAAIABCAFkAQwBPAEwAKABGAGkAbAB0AGUAcgBlAGQAUgBvAHcAcwAsACAATABBAE0AQgBEAEEAKAAgAEMAbwBsACwAIABTAFUATQAoAEMAbwBsACkAKQApACwAXABuACAAIAAgACAALwAvACAAIABSAGUAdAB1AHIAbgAgAFIAZQBzAHUAbAB0ACAAbwByACAAaABlAGwAcABcAG4AIAAgACAAIAAgACAAIAAgAEMASABPAE8AUwBFACgASABlAGwAcAA/ACAAKwAgADEALAAgAFIAZQBzAHUAbAB0ACwAIABIAGUAbABwACkAXABuACAAIAAgACAAKQAgACAAXABuACkAOwBcAG4AXABuAFwAbgAvACoAIAAgAEYAVQBOAEMAVABJAE8ATgAgAE4AQQBNAEUAOgAgACAAUwB1AG0AUABlAHIAaQBvAGQAcwC7A1wAbgAgACAAIAAgAEQARQBTAEMAUgBJAFAAVABJAE8ATgA6ACoALwAvACoAKgBHAHIAbwB1AHAAcwAgAGEAbgBkACAAdABvAHQAYQBsAHMAIABhAGwAbAAgAGMAbwBsAHUAbQBuAHMAIABpAG4AIABhACAAVgBhAGwAdQBlAHMAIABhAHIAcgBhAHkAIABiAHkAIABwAGUAcgBpAG8AZAAgAHIAZQBzAHUAbAB0AGkAbgBnACAAaQBuACAAbwBuAGUAIABjAG8AbAB1AG0AbgAgAGYAbwByACAAZQBhAGMAaAAgAHAAZQByAGkAbwBkACoALwBcAG4AUwB1AG0AUABlAHIAaQBvAGQAcwC7AyAAPQAgAEwAQQBNAEIARABBACgAXABuAC8ALwAgACAAUABhAHIAYQBtAGUAdABlAHIAIABEAGUAYwBsAGEAcgBhAHQAaQBvAG4AcwBcAG4AIAAgACAAIABbAFYAYQBsAHUAZQBzAF0ALABcAG4AIAAgACAAIABbAEQAYQB0AGUAcwBdACwAXABuACAAIAAgACAAWwBQAGUAcgBpAG8AZABTAHQAYQByAHQAcwBdACwAXABuACAAIAAgACAAXABuAC8ALwAgACAAUAByAG8AYwBlAGQAdQByAGUAXABuACAAIAAgACAATABFAFQAKABIAGUAbABwACwAIAAgACAAIAAgACAAIABUAFIASQBNACgAVABFAFgAVABTAFAATABJAFQAKAAgAFwAbgAgACAAIAAgACAAIAAgACAAIAAgACAAIAAgACAAIAAgACAAIAAgACAAIAAgACAAIAAgACAAIAAgAFwAIgBGAFUATgBDAFQASQBPAE4AOgAgACAAIAAgACAAIACSIVMAdQBtAFAAZQByAGkAbwBkAHMAuwMoACAAVgBhAGwAdQBlAHMALAAgAEQAYQB0AGUAcwAsACAAUABlAHIAaQBvAGQAUwB0AGEAcgB0AHMAKQC2AFwAIgAgACYAXABuACAAIAAgACAAIAAgACAAIAAgACAAIAAgACAAIAAgACAAIAAgACAAIAAgACAAIAAgACAAIAAgACAAXAAiAEQARQBTAEMAUgBJAFAAVABJAE8ATgA6ACAAIAAgAJIhUwB1AG0AbQBhAHIAaQBzAGUAcwAgAHYAYQBsAHUAZQBzACAAdwBoAGUAcgBlACAAZQBhAGMAaAAgAHYAYQBsAHUAZQAgAGMAbwBsAHUAbQBuACAAaQBzACAAZgBvAHIAIABvAG4AZQAgAGQAYQB5ACAAtgBcACIAIAAmACAAXABuACAAIAAgACAAIAAgACAAIAAgACAAIAAgACAAIAAgACAAIAAgACAAIAAgACAAIAAgACAAIAAgACAAIAAgACAAIAAgACAAIAAgACAAIAAgACAAIAAgACAAXAAiAJIhaQBuAHQAbwAgAG8AbgBlACAAYwBvAGwAdQBtAG4AIABmAG8AcgAgAGUAYQBjAGgAIABwAGUAcgBpAG8AZAAuACAAtgBcACIAIAAmACAAXABuACAAIAAgACAAIAAgACAAIAAgACAAIAAgACAAIAAgACAAIAAgACAAIAAgACAAIAAgACAAIAAgACAAXAAiAFMARQBFACAAQQBMAFMATwA6ACAAIAAgACAAIAAgAJIhRQB4AGMAZQBsACAAMwA2ADUAIABuAG8AdwAgAGgAYQBzACAARwBSAE8AVQBQAEIAWQAgAGEAbgBkACAAUABJAFYATwBUAEIAWQAgAGYAbwByACAAZgBvAHIAbQB1AGwAYQAtAGQAcgBpAHYAZQBuACAAYQBnAGcAcgBlAGcAYQB0AGkAbwBuAC4AtgBcACIAIAAmAFwAbgAgACAAIAAgACAAIAAgACAAIAAgACAAIAAgACAAIAAgACAAIAAgACAAIAAgACAAIAAgACAAIAAgAFwAIgBWAEUAUgBTAEkATwBOADoAIAAgACAAIAAgACAAIACSITEAOAAgAEEAdQBnACAAMgAwADIAN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UABBAFIAQQBNAEUAVABFAFIAUwA6AJIhtgBcACIAIAAmACAAXABuACAAIAAgACAAIAAgACAAIAAgACAAIAAgACAAIAAgACAAIAAgACAAIAAgACAAIAAgACAAIAAgACAAXAAiAFYAYQBsAHUAZQBzACAAIAAgACAAIAAgACAAIAAgAJIhKABSAGUAcQB1AGkAcgBlAGQAKQAgAEEAIAB0AHcAbwAgAGQAaQBtAGUAbgBzAGkAbwBuAGEAbAAgAGEAcgByAGEAeQAvAHIAYQBuAGcAZQAgAGMAbwBuAHQAYQBpAG4AaQBuAGcAIAB2AGEAbAB1AGUAcwAgAHQAbwAgAGIAZQAgAHMAdQBtAG0AZQBkACAAdwBoAGUAcgBlAFwAIgAgACYAIABcAG4AIAAgACAAIAAgACAAIAAgACAAIAAgACAAIAAgACAAIAAgACAAIAAgACAAIAAgACAAIAAgACAAIAAgACAAIAAgACAAIAAgACAAIAAgACAAIAAgACAAIAAgAFwAIgBlAGEAYwBoACAAYwBvAGwAdQBtAG4AIABpAHMAIABmAG8AcgAgAGEAIABzAHAAZQBjAGkAZgBpAGMAIABkAGEAeQC2AFwAIgAgACYAIABcAG4AIAAgACAAIAAgACAAIAAgACAAIAAgACAAIAAgACAAIAAgACAAIAAgACAAIAAgACAAIAAgACAAIABcACIARABhAHQAZQBzACAAIAAgACAAIAAgACAAIAAgACAAkiEoAFIAZQBxAHUAaQByAGUAZAApACAAQQAgAHIAbwB3ACAAbwBmACAAZABhAHQAZQBzACAAcAByAG8AdgBpAGQAaQBuAGcAIAB0AGgAZQAgAGQAYQB0AGUAIABmAG8AcgAgAGUAYQBjAGgAIABWAGEAbAB1AGUAcwAgAGMAbwBsAHUAbQBuALYAXAAiACAAJgBcAG4AIAAgACAAIAAgACAAIAAgACAAIAAgACAAIAAgACAAIAAgACAAIAAgACAAIAAgACAAIAAgACAAIABcACIAUABlAHIAaQBvAGQAUwB0AGEAcgB0AHMAIAAgACAAkiEoAFIAZQBxAHUAaQByAGUAZAApACAAQQAgAHIAbwB3ACAAbwBmACAAcABlAHIAaQBvAGQAIABzAHQAYQByAHQAIABkAGEAdABlAHMAtgBcACIAIAAm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AAzACwAIAAwADcAIAAgACAAIAAgACAAIAAgACAAkiE9AG4AYQBiAGwAYQAuAGY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BcAG4AIAAgACAAIAAgACAAIAAgAFAAcgBkAE4AdQBtACwAIAAgACAAIAAgACAAIAAgACAATQBBAFQAQwBIACgARABhAHQAZQBzACwAIABQAGUAcgBpAG8AZABTAHQAYQByAHQAcwAsACAAMQApACwAXABuACAAIAAgACAAIAAgACAAIABSAGUAcwB1AGwAdAAsACAAIAAgACAAIAAgACAAIAAgAE0AQQBLAEUAQQBSAFIAQQBZACgAXABuACAAIAAgACAAIAAgACAAIAAgACAAIAAgACAAIAAgACAAIAAgACAAIAAgACAAIAAgACAAIAAgACAAUgBPAFcAUwAoAFYAYQBsAHUAZQBzACkALABcAG4AIAAgACAAIAAgACAAIAAgACAAIAAgACAAIAAgACAAIAAgACAAIAAgACAAIAAgACAAIAAgACAAIABDAE8ATABVAE0ATgBTACgAUABlAHIAaQBvAGQAUwB0AGEAcgB0AHMAKQAsAFwAbgAgACAAIAAgACAAIAAgACAAIAAgACAAIAAgACAAIAAgACAAIAAgACAAIAAgACAAIAAgACAAIAAgAEwAQQBNAEIARABBACgAXABuACAAIAAgACAAIAAgACAAIAAgACAAIAAgACAAIAAgACAAIAAgACAAIAAgACAAIAAgACAAIAAgACAAIAAgACAAIABSAG8AdwAsACAAXABuACAAIAAgACAAIAAgACAAIAAgACAAIAAgACAAIAAgACAAIAAgACAAIAAgACAAIAAgACAAIAAgACAAIAAgACAAIABDAG8AbAAsACAAXABuACAAIAAgACAAIAAgACAAIAAgACAAIAAgACAAIAAgACAAIAAgACAAIAAgACAAIAAgACAAIAAgACAAIAAgACAAIABTAFUATQAoAEkATgBEAEUAWAAoAFYAYQBsAHUAZQBzACwAIABSAG8AdwAsACAAKQAgACoAIAAoAEMAbwBsACAAPQAgAFAAcgBkAE4AdQBtACkAKQBcAG4AIAAgACAAIAAgACAAIAAgACAAIAAgACAAIAAgACAAIAAgACAAIAAgACAAIAAgACAAIAAgACAAIAAgACAAIAAgACkAXABuACAAIAAgACAAIAAgACAAIAAgACAAIAAgACAAIAAgACAAIAAgACAAIAAgACAAIAAgACkALAAgACAAIAAgACAAIAAgACAAIAAgACAAIABcAG4AIAAgACAAIAAvAC8AIAAgAFIAZQB0AHUAcgBuACAAUgBlAHMAdQBsAHQAXABuACAAIAAgACAAIAAgACAAIABDAEgATwBPAFMARQAoAEgAZQBsAHAAPwAgACsAIAAxACwAIABSAGUAcwB1AGwAdAAsACAASABlAGwAcAApAFwAbgAgACAAIAAgACkAXABuACkAOwBcAG4AXABuAFwAbgBcAG4AXABuAFwAbgAvAC8AIAAgAEEAbQBvAHIAdABpAHMAYQB0AGkAbwBuACAAUwB1AGkAdABlAFwAbgBcAG4ALwAqACAAIABGAFUATgBDAFQASQBPAE4AIABOAEEATQBFADoAIAAgAEEAbQBvAHIAdABpAHMAZQC7A1wAbgAgACAAIAAgAEQARQBTAEMAUgBJAFAAVABJAE8ATgA6ACoALwAvACoAKgBDAHIAZQBhAHQAZQBzACAAYQAgAGMAbwByAGsAcwBjAHIAZQB3ACAAYQBtAG8AcgB0AGkAcwBhAHQAaQBvAG4AIABzAGMAaABlAGQAdQBsAGUAKgAvAFwAbgBBAG0AbwByAHQAaQBzAGUAuwMgAD0AIABMAEEATQBCAEQAQQAoAFwAbgAvAC8AIAAgAFAAYQByAGEAbQBlAHQAZQByACAARABlAGMAbABhAHIAYQB0AGkAbwBuAHMAXABuACAAIAAgACAAWwBQAHIAaQBuAGMAaQBwAGEAbABzAF0ALAAgAFwAbgAgACAAIAAgAFsAQQBQAFIAcwBdACwAIABcAG4AIAAgACAAIABbAFQAZQByAG0AcwBdACwAIABcAG4AIAAgACAAIABbAFMAdABhAHIAdABEAGEAdABlAHMAXQAsAFwAbgAgACAAIAAgAFsAVABpAG0AZQBsAGkAbgBl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UkAdAAgAGEAcwBzAHUAbQBlAHMAIABhAGwAbAAgAHAAYQB5AG0AZQBuAHQAcwAgAGEAcgBlACAAbQBhAGQAZQAgAG0AbwBuAHQAaABsAHkALgC2AFwAIgAgACYAXABuACAAIAAgACAAIAAgACAAIAAgACAAIAAgACAAIAAgACAAIAAgACAAIAAgACAAIAAgACAAIAAgACAAIAAgACAAIAAgACAAIAAgACAAIAAgAFwAIgCSIVUAcwBlACAATABhAGIAbABl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FAFgAQQBNAFAATABFAFMAOgCSIbYAXAAiACAAJgAgAFwAbg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XAAiAJIhPQBuAGEAYgBsAGEALgBmAC4AQQBtAG8AcgB0AGkAcwBlALsDKAAxADAAMAAwADAALAAgADUAJQAsACAANAAgACoAIAAxADIALAAgAFwAIgBcACIAMgAwADIANQAtADAAMQ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NAHAAUAAsACAAIAAgACAAIAAgACAAIAAgACAAIAAgACAAIAAgACAAQABSAE8AVQBOAEQAKAAoACAAUwBlAGMAbwBuAGQAUABlAHIAaQBvAGQAIAAtACAARgBpAHIAcwB0AFAAZQByAGkAbwBkACkAIAAvACAAQQBEAHAATQAsACAAMAApACwAXABuACAAIAAgACAAIAAgACAAIABQAHAAWQAsACAAIAAgACAAIAAgACAAIAAgACAAIAAgACAAIAAgACAATQBwAFkAIAAvACAATQBwAFAALABcAG4AXABuACAAIAAgACAALwAvACAAIABSAGUAYwB1AHIAcwBpAHYAZQAgAGYAdQBuAGMAdABpAG8AbgAgACgAZgBuACkAIABkAGUAZgBpAG4AaQB0AGkAbwBuAFwAbgAgACAAIAAgACAAIAAgACAAUgBlAGMAdQByAHMAaQBvAG4ALAAgAFwAbgAgACAAIAAgACAAIAAgACAAIAAgACAAIABMAEEATQBCAEQAQQAoACAAZgBuACwAIABQAHIAaQBuAGMAaQBwAGEAbABzACwAIABBAFAAUgBzACwAIABUAGUAcgBtAHMALAAgAFMAdABhAHIAdABEAGEAdABlAHMALAAgAFQAaQBtAGUAbABpAG4AZQAsACAAQQBzAHMAZQB0ACwAXABuACAAIAAgACAAIAAgACAAIAAgACAAIAAgACAAIAAgACAATABFAFQAKABcAG4AIAAgACAAIAAgACAAIAAgACAAIAAgACAAIAAgACAAIAAvAC8AIAAgAEMAcgBlAGEAdABlACAAaQBuAGQAaQB2AGkAZAB1AGEAbAAgAFYAYQBsAHUAZQBzACAAZgByAG8AbQAgAGEAcgByAGEAeQBcAG4AIAAgACAAIAAgACAAIAAgACAAIAAgACAAIAAgACAAIAAgACAAIAAgAFAAcgBpAG4AYwBpAHAAYQBsACwAIAAgACAAIAAgACAAIAAgACAAIABJAE4ARABFAFgAKAAgAFAAcgBpAG4AYwBpAHAAYQBsAHMALAAgAEEAcwBzAGUAdAApACwAIABcAG4AIAAgACAAIAAgACAAIAAgACAAIAAgACAAIAAgACAAIAAgACAAIAAgAEEAUABSACwAIAAgACAAIAAgACAAIAAgACAAIAAgACAAIAAgACAAIABJAE4ARABFAFgAKAAgAEEAUABSAHMALAAgAEEAcwBzAGUAdAApACwAIABcAG4AIAAgACAAIAAgACAAIAAgACAAIAAgACAAIAAgACAAIAAgACAAIAAgAFQAZQByAG0ALAAgACAAIAAgACAAIAAgACAAIAAgACAAIAAgACAAIABJAE4ARABFAFgAKAAgAFQAZQByAG0AcwAsACAAQQBzAHMAZQB0ACkALAAgACAAXABuACAAIAAgACAAIAAgACAAIAAgACAAIAAgACAAIAAgACAAIAAgACAAIABTAHQAYQByAHQARABhAHQAZQAsACAAIAAgACAAIAAgACAAIAAgACAASQBOAEQARQBYACgAIABTAHQAYQByAHQARABhAHQAZQBzACwAIABBAHMAcwBlAHQAKQAsACAAXABuAFwAbgAgACAAIAAgACAAIAAgACAAIAAgACAAIAAgACAAIAAgAC8ALwAgACAAQQBkAGoAdQBzAHQAIABpAG4AcAB1AHQAcwAgAHQAbwAgAG0AYQB0AGMAaAAgAHQAaQBtAGUAbABpAG4AZQBcAG4AIAAgACAAIAAgACAAIAAgACAAIAAgACAAIAAgACAAIAAgACAAIAAgAFAAZQByAGkAbwBkAHMALAAgACAAIAAgACAAIAAgACAAIAAgACAAIABSAE8AVQBOAEQAVQBQACgAVABlAHIAbQAgAC8AIABNAHAAUAAsACAAMAApACwAXABuACAAIAAgACAAIAAgACAAIAAgACAAIAAgACAAIAAgACAAIAAgACAAIABSAG8AdwBzACwAIAAgACAAIAAgACAAIAAgACAAIAAgACAAIAAgACAAMQAsAFwAbgAgACAAIAAgACAAIAAgACAAIAAgACAAIAAgACAAIAAgACAAIAAgACAAQwBvAGwAcwAsACAAIAAgACAAIAAgACAAIAAgACAAIAAgACAAIAAgAFAAZQByAGkAbwBkAHMALABcAG4AXABuACAAIAAgACAAIAAgACAAIAAgACAAIAAgACAAIAAgACAALwAvACAAIABDAGEAbABjAHUAbABhAHQAZQAgAGYAbwByACAAZQBhAGMAaAAgAG0AbwBuAHQAaABcAG4AIAAgACAAIAAgACAAIAAgACAAIAAgACAAIAAgACAAIAAgACAAIAAgAFIAYQB0AGUALAAgACAAIAAgACAAIAAgACAAIAAgACAAIAAgACAAIABBAFAAUgAgAC8AIABNAHAAWQAsAFwAbgAgACAAIAAgACAAIAAgACAAIAAgACAAIAAgACAAIAAgACAAIAAgACAATQBvAG4AdABoAGwAeQBQAGEAeQBtAGUAbgB0ACwAIAAgACAAIAAgAFAATQBUACgAIABSAGEAdABlACwAIABUAGUAcgBtACwAIABQAHIAaQBuAGMAaQBwAGEAbAApACwAIAAgACAAIABcAG4AIAAgACAAIAAgACAAIAAgACAAIAAgACAAIAAgACAAIAAgACAAIAAgAE0AbwBuAHQAaABsAHkAUAByAGkAbgBjAGkAcABhAGwALAAgACAAIAAtAEYAVgAoAFIAYQB0AGUALAAgAFMARQBRAFUARQBOAEMARQAoACAAMQAsACAAVABlAHIAbQAsACAAMAApACwAIABNAG8AbgB0AGgAbAB5AFAAYQB5AG0AZQBuAHQALAAgAFAAcgBpAG4AYwBpAHAAYQBsACkALABcAG4AIAAgACAAIAAgACAAIAAgACAAIAAgACAAIAAgACAAIAAgACAAIAAgAE0AbwBuAHQAaABsAHkASQBuAHQAZQByAGUAcwB0ACwAIAAgACAAIABNAG8AbgB0AGgAbAB5AFAAcgBpAG4AYwBpAHAAYQBsACAAKgAgAFIAYQB0AGUALABcAG4AXABuACAAIAAgACAAIAAgACAAIAAgACAAIAAgACAAIAAgACAALwAvACAAIABDAG8AbgB2AGUAcgB0ACAAdABvACAAVABpAG0AZQBsAGkAbgBlACAAUABlAHIAaQBvAGQAcwBcAG4AIAAgACAAIAAgACAAIAAgACAAIAAgACAAIAAgACAAIAAgACAAIAAgAEQAZQBiAHQASQBzAHMAdQBlAEEAcgByAGEAeQAsACAAIAAgACAAIABFAFgAUABBAE4ARAAoAFAAcgBpAG4AYwBpAHAAYQBsACwAIAAxACwAIABQAGUAcgBpAG8AZABzACwAIAAwACkALABcAG4AIAAgACAAIAAgACAAIAAgACAAIAAgACAAIAAgACAAIAAgACAAIAAgAFAAcgBpAG4AYwBpAHAAYQBsAEEAcgByAGEAeQAsACAAIAAgACAAIABJAEYAKAAgAE0AcABQACAAPQAgADEALAAgAFwAbgAgACAAIAAgACAAIAAgACAAIAAgACAAIAAgACAAIAAgACAAIAAgACAAIAAgACAAIAAgACAAIAAgACAAIAAgACAAIAAgACAAIAAgACAAIAAgACAAIAAgACAATQBvAG4AdABoAGwAeQBQAHIAaQBuAGMAaQBwAGEAbA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TABFAFQAKABJAGQAeAAsACAAKABDACAALQAgADEAKQAgACoAIABNAHAAUAAgACsAIAAxACwAIABcAG4AIAAgACAAIAAgACAAIAAgACAAIAAgACAAIAAgACAAIAAgACAAIAAgACAAIAAgACAAIAAgACAAIAAgACAAIAAgACAAIAAgACAAIAAgACAAIAAgACAAIAAgACAAIAAgACAAIAAgACAAIAAgACAAIAAgAEkATgBEAEUAWAAoACAATQBvAG4AdABoAGwAeQBQAHIAaQBuAGMAaQBwAGEAbAAsACAASQBkAHg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EkAbgB0AGUAcgBlAHMAdABBAHIAcgBhAHkALAAgACAAIAAgACAAIABJAEYAKAAgAE0AcABQACAAPQAgADEALAAgAFwAbgAgACAAIAAgACAAIAAgACAAIAAgACAAIAAgACAAIAAgACAAIAAgACAAIAAgACAAIAAgACAAIAAgACAAIAAgACAAIAAgACAAIAAgACAAIAAgACAAIAAgACAATQBvAG4AdABoAGwAeQBJAG4AdABlAHIAZQBzAHQALABcAG4AIAAgACAAIAAgACAAIAAgACAAIAAgACAAIAAgACAAIAAgACAAIAAgACAAIAAgACAAIAAgACAAIAAgACAAIAAgACAAIAAgACAAIAAgACAAIAAgACAAIAAgAEwARQBUACgAIABcAG4AIAAgACAAIAAgACAAIAAgACAAIAAgACAAIAAgACAAIAAgACAAIAAgACAAIAAgACAAIAAgACAAIAAgACAAIAAgACAAIAAgACAAIAAgACAAIAAgACAAIAAgACAAIAAgACAATQBvAEkAbgB0ACwAIAAgAEUAWABQAEEATgBEACgAIABNAG8AbgB0AGgAbAB5AEkAbgB0AGUAcgBlAHMAdAAsACAAMQAsACAAUgBPAFUATgBEAFUAUAAoACAAVABlAHIAbQAvACAATQBwAHAALAAgADAAKQAgACoAIABNAHAAcAAsACAAMAApACwAIABcAG4AIAAgACAAIA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AgACAAIAAgAEwARQBUACgASQBkAHgALAAgACgAQwAgAC0AIAAxACkAIAAqACAATQBwAFAAIAArACAAMQAsAFwAbgAgACAAIAAgACAAIAAgACAAIAAgACAAIAAgACAAIAAgACAAIAAgACAAIAAgACAAIAAgACAAIAAgACAAIAAgACAAIAAgACAAIAAgACAAIAAgACAAIAAgACAAIAAgACAAIAAgACAAIAAgACAAIAAgACAAIAAgACAAIAAgACAAIAAgAFMAVQBNACgAIABDAEgATwBPAFMARQBDAE8ATABTACgATQBvAEkAbgB0ACwAIABTAEUAUQBVAEUATgBDAEUAKAAxACwAIABNAHAAUAAsACAASQBkAHgAKQApACk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BcAG4AIAAgACAAIAAgACAAIAAgACAAIAAgACAAIAAgACAAIAAgACAAIAAgACAAIAAgACAAIAAgACAAIAAgACAAIAAgACAAIAAgACAAIAAgACAAIAAgACAAIAAgACkAXABuACAAIAAgACAAIAAgACAAIAAgACAAIAAgACAAIAAgACAAIAAgACAAIAAgACAAIAAgACAAIAAgACAAIAAgACAAIAAgACAAIAAgACAAIAAgACAAKQAsACAAIAAgACAAXABuACAAIAAgACAAIAAgACAAIAAgACAAIAAgACAAIAAgACAAIAAgACAAIABQAGEAeQBtAGUAbgB0AEEAcgByAGEAeQAsACAAIAAgACAAIAAgACAATABFAFQAKABNAG8AUABtAHQALAAgACAARQBYAFAAQQBOAEQAKAAgAFMARQBRAFUARQBOAEMARQAoADEALAAgAFQAZQByAG0ALAAgAE0AbwBuAHQAaABsAHkAUABhAHkAbQBlAG4AdAAsACAAMAApACwAIAAxACwAIABSAE8AVQBOAEQAVQBQACgAIABUAGUAcgBtAC8AIABNAHAAcAAsACAAMAApACAAKgAgAE0AcABwACwAIAAwACkALAAgAFwAbgAgACAAIAAgACAAIAAgACAAIAAgACAAIAAgACAAIAAgACAAIAAgACAAIAAgACAAIAAgACAAIAAgACAAIAAgACAAIAAgACAAIAAgACAAIAAgACAAIAAgACAATQBBAEsARQBBAFIAUgBBAFkAKAAgADEALAAgAFAAZQByAGkAbwBkAHMALAAgAFwAbgAgACAAIAAgACAAIAAgACAAIAAgACAAIAAgACAAIAAgACAAIAAgACAAIAAgACAAIAAgACAAIAAgACAAIAAgACAAIAAgACAAIAAgACAAIAAgACAAIAAgACAAIAAgACAAIABMAEEATQBCAEQAQQAoAFIALAAgAEMALAAgAFwAbg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FMAVQBNACgAIABDAEgATwBPAFMARQBDAE8ATABTACgATQBvAFAAbQB0ACwAIABTAEUAUQBVAEUATgBDAEUAKAAxACwAIABNAHAAUAAsACAASQBkAHgAK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XABuACAAIAAgACAAIAAgACAAIAAgACAAIAAgACAAIAAgACAAIAAgACAAIAAgACAAIAAgACAAIAAgACAAIAAgACAAIAAgACAAIAAgACAAIAAgACAAKQAsACAAXABuACAAIAAgACAAIAAgACAAIAAgACAAIAAgACAAIAAgACAAIAAgACAAIABDAGwAbwBzAGkAbgBnAEEAcgByAGEAeQAsACAAIAAgACAAIAAgACAAUAByAGkAbgBjAGkAcABhAGwAQQByAHIAYQB5ACAAKwAgAEkAbgB0AGUAcgBlAHMAdABBAHIAcgBhAHkAIAArACAAUABhAHkAbQBlAG4AdABBAHIAcgBhAHkALABcAG4AIAAgACAAIAAgACAAIAAgACAAIAAgACAAIAAgACAAIAAgACAAIAAgAFAAbwByAHQAaQBvAG4AQQByAHIAYQB5ACwAIAAgACAAIAAgACAAIAAtAFAAYQB5AG0AZQBuAHQAQQByAHIAYQB5ACAALQAgAEkAbgB0AGUAcgBlAHMAdABBAHIAcgBhAHkALAAgACAAIAAgAFwAbgAgACAAIAAgACAAIAAgACAAIAAgACAAIAAgACAAIAAgACAAIAAgACAAQQBtAG8AcgB0AGkAcwBhAHQAaQBvAG4AUwBjAGgAZQBkACwAIAAgAFYAUwBUAEEAQwBLACgAXABuACAAIAAgACAAIAAgACAAIAAgACAAIAAgACAAIAAgACAAIAAgACAAIAAgACAAIAAgACAAIAAgACAAIAAgACAAIAAgACAAIAAgACAAIAAgACAAIAAgACAAIABEAGUAYgB0AEkAcwBzAHUAZQBBAHIAcgBhAHkALAAgAFwAbgAgACAAIAAgACAAIAAgACAAIAAgACAAIAAgACAAIAAgACAAIAAgACAAIAAgACAAIAAgACAAIAAgACAAIAAgACAAIAAgACAAIAAgACAAIAAgACAAIAAgACAAUAByAGkAbgBjAGkAcABhAGwAQQByAHIAYQB5ACwAIABcAG4AIAAgACAAIAAgACAAIAAgACAAIAAgACAAIAAgACAAIAAgACAAIAAgACAAIAAgACAAIAAgACAAIAAgACAAIAAgACAAIAAgACAAIAAgACAAIAAgACAAIAAgAEkAbgB0AGUAcgBlAHMAdABBAHIAcgBhAHkALAAgAFwAbgAgACAAIAAgACAAIAAgACAAIAAgACAAIAAgACAAIAAgACAAIAAgACAAIAAgACAAIAAgACAAIAAgACAAIAAgACAAIAAgACAAIAAgACAAIAAgACAAIAAgACAAUABhAHkAbQBlAG4AdABBAHIAcgBhAHkALAAgAFwAbgAgACAAIAAgACAAIAAgACAAIAAgACAAIAAgACAAIAAgACAAIAAgACAAIAAgACAAIAAgACAAIAAgACAAIAAgACAAIAAgACAAIAAgACAAIAAgACAAIAAgACAAQwBsAG8AcwBpAG4AZwBBAHIAcgBhAHkALAAgAFwAbgAgACAAIAAgACAAIAAgACAAIAAgACAAIAAgACAAIAAgACAAIAAgACAAIAAgACAAIAAgACAAIAAgACAAIAAgACAAIAAgACAAIAAgACAAIAAgACAAIAAgACAAUABvAHIAdABpAG8AbgBBAHIAcgBhAHkAKQAsAFwAbgAgACAAIAAgACAAIAAgACAAIAAgACAAIAAgACAAIAAgAC8ALwAgACAAUABvAHMAaQB0AGkAbwBuACAAaQBuACAAdABpAG0AZQBsAGkAbgBlAFwAbgAgACAAIAAgACAAIAAgACAAIAAgACAAIAAgACAAIAAgACAAIAAgACAATwBmAGYAcwBlAHQALAAgACAAIAAgACAAIAAgACAAIAAgACAAIAAgAFQAaQBtAGUAbABpAG4AZQBPAGYAZgBzAGUAdAC7AygAUwB0AGEAcgB0AEQAYQB0AGUALAAgAFQAaQBtAGUAbABpAG4AZQApACwAXABuACAAIAAgACAAIAAgACAAIAAgACAAIAAgACAAIAAgACAAIAAgACAAIABOAGUAdwBCAGwAbwBjAGsALAAgACAAIAAgACAAIAAgACAAIAAgACAAVABpAG0AZQBsAGkAbgBlAFAAbwBzAGkAdABpAG8AbgC7AygAQQBtAG8AcgB0AGkAcwBhAHQAaQBvAG4AUwBjAGgAZQBkACwAIABUAGkAbQBlAGwAaQBuAGUALAAgAE8AZgBmAHMAZQB0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WwBMAG8AYQBuAE4AYQBtAGUAcwBdACkAtgBcACIAIAAmAFwAbgAgACAAIAAgACAAIAAgACAAIAAgACAAIAAgACAAIAAgACAAIAAgACAAIAAgACAAIAAgACAAIAAgAFwAIgBEAEUAUwBDAFIASQBQAFQASQBPAE4AOgAgACAAIACSIUMAcgBlAGEAdABlACAAcgBvAHcAIABsAGEAYgBlAGwAcwAgAGYAbwByACAAdABoAGUAIABhAG0AbwByAHQAaQBzAGEAdABpAG8AbgAgAHMAYwBoAGUAZAB1AGwAZQAgAGEAcgByAGEAeQAgAHAAcgBvAGQAdQBjAGUAZAAgAGIAeQAgAEEAbQBvAHIAdABpAHM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MAG8AYQBuAE4AYQBtAGUAcwAgACAAIAAgACAAkiEoAFIAZQBxAHUAaQByAGUAZAApACAATgBhAG0AZQBzACAAbwByACAAZABlAHMAYwByAGkAcAB0AGkAbwBuAHMAIABvAGYAIABlAGEAYwBoACAAbABvAGEAbgAgAGkAbgAgAHQAaABlACAAYQBtAG8AcgB0AGkAcwBhAHQAaQBvAG4AIABzAGMAaABlAGQAdQBsAGUAIABwAHIAbwBkAHUAYwBlAGQAIABiAHkAIABBAG0AbwByAHQAaQBzAGUAuwO2AFwAIgAgACYAIAAgACAAIAAgACAAIAAgACAAIAAgACAAIAAgACAAIAAgACAAXABuACAAIAAgACAAIAAgACAAIAAgACAAIAAgACAAIAAgACAAIAAgACAAIAAgACAAIAAgACAAIAAgACAAXAAiAEwAbwBhAG4AQQBtAG8AdQBuAHQAcwAgACAAIACSISgATwBwAHQAaQBvAG4AYQBsACkAIABBAG0AbwB1AG4AdAAgAGIAbwByAHIAbwB3AGUAZAC2AFwAIgAgACYAIAAgACAAIAAgACAAIAAgACAAIAAgACAAIAAgACAAIAAgACAAXABuACAAIAAgACAAIAAgACAAIAAgACAAIAAgACAAIAAgACAAIAAgACAAIAAgACAAIAAgACAAIAAgACAAXAAiAEwAbwBhAG4AQQBQAFIAIAAgACAAIAAgACAAIACSISgATwBwAHQAaQBvAG4AYQBsACkAIABBAG4AbgB1AGEAbAAgAFAAZQByAGMAZQBuAHQAYQBnAGUAIABJAG4AdABlAHIAZQBzAHQAIABSAGEAdABlALYAXAAiACAAJgAgACAAIAAgACAAIAAgACAAIAAgACAAIAAgACAAIAAgACAAIABcAG4AIAAgACAAIAAgACAAIAAgACAAIAAgACAAIAAgACAAIAAgACAAIAAgACAAIAAgACAAIAAgACAAIABcACIATABvAGEAbgBUAGUAcgBtACAAIAAgACAAIAAgAJIhKABPAHAAdABpAG8AbgBhAGwAKQAgAE4AdQBtAGIAZQByACAAbwBmACAAbQBvAG4AdABoAHMAIAB0AG8AIAByAGUAcABhAHkAtgBcACIAIAAm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AgACAAIAAgACAAIAAgACAAIAAgACAAIAAgACAAIABcACIAkiE9AG4AYQBiAGwAYQAuAGY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FwAbgAgACAAIAAgACAAIAAgACAAUgBlAHMAdQBsAHQALAAgACAAIAAgACAAIAAgACAAIABSAEUARABVAEMARQAoACAAXAAiAFwAIgAsACAAUwBFAFEAVQBFAE4AQwBFACgAIAAgAFIATwBXAFMAKAAgAEwAbwBhAG4ATgBhAG0AZQBzACkAIAAqACAANwAgAC0AIAAxACkALAAgAFwAbgAgACAAIAAgACAAIAAgACAAIAAgACAAIAAgACAAIAAgACAAIAAgACAAIAAgACAAIAAgACAAIAAgAEwAQQBNAEIARABBACgAQQBjAGMALAAgAFIAbwB3ACwAIABcAG4AIAAgACAAIAAgACAAIAAgACAAIAAgACAAIAAgACAAIAAgACAAIAAgACAAIAAgACAAIAAgACAAIAAgACAAIAAgAEwARQBUACgASQBkAHgALAAgACAAIAAgACAAIAAgACAAIAAgACAAIABRAFUATwBUAEkARQBOAFQAKAAgAFIAbwB3ACAALQAgADEALAAgADcAKQAgACsAIAAxACwAXABuACAAIAAgACAAIAAgACAAIAAgACAAIAAgACAAIAAgACAAIAAgACAAIAAgACAAIAAgACAAIAAgACAAIAAgACAAIAAgACAAIAAgAEwAaQBuAGUALAAgACAAIAAgACAAIAAgACAAIAAgACAATQBPAEQAKAAgAFIAbwB3ACAALQAgADEALAAgADcAKQAgACsAIAAxACwAIABcAG4AIAAgACAAIAAgACAAIAAgACAAIAAgACAAIAAgACAAIAAgACAAIAAgACAAIAAgACAAIAAgACAAIAAgACAAIAAgACAAIAAgACAATABvAGEAbgBOAGEAbQBlACwAIAAgACAAIAAgACAAIABJAE4ARABFAFgAKAAgAEwAbwBhAG4ATgBhAG0AZQBzACwAIABJAGQAeAApACwAIABcAG4AIAAgACAAIAAgACAAIAAgACAAIAAgACAAIAAgACAAIAAgACAAIAAgACAAIAAgACAAIAAgACAAIAAgACAAIAAgACAAIAAgACAATABvAGEAbgBBAG0AbwB1AG4AdAAsACAAIAAgACAAIABJAEYAKABJAFMATwBNAEkAVABUAEUARAAoACAATABvAGEAbgBBAG0AbwB1AG4AdABzACkALAAgADAALAAgAEkATgBEAEUAWAAoACAATABvAGEAbgBBAG0AbwB1AG4AdABzACwAIABJAGQAeAApACkALABcAG4AIAAgACAAIAAgACAAIAAgACAAIAAgACAAIAAgACAAIAAgACAAIAAgACAAIAAgACAAIAAgACAAIAAgACAAIAAgACAAIAAgACAATABvAGEAbgBBAFAAUgAsACAAIAAgACAAIAAgACAAIABJAEYAKABJAFMATwBNAEkAVABUAEUARAAoACAATABvAGEAbgBBAFAAUgBzACkALAAgADAALAAgAEkATgBEAEUAWAAoACAATABvAGEAbgBBAFAAUgBzACwAIABJAGQAeAApACkALABcAG4AIAAgACAAIAAgACAAIAAgACAAIAAgACAAIAAgACAAIAAgACAAIAAgACAAIAAgACAAIAAgACAAIAAgACAAIAAgACAAIAAgACAATABvAGEAbgBUAGUAcgBtACwAIAAgACAAIAAgACAAIABJAEYAKABJAFMATwBNAEkAVABUAEUARAAoACAATABvAGEAbgBUAGUAcgBtAHMAKQAsACAAMAAsACAASQBOAEQARQBYACgAIABMAG8AYQBuAFQAZQByAG0AcwAsACAASQBkAHgAKQApACwAXABuACAAIAAgACAAIAAgACAAIAAgACAAIAAgACAAIAAgACAAIAAgACAAIAAgACAAIAAgACAAIAAgACAAIAAgACAAIAAgACAAIAAgAEQAZQBzAGMAcgBpAHAAdABpAG8AbgAsACAAIAAgACAAUwBXAEkAVABDAEgAKAAgAEwAaQBuAGUALABcAG4AIAAgACAAIAAgACAAIAAgACAAIAAgACAAIAAgACAAIAAgACAAIAAgACAAIAAgACAAIAAgACAAIAAgACAAIAAgACAAIAAgACAAIAAgACAAIAAgACAAIAAgACAAIAAgACAAIAAgACAAIAAgACAAIAAgADEALAAgACAASABTAFQAQQBDAEsAKABMAG8AYQBuAE4AYQBtAGUAIAAmACAAXAAiACAARABlAGIAdAAgAEkAcwBzAHUAYQBuAGMAZQBcACIALAAgAEwAbwBhAG4AQQBtAG8AdQBuAHQALAAgAFwAIgBcACIAKQAsAFwAbgAgACAAIAAgACAAIAAgACAAIAAgACAAIAAgACAAIAAgACAAIAAgACAAIAAgACAAIAAgACAAIAAgACAAIAAgACAAIAAgACAAIAAgACAAIAAgACAAIAAgACAAIAAgACAAIAAgACAAIAAgACAAIAAgACAAMgAsACAAIABIAFMAVABBAEMASwAoAEwAbwBhAG4ATgBhAG0AZQAgACYAIABcACIAIABEAGUAYgB0ACAAQgBhAGwAYQBuAGMAZQBcACIALAAgAFwAIgBcACIALABcACIAXAAiACkALABcAG4AIAAgACAAIAAgACAAIAAgACAAIAAgACAAIAAgACAAIAAgACAAIAAgACAAIAAgACAAIAAgACAAIAAgACAAIAAgACAAIAAgACAAIAAgACAAIAAgACAAIAAgACAAIAAgACAAIAAgACAAIAAgACAAIAAgADMALAAgACAASABTAFQAQQBDAEsAKABMAG8AYQBuAE4AYQBtAGUAIAAmACAAXAAiACAASQBuAHQAZQByAGUAcwB0AFwAIgAsACAAVABlAHgAdAAoAEwAbwBhAG4AQQBQAFIALAAgAFwAIgAwAC4AMAAwACUAXAAiACkALAAgAFwAIgBBAFAAUgBcACIAKQAsAFwAbgAgACAAIAAgACAAIAAgACAAIAAgACAAIAAgACAAIAAgACAAIAAgACAAIAAgACAAIAAgACAAIAAgACAAIAAgACAAIAAgACAAIAAgACAAIAAgACAAIAAgACAAIAAgACAAIAAgACAAIAAgACAAIAAgACAANAAsACAAIABIAFMAVABBAEMASwAoAEwAbwBhAG4ATgBhAG0AZQAgACYAIABcACIAIABEAGUAYgB0ACAAUwBlAHIAdgBpAGMAZQBzAFwAIgAsACAATABvAGEAbgBUAGUAcgBtACwAIABcACIATQBvAG4AdABoAHMAXAAiACkALABcAG4AIAAgACAAIAAgACAAIAAgACAAIAAgACAAIAAgACAAIAAgACAAIAAgACAAIAAgACAAIAAgACAAIAAgACAAIAAgACAAIAAgACAAIAAgACAAIAAgACAAIAAgACAAIAAgACAAIAAgACAAIAAgACAAIAAgADUALAAgACAASABTAFQAQQBDAEsAKABMAG8AYQBuAE4AYQBtAGUAIAAmACAAXAAiACAAQwBsAG8AcwBpAG4AZwAgAEIAYQBsAGEAbgBjAGUAXAAiACwAXAAiAFwAIgAsAFwAIgBcACIAKQAsAFwAbgAgACAAIAAgACAAIAAgACAAIAAgACAAIAAgACAAIAAgACAAIAAgACAAIAAgACAAIAAgACAAIAAgACAAIAAgACAAIAAgACAAIAAgACAAIAAgACAAIAAgACAAIAAgACAAIAAgACAAIAAgACAAIAAgACAANgAsACAAIABIAFMAVABBAEMASwAoAEwAbwBhAG4ATgBhAG0AZQAgACYAIABcACIAIABEAGUAYgB0ACAAUgBlAHAAYQB5AG0AZQBuAHQAXAAiACwAIABcACIAXAAiACwAIABcACIAXAAiACkALABcAG4AIAAgACAAIAAgACAAIAAgACAAIAAgACAAIAAgACAAIAAgACAAIAAgACAAIAAgACAAIAAgACAAIAAgACAAIAAgACAAIAAgACAAIAAgACAAIAAgACAAIAAgACAAIAAgACAAIAAgACAAIAAgACAAIAAgADcALAAgACAASABTAFQAQQBDAEsAKABcACIAXAAiACwAXAAiAFwAIgAsAFwAIgBcACIAKQBcAG4AIAAgACAAIAAgACAAIAAgACAAIAAgACAAIAAgACAAIAAgACAAIAAgACAAIAAgACAAIAAgACAAIAAgACAAIAAgACAAIAAgACAAIAAgACAAIAAgACAAIAAgACAAIAAgACAAIAAgACAAIAApACwAXABuACAAIAAgACAAIAAgACAAIAAgACAAIAAgACAAIAAgACAAIAAgACAAIAAgACAAIAAgACAAIAAgACAAIAAgACAAIAAgACAAIAAgAFYAYQBsAHUAZQBzACwAIAAgACAAIAAgACAAIAAgACAASQBGACgAIABPAHAAdABpAG8AbgBhAGwAcwAsACAARABlAHMAYwByAGkAcAB0AGkAbwBuACwAIABUAEEASwBFACgAIABEAGUAcwBjAHIAaQBwAHQAaQBvAG4ALAAgACwAIAAxACkAKQAsAFwAbgAgACAAIAAgACAAIAAgACAAIAAgACAAIAAgACAAIAAgACAAIAAgACAAIAAgACAAIAAgACAAIAAgACAAIAAgACAAIAAgACAAIABSAGUAcwB1AGwAdAAsACAAIAAgACAAIAAgACAAIAAgAEkARgAoACAAUgBvAHcAIAA9ACAAMQAsACAAVgBhAGwAdQBlAHMALAAgAFYAUwBUAEEAQwBLACgAQQBjAGMALAAgAFYAYQBsAHUAZQBz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4AYQBiAGwAYQAgALYAXAAiACAAJgAgAFwAbgAgACAAIAAgACAAIAAgACAAIAAgACAAIAAgACAAIAAgACAAIAAgACAAIAAgACAAIAAgACAAIAAgAFwAIgBWAEUAUgBTAEkATwBOADoAIAAgACAAIAAgACAAIACSITEAOAAgAEEAdQBnACAAMgAwADIANgC2AFwAIgAgACYAXABuACAAIAAgACAAIAAgACAAIAAgACAAIAAgACAAIAAgACAAIAAgACAAIAAgACAAIAAgACAAIAAgACAAXAAiAE4ATwBUAEUAUwA6ACAAIAAgACAAIAAgACAAIAAgAJIhVABoAGUAIABtAGUAdABoAG8AZABzACAAdQBzAGUAZAAgAGgAZQByAGUAIABkAGkAZgBmAGUAcgBzACAAZgByAG8AbQAgAEUAeABjAGUAbAAnAHMAIABmAHUAbgBjAHQAaQBvAG4AcwAgAGkAbgAgAHMAZQB2AGUAcgBhAGwAIAB3AGEAeQBzAC4AIABQAGwAZQBhAHMAZQAgAHMAZQBlACAAdwBlAGIAcABhAGcAZQAgAGYAbwByACAAZABlAHQAYQBpAGwAcwAuALYAXAAiACAAJgBcAG4AIAAgACAAIAAgACAAIAAgACAAIAAgACAAIAAgACAAIAAgACAAIAAgACAAIAAgACAAIAAgACAAIABcACIAUABBAFIAQQBNAEUAVABFAFIAUwA6ACAAIAAgACAAkiG2AFwAIgAgACYAIABcAG4AIAAgACAAIAAgACAAIAAgACAAIAAgACAAIAAgACAAIAAgACAAIAAgACAAIAAgACAAIAAgACAAIABcACIASQBuAGkAdABpAGEAbABWAGEAbAB1AGUAcwAgACAAkiEoAFIAZQBxAHUAaQByAGUAZAApACAAVABoAGUAIABwAHUAcgBjAGgAYQBzAGUAIAB2AGEAbAB1AGUAcwAgAG8AZgAgAGUAYQBjAGgAIABhAHMAcwBlAHQAIAB0AG8AIABkAGUAcAByAGUAYwBpAGEAdABlALYAXAAiACAAJgAgAFwAbgAgACAAIAAgACAAIAAgACAAIAAgACAAIAAgACAAIAAgACAAIAAgACAAIAAgACAAIAAgACAAIAAgAFwAIgBJAG4AUwBlAHIAdgBpAGMAZQBEAGEAdABlAHMAIACSISgAUgBlAHEAdQBpAHIAZQBkACkAIABUAGgAZQAgAGQAYQB0AGUAcwAgAGYAcgBvAG0AIAB3AGgAaQBjAGgAIAB0AG8AIABzAHQAYQByAHQAIABkAGUAcAByAGUAYwBpAGEAdABpAG4AZwAgAGUAYQBjAGgAIABhAHMAcwBlAHQAtgBcACIAIAAmACAAXABuACAAIAAgACAAIAAgACAAIAAgACAAIAAgACAAIAAgACAAIAAgACAAIAAgACAAIAAgACAAIAAgACAAXAAiAEwAaQBmAGUASQBuAFkAZQBhAHIAcwAgACAAIAAgAJIhKABSAGUAcQB1AGkAcgBlAGQAKQAgAFQAaABlACAAbgB1AG0AYgBlAHIAIABvAGYAIAB5AGUAYQByAHMAIAB3AGkAdABoACAAdwBoAGkAYwBoACAAdABvACAAZABlAHAAcgBlAGMAaQBhAHQAZQAgAGUAYQBjAGgAIABhAHMAcwBlAHQ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kAbgAgAE0AbwBuAHQAaABzACwAIABRAHUAYQByAHQAZQByAHMALAAgAG8AcgAgAFkAZQBhAHIAcwC2AFwAIgAgACYAIABcAG4AIAAgACAAIAAgACAAIAAgACAAIAAgACAAIAAgACAAIAAgACAAIAAgACAAIAAgACAAIAAgACAAIABcACIAUwBhAGwAdgBhAGcAZQBWAGEAbAB1AGUAcwAgACAAkiEoAE8AcAB0AGkAbwBuAGEAbAA6ACAARABlAGYAYQB1AGwAdAAgAD0AIAAwACkAIABUAGgAZQAgAGIAbwBvAGsAIAB2AGEAbAB1AGUAcwAgAG8AZgAgAGUAYQBjAGgAIABhAHMAcwBlAHQAIABhAGYAdABlAHIAIABmAHUAbABsAHkAIABkAGUAcAByAGUAYwBpAGEAdABlAGQALgC2AFwAIgAgACYAIABcAG4AIAAgACAAIAAgACAAIAAgACAAIAAgACAAIAAgACAAIAAgACAAIAAgACAAIAAgACAAIAAgACAAIABcACIARABpAHMAcABvAHMAYQBsAEQAYQB0AGUAcwAgACAAkiEoAE8AcAB0AGkAbwBuAGEAbAA6ACAARABlAGYAYQB1AGwAdAAgAD0AIABFAG4AZAAgAG8AZgAgAGwAaQBmAGUAKQAgAFQAaABlACAAZABhAHQAZQBzACAAbwBuACAAdwBoAGkAYwBoACAAdABoAGUAIABhAHMAcwBlAHQAcwAgAGEAcgBlACAAcgBlAG0AbwB2AGUAZAAgAGYAcgBvAG0AIAB0AGgAZQAgAGIAbwBvAGsAcwAuALYAXAAiACAAJgAgAFwAbgAgACAAIAAgACAAIAAgACAAIAAgACAAIAAgACAAIAAgACAAIAAgACAAIAAgACAAIAAgACAAIAAgAFwAIgBEAGkAcwBwAG8AcwBhAGwAQwBvAHMAdA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NAGUAdABoAG8AZABzACAAIAAgACAAIAAgACAAIACSISgATwBwAHQAaQBvAG4AYQBsADoAIABEAGUAZgBhAHUAbAB0ACAAPQAgAFMATABOACkAIABUAGgAZQAgAGQAZQBzAGkAcgBlAGQAIABkAGUAcAByAGUAYwBpAGEAdABpAG8AbgAgAG0AZQB0AGgAbwBkAC4AIABNAHUAcwB0ACAAYgBlACAAbwBuAGUAIABvAGYAIAB0AGgAZQBzAGUAIABtAGUAdABoAG8AZAAgAGMAbwBkAGUAcwA6ACAAtgBcACIAIAAmACAAXABuACAAIAAgACAAIAAgACAAIAAgACAAIAAgACAAIAAgACAAIAAgACAAIAAgACAAIAAgACAAIAAgACAAIAAgACAAIAAgACAAIAAgACAAIAAgACAAIAAgACAAXAAiAJIhUwBMAE4APQBTAHQAcgBhAGkAZwBoAHQAIABMAGkAbgBlACAARABlAHAAcgBlAGMAaQBhAHQAaQBvAG4AtgBcACIAIAAmACAAXABuACAAIAAgACAAIAAgACAAIAAgACAAIAAgACAAIAAgACAAIAAgACAAIAAgACAAIAAgACAAIAAgACAAIAAgACAAIAAgACAAIAAgACAAIAAgACAAIAAgACAAXAAiAJIhUwBZAEQAPQBTAHUAbQAgAG8AZgAgAFkAZQBhAHIAJwBzACAARABpAGcAaQB0AHMAtgBcACIAIAAmACAAXABuACAAIAAgACAAIAAgACAAIAAgACAAIAAgACAAIAAgACAAIAAgACAAIAAgACAAIAAgACAAIAAgACAAIAAgACAAIAAgACAAIAAgACAAIAAgACAAIAAgACAAXAAiAJIhRABCACAAPQBEAGUAYwBsAGkAbgBpAG4AZwAgAEIAYQBsAGEAbgBjAGUAtgBcACIAIAAmACAAXABuACAAIAAgACAAIAAgACAAIAAgACAAIAAgACAAIAAgACAAIAAgACAAIAAgACAAIAAgACAAIAAgACAAIAAgACAAIAAgACAAIAAgACAAIAAgACAAIAAgACAAXAAiAJIhRABEAEIAPQBEAG8AdQBiAGwAZQAgAEQAZQBjAGwAaQBuAGkAbgBnACAAQgBhAGwAYQBuAGMAZQC2AFwAIgAgACYAIABcAG4AIAAgACAAIAAgACAAIAAgACAAIAAgACAAIAAgACAAIAAgACAAIAAgACAAIAAgACAAIAAgACAAIAAgACAAIAAgACAAIAAgACAAIAAgACAAIAAgACAAIABcACIAkiFWAEQAQgA9AFYAYQByAGkAYQBiAGwAZQAgAEQAZQBjAGwAaQBuAGkAbgBnACAAQgBhAGwAYQBuAGMAZQC2AFwAIgAgACYAIABcAG4AIAAgACAAIAAgACAAIAAgACAAIAAgACAAIAAgACAAIAAgACAAIAAgACAAIAAgACAAIAAgACAAIAAgACAAIAAgACAAIAAgACAAIAAgACAAIAAgACAAIABcACIAkiFEAFYAIAA9AEQAaQBtAGkAbgBpAHMAaABpAG4AZwAgAHYAYQBsAHUAZQAgACgAQQBUAE8AIAAyADAAMAAlACAAbQBlAHQAaABvAGQAKQAuACAAUwBhAGwAdgBhAGcAZQAgAHYAYQBsAHUAZQAgAGkAZwBuAG8AcgBlAGQAtgBcACIAIAAmACAAXABuACAAIAAgACAAIAAgACAAIAAgACAAIAAgACAAIAAgACAAIAAgACAAIAAgACAAIAAgACAAIAAgACAAIAAgACAAIAAgACAAIAAgACAAIAAgACAAIAAgACAAXAAiAJIhUABDACAAPQBQAHIAaQBtAGUAIABjAG8AcwB0ACAAKABBAFQATwAgAHMAdAByAGEAaQBnAGgAdAAgAGwAaQBuAGUAKQ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TQBwAFAALAAgACAAIAAgACAAIAAgACAAIAAgACAAIABAAFIATwBVAE4ARAAoACgAIABTAGUAYwBvAG4AZABQAGUAcgBpAG8AZAAgAC0AIABGAGkAcgBzAHQAUABlAHIAaQBvAGQAKQAgAC8AIAAzADAALgA1ACwAIAAwACkALAAgAC8ALwBNAG8AbgB0AGgAcwAgAFAAZQByACAAUABlAHIAaQBvAGQAXABuACAAIAAgACAAIAAgACAAIABJAG4AdABlAHIAdgBhAGwALAAgACAAIAAgACAAIAAgAFMAVwBJAFQAQwBIACgAIABNAHAAUAAsACAAMQAsACAAXAAiAE0AXAAiACwAIAAzACwAIABcACIAUQBcACIALAAgADEAMgAsACAAXAAiAFkAXAAiACkALABcAG4AIAAgACAAIAAgACAAIAAgAFAAcABZACwAIAAgACAAIAAgACAAIAAgACAAIAAgACAAUwBXAEkAVABDAEgAKAAgAE0AcABQACwAIAAxACwAIAAxADIALAAgADMALAAgADQALAAgADEAMgAsACAAMQApACwAIAAgACAAIAAgACAAIAAgACAAIAAgACAAIAAgACAAIAAvAC8AUABlAHIAaQBvAGQAcwAgAFAAZQByACAAWQBlAGEAcgBcAG4AIAAgACAAIAAgACAAIAAgAEUAbgBkAEQAYQB0AGUAcwAsACAAIAAgACAAIAAgACAASABTAFQAQQBDAEsAKAAgAE0AQQBQACgAIAAgAFMARQBRAFUARQBOAEMARQAoACwAIABUAGkAbQBlAGwAaQBuAGUAQwBvAGwAcwAgAC0AIAAxACkALAAgAEwAQQBNAEIARABBACgAIABuACwAIABJAE4ARABFAFgAKAAgAFQAaQBtAGUAbABpAG4AZQAsACAAbgAgACsAIAAxACkAIAAtACAAMQApACkALAAgAEUARABBAFQARQAoACAATQBBAFgAKAAgAFQAaQBtAGUAbABpAG4AZQApACwAIABNAHAAUAApACAALQAxACAAKQAsAFwAbgAgACAAIAAgAC8ALwAgACAAUAByAG8AYwBlAHMAcwAgAGUAYQBjAGgAIABhAHMAcwBlAHQAXABuACAAIAAgACAAIAAgACAAIABSAGUAcwB1AGwAdAAsACAAIAAgACAAIAAgACAAIAAgAFIARQBEAFUAQwBFACgAIAAwACwAIABTAEUAUQBVAEUATgBDAEUAKAAgAFIATwBXAFMAKAAgAEkAbgBpAHQAaQBhAGwAVgBhAGwAdQBlAHMAKQApACwAIABcAG4AIAAgACAAIAAgACAAIAAgACAAIAAgACAAIAAgACAAIAAgACAAIAAgACAAIAAgACAAIAAgACAAIABMAEEATQBCAEQAQQAoAEIAbABvAGMAawAsACAAQQBzAHMAZQB0ACwAIABcAG4AIAAgACAAIAAgACAAIAAgACAAIAAgACAAIAAgACAAIAAgACAAIAAgACAAIAAgACAAIAAgACAAIAAgACAAIAAgAEwARQBUACgAIABcAG4AIAAgACAAIAAgACAAIAAgACAAIAAgACAAIAAgACAAIAAgACAAIAAgACAAIAAgACAAIAAgACAAIAAgACAAIAAgAC8ALwAgACAAQwByAGUAYQB0AGUAIABpAG4AZABpAHYAaQBkAHUAYQBsACAAdgBhAGwAdQBlAHMAIABmAHIAbwBtACAAYQByAGcAdQBtAGUAbgB0AHMAXABuACAAIAAgACAAIAAgACAAIAAgACAAIAAgACAAIAAgACAAIAAgACAAIAAgACAAIAAgACAAIAAgACAAIAAgACAAIAAgACAAIAAgAE0AZQB0AGgAbwBkACwAIAAgACAAIAAgACAAIAAgACAAQABJAE4ARABFAFgAKAAgAE0AZQB0AGgAbwBkAHMALAAgAEEAcwBzAGUAdAApACwAXABuACAAIAAgACAAIAAgACAAIAAgACAAIAAgACAAIAAgACAAIAAgACAAIAAgACAAIAAgACAAIAAgACAAIAAgACAAIAAgACAAIAAgAFkAZQBhAHIAcwAsACAAIAAgACAAIAAgACAAIAAgACAAQABJAE4ARABFAFgAKAAgAEwAaQBmAGUASQBuAFkAZQBhAHIAcwAsACAAQQBzAHMAZQB0ACkALABcAG4AIAAgACAAIAAgACAAIAAgACAAIAAgACAAIAAgACAAIAAgACAAIAAgACAAIAAgACAAIAAgACAAIAAgACAAIAAgACAAIAAgACAASQBuAGkAdABpAGEAbABWAGEAbAB1AGUALAAgACAAIABAAEkATgBEAEUAWAAoACAASQBuAGkAdABpAGEAbABWAGEAbAB1AGUAcwAsACAAQQBzAHMAZQB0ACkALAAgAFwAbgAgACAAIAAgACAAIAAgACAAIAAgACAAIAAgACAAIAAgACAAIAAgACAAIAAgACAAIAAgACAAIAAgACAAIAAgACAAIAAgACAAIABTAGEAbAB2AGEAZwBlAFYAYQBsAHUAZQAsACAAIAAgAEkARgAoACAATwBSACgAIABNAGUAdABoAG8AZAAgAD0AIABcACIARABWAFwAIgAsACAATQBlAHQAaABvAGQAIAA9ACAAXAAiAFAAQwBcACIAKQAsACAAMAAsACAAQABJAE4ARABFAFgAKAAgAFMAYQBsAHYAYQBnAGUAVgBhAGwAdQBlAHMALAAgAEEAcwBzAGUAdAApACkALAAgAFwAbgAgACAAIAAgACAAIAAgACAAIAAgACAAIAAgACAAIAAgACAAIAAgACAAIAAgACAAIAAgACAAIAAgACAAIAAgACAAIAAgACAAIABJAG4AUwBlAHIAdgBpAGMAZQBEAGEAdABlACwAIAAgAEAASQBOAEQARQBYACgAIABDAHYAdABTAHIAdgBEAGEAdABlAHMALAAgAEEAcwBzAGUAdAApACwAIABcAG4AIAAgACAAIAAgACAAIAAgACAAIAAgACAAIAAgACAAIAAgACAAIAAgACAAIAAgACAAIAAgACAAIAAgACAAIAAgACAAIAAgACAARABpAHMAcABvAHMAYQBsAEQAYQB0AGUALAAgACAAIABAAEkATgBEAEUAWAAoACAARABpAHMAcABvAHMAYQBsAEQAYQB0AGUAcwAsACAAQQBzAHMAZQB0ACkALAAgAFwAbgAgACAAIAAgACAAIAAgACAAIAAgACAAIAAgACAAIAAgACAAIAAgACAAIAAgACAAIAAgACAAIAAgACAAIAAgACAAIAAgACAAIABEAGkAcwBwAG8AcwBhAGwAQwBvAHMAdAAsACAAIAAgAEAASQBOAEQARQBYACgAIABEAGkAcwBwAG8AcwBhAGwAQwBvAHMAdABzACwAIABBAHMAcwBlAHQAKQAsACAAXABuACAAIAAgACAAIAAgACAAIAAgACAAIAAgACAAIAAgACAAIAAgACAAIAAgACAAIAAgACAAIAAgACAAIAAgACAAIAAgACAAIAAgAEYAYQBjAHQAbwByACwAIAAgACAAIAAgACAAIAAgACAAQABJAE4ARABFAFgAKAAgAEYAYQBjAHQAbwByAHMALAAgAEEAcwBzAGUAdAApACwAXABuACAAIAAgACAAIAAgACAAIAAgACAAIAAgACAAIAAgACAAIAAgACAAIAAgACAAIAAgACAAIAAgACAAIAAgACAAIAAgACAAIAAgAEwAaQBmAGUASQBuAFAAZQByAGkAbwBkAHMALAAgACAAWQBlAGEAcgBzACAAKgAgAFAAcABZACwAXABuACAAIAAgACAAIAAgACAAIAAgACAAIAAgACAAIAAgACAAIAAgACAAIAAgACAAIAAgACAAIAAgACAAIAAgACAAIAAgACAAIAAgAEwAaQBmAGUASQBuAE0AbwBuAHQAaABzACwAIAAgACAAUABlAHIAaQBvAGQARABpAGYAZgC7AygAIABJAG4AcwBlAHIAdgBpAGMAZQBEAGEAdABlACwAIABEAGkAcwBwAG8AcwBhAGwARABhAHQAZQAsACAAXAAiAE0AXAAiACkALABcAG4AIAAgACAAIAAgACAAIAAgACAAIAAgACAAIAAgACAAIAAgACAAIAAgACAAIAAgACAAIAAgACAAIAAgACAAIAAgACAAIAAgACAATABhAHMAdABQAGUAcgBpAG8AZAAsACAAIAAgACAAIABQAGUAcgBpAG8AZABEAGkAZgBmALsDKAAgAEkAbgBzAGUAcgB2AGkAYwBlAEQAYQB0AGUALAAgAEQAaQBzAHAAbwBzAGEAbABEAGEAdABlACwAIABJAG4AdABlAHIAdgBhAGw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HYAYQBsAHUAZQAgACgAQQBUAE8AIAAyADAAMAAlACAAbQBlAHQAaABvAGQAK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QAHIAaQBtAGUAIABjAG8AcwB0ACAAKABBAFQATwAgAHMAdAByAGEAaQBnAGgAdAAgAGwAaQBuAGUAKQBcAG4AIAAgACAAIAAgACAAIAAgACAAIAAgACAAIAAgACAAIAAgACAAIAAgACAAIAAgACAAIAAgACAAIAAgACAAIAAgACAAIAAgACAAIAAgACAAIAAgACAAIAAgACAAIAAgACAAIAAgACAAIAAgACAAIAAgAFAAcgBpAG0AZQBDAG8AcwB0ALsDKAAgAEkAbgBpAHQAaQBhAGwAVgBhAGwAdQBlACwAIABZAGUAYQByAHMAKQAsAFwAbgAgACAAIAAgACAAIAAgACAAIAAgACAAIAAgACAAIAAgACAAIAAgACAAIAAgACAAIAAgACAAIAAgACAAIAAgACAAIAAgACAAIAAgACAAIAAgACAAIAAgACAAIAAgACAAIAAgACAAIAAgACkALABcAG4AIAAgACAAIAAgACAAIAAgACAAIAAgACAAIAAgACAAIAAgACAAIAAgACAAIAAgACAAIAAgACAAIAAgACAAIAAgAC8ALwAgACAAUABsAGEAYwBlACAARABpAHMAcABvAHMAYQBsACAAYQBuAGQAIABTAGEAbAB2AGEAZwBlACAAaQBuACAAdABoAGUAIABhAHMAcwBlAHQAJwBzACAAbABhAHMAdAAgAG0AbwBuAHQAaABcAG4AIAAgACAAIAAgACAAIAAgACAAIAAgACAAIAAgACAAIAAgACAAIAAgACAAIAAgACAAIAAgACAAIAAgACAAIAAgACAAIAAgACAARABpAHMAcABvAHMAYQBsACwAIAAgACAAIAAgACAAIABIAFMAVABBAEMASwAoACAAUwBFAFEAVQBFAE4AQwBFACgAIAAxACwAIABMAGkAZgBlAEkAbgBNAG8AbgB0AGgAcwAgAC0AIAAxACwAIAAwACwAIAAwACkAIAAsACAARABpAHMAcABvAHMAYQBsAEMAbwBzAHQAKQAsAFwAbgAgACAAIAAgACAAIAAgACAAIAAgACAAIAAgACAAIAAgACAAIAAgACAAIAAgACAAIAAgACAAIAAgACAAIAAgACAAIAAgACAAIABTAGEAbAB2AGEAZwBlACwAIAAgACAAIAAgACAAIAAgAEgAUwBUAEEAQwBLACgAIABTAEUAUQBVAEUATgBDAEUAKAAgADEALAAgAEwAaQBmAGUASQBuAE0AbwBuAHQAaABzACAALQAgADEALAAgADAALAAgADAAKQAgACwAIABTAGEAbAB2AGEAZwBlAFYAYQBsAHUAZQApACwAXABuACAAIAAgACAAIAAgACAAIAAgACAAIAAgACAAIAAgACAAIAAgACAAIAAgACAAIAAgACAAIAAgACAAIAAgACAAIAAvAC8AIAAgAEEAbABsAG8AYwBhAHQAaQBuAGcAIABhAG4AbgB1AGEAbAAgAHYAYQBsAHUAZQBzACAAdABvACAAbQBvAG4AdABoAHMAXABuACAAIAAgACAAIAAgACAAIAAgACAAIAAgACAAIAAgACAAIAAgACAAIAAgACAAIAAgACAAIAAgACAAIAAgACAAIAAgACAAIAAgAEEAbABsAG8AYwBhAHQAZQAsACAAIAAgACAAIAAgACAASABTAFQAQQBDAEsAKAAgAEUAWABQAEEATgBEACgAIABBAGwAbABvAGMAYQB0AGUAuwMoACAARABlAHAAcgBlAGMAaQBhAHQAZQAsACAAXAAiAFkAXAAiACwAIABcACIATQBcACIAKQAsACAAMQAsACAATABpAGYAZQBJAG4ATQBvAG4AdABoAHMAIAAtACAAMQAsACAAMAApACwAIABTAGEAbAB2AGEAZwBlAFYAYQBsAHUAZQApACwAXABuACAAIAAgACAAIAAgACAAIAAgACAAIAAgACAAIAAgACAAIAAgACAAIAAgACAAIAAgACAAIAAgACAAIAAgACAAIAAgACAAIAAgAE8AcABlAG4AaQBuAGcALAAgACAAIAAgACAAIAAgACAARABSAE8AUAAoACAASABTAFQAQQBDAEsAKAAgAEkAbgBpAHQAaQBhAGwAVgBhAGwAdQBlACwAIABTAEMAQQBOACgAIABJAG4AaQB0AGkAYQBsAFYAYQBsAHUAZQAsACAAQQBsAGwAbwBjAGEAdABlACwAIABMAEEATQBCAEQAQQAoACAAQQBjAGMALAAgAFYAYQBsACwAIABBAGMAYwAgAC0AIABWAGEAbAApACkAKQAsACAAMAAsACAALQAxACkALABcAG4AIAAgACAAIAAgACAAIAAgACAAIAAgACAAIAAgACAAIAAgACAAIAAgACAAIAAgACAAIAAgACAAIAAgACAAIAAgAC8ALwAgACAAQwByAGUAYQB0AGUAIABhACAAbQBvAG4AdABoAGwAeQAgAHQAaQBtAGUAbABpAG4AZQAgAGYAbwByACAAdABoAGUAIABhAHMAcwBlAHQAXABuACAAIAAgACAAIAAgACAAIAAgACAAIAAgACAAIAAgACAAIAAgACAAIAAgACAAIAAgACAAIAAgACAAIAAgACAAIAAgACAAIAAgAEEAcwBzAGUAdABUAGkAbQBlAGwAaQBuAGUALAAgACAARQBEAEEAVABFACgAIABJAG4AUwBlAHIAdgBpAGMAZQBEAGEAdABlACwAIABTAEUAUQBVAEUATgBDAEUAKAAgACwAIABMAGkAZgBlAEkAbgBNAG8AbgB0AGgAcwAsACAAMAApACkALAAgAFwAbgAgACAAIAAgACAAIAAgACAAIAAgACAAIAAgACAAIAAgACAAIAAgACAAIAAgACAAIAAgACAAIAAgACAAIAAgACAALwAvACAAIABBAGcAZwByAGUAZwBhAHQAZQAgAG0AbwBuAHQAaABsAHkAIABhAGwAbABvAGMAYQB0AGkAbwBuAHMAIABiAHkAIABtAG8AZABlAGwAJwBzACAAcABlAHIAaQBvAGQAIABpAG4AdABlAHIAdgBhAGwAcwAgAGEAbgBkACAAcABvAHMAaQB0AGkAbwBuACAAaQBuACAAdABpAG0AZQBsAG4AZQBcAG4AIAAgACAAIAAgACAAIAAgACAAIAAgACAAIAAgACAAIAAgACAAIAAgACAAIAAgACAAIAAgACAAIAAgACAAIAAgACAAIAAgACAARABlAHAAcgBlAGMAaQBhAHQAaQBvAG4ALAAgACAAIABNAEEAUAAoACAAUwBFAFEAVQBFAE4AQwBFACgAIAAsACAAVABpAG0AZQBsAGkAbgBlAEMAbwBsAHMAKQAsACA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FMAVQBNACgAKABBAGwAbABvAGMAYQB0AGUAKQAgACoAIAAoACAAQQBzAHMAZQB0AFQAaQBtAGUAbABpAG4AZQAgADwAPQAgAEkATgBEAEUAWAAoAEUAbgBkAEQAYQB0AGUAcwAsACAAbgApACkAIAAqACAAKAAgAEEAcwBzAGUAdABUAGkAbQBlAGwAaQBuAGUAIAA+AD0AIABJAE4ARABFAFgAKAAgAFQAaQBtAGUAbABpAG4AZQAsACAAbgApACkAKQApACkALABcAG4AIAAgACAAIAAgACAAIAAgACAAIAAgACAAIAAgACAAIAAgACAAIAAgACAAIAAgACAAIAAgACAAIAAgACAAIAAgACAAIAAgACAAQwBBAFAARQBYACwAIAAgACAAIAAgACAAIAAgACAAIABJAG4AaQB0AGkAYQBsAFYAYQBsAHUAZQAgACoAIAAoAFQAaQBtAGUAbABpAG4AZQAgADwAPQAgAEkAbgBTAGUAcgB2AGkAYwBlAEQAYQB0AGUAKQAgACoAIAAoAEUAbgBkAEQAYQB0AGUAcwAgAD4APQAgAEkAbgBTAGUAcgB2AGkAYwBlAEQAYQB0AGUAKQAsACAAXABuACAAIAAgACAAIAAgACAAIAAgACAAIAAgACAAIAAgACAAIAAgACAAIAAgACAAIAAgACAAIAAgACAAIAAgACAAIAAgACAAIAAgAE8AcABlAG4AaQBuAGcAQQBtAG8AdQBuAHQALAAgACAATQBBAFAAKAAgAFMARQBRAFUARQBOAEMARQAoACAALAAgAFQAaQBtAGUAbABpAG4AZQBDAG8AbABzACkALAAgAFwAbgAgACAAIAAgACAAIAAgACAAIAAgACAAIAAgACAAIAAgACAAIAAgACAAIAAgACAAIAAgACAAIAAgACAAIAAgACAAIAAgACAAIAAgACAAIAAgACAAIAAgACAAIAAgACAAIAAgACAAIAAgACAAIAAgACAATABBAE0AQgBEAEEAKAAgAG4ALABcAG4AIAAgACAAIAAgACAAIAAgACAAIAAgACAAIAAgACAAIAAgACAAIAAgACAAIAAgACAAIAAgACAAIAAgACAAIAAgACAAIAAgACAAIAAgACAAIAAgACAAIAAgACAAIAAgACAAIAAgACAAIAAgACAAIAAgACAAIAAgACAASQBGAEUAUgBSAE8AUgAoAEkATgBEAEUAWAAoACAATwBwAGUAbgBpAG4AZwAsACAATQBBAFQAQwBIACgAMQAsACgAQQBzAHMAZQB0AFQAaQBtAGUAbABpAG4AZQAgAD4APQAgAEkATgBEAEUAWAAoACAAVABpAG0AZQBsAGkAbgBlACwAIABuACkAKQAqACgAQQBzAHMAZQB0AFQAaQBtAGUAbABpAG4AZQA8AD0ASQBOAEQARQBYACgAIABFAG4AZABEAGEAdABlAHMALAAgAG4AKQApACwAMAApACkALAAwACkAKQApACwAXABuACAAIAAgACAAIAAgACAAIAAgACAAIAAgACAAIAAgACAAIAAgACAAIAAgACAAIAAgACAAIAAgACAAIAAgACAAIAAgACAAIAAgAEIAbwBvAGsAVgBhAGwAdQBlACwAIAAgACAAIAAgACAATwBwAGUAbgBpAG4AZwBBAG0AbwB1AG4AdAAgAC0AIABEAGUAcAByAGUAYwBpAGEAdABpAG8AbgAsAFwAbgAgACAAIAAgACAAIAAgACAAIAAgACAAIAAgACAAIAAgACAAIAAgACAAIAAgACAAIAAgACAAIAAgACAAIAAgACAAIAAgACAAIABTAGEAbABlAHMAUgBlAHYAZQBuAHUAZQAsACAAIAAgAFMAYQBsAHYAYQBnAGUAVgBhAGwAdQBlACAAKgAgACgAVABpAG0AZQBsAGkAbgBlACAAPAA9ACAARABpAHMAcABvAHMAYQBsAEQAYQB0AGUAKQAgACoAIAAoAEUAbgBkAEQAYQB0AGUAcwAgAD4APQAgAEQAaQBzAHAAbwBzAGEAbABEAGEAdABlACkALAAgAFwAbgAgACAAIAAgACAAIAAgACAAIAAgACAAIAAgACAAIAAgACAAIAAgACAAIAAgACAAIAAgACAAIAAgACAAIAAgACAAIAAgACAAIABEAGkAcwBwAG8AcwBhAGwARQB4AHAALAAgACAAIAAgAEQAaQBzAHAAbwBzAGEAbABDAG8AcwB0ACAAKgAgACgAVABpAG0AZQBsAGkAbgBlACAAPAA9ACAARABpAHMAcABvAHMAYQBsAEQAYQB0AGUAKQAgACoAIAAoAEUAbgBkAEQAYQB0AGUAcwAgAD4APQAgAEQAaQBzAHAAbwBzAGEAbABEAGEAdABlACkALAAgAFwAbgAgACAAIAAgACAAIAAgACAAIAAgACAAIAAgACAAIAAgACAAIAAgACAAIAAgACAAIAAgACAAIAAgACAAIAAgACAALwAvACAAIABBAHMAcwBlAG0AYgBsAGUAIAB0AGgAaQBzACAAYQBzAHMAZQB0AHMAIAByAG8AdwBzACAAaQBuAHQAbwAgAGEAIABiAGwAbwBjAGsAXABuACAAIAAgACAAIAAgACAAIAAgACAAIAAgACAAIAAgACAAIAAgACAAIAAgACAAIAAgACAAIAAgACAAIAAgACAAIAAgACAAIAAgAE4AZQB3AEIAbABvAGMAawAsACAAIAAgACAAIAAgACAAVgBTAFQAQQBDAEsAKAAgAEMAQQBQAEUAWAAsACAATwBwAGUAbgBpAG4AZwBBAG0AbwB1AG4AdAAsACAARABlAHAAcgBlAGMAaQBhAHQAaQBvAG4ALAAgAEIAbwBvAGsAVgBhAGwAdQBlACwAIABTAGEAbABlAHMAUgBlAHYAZQBuAHUAZQAsACAARABpAHMAcABvAHMAYQBsAEUAeABwACkALABcAG4AIAAgACAAIAAgACAAIAAgACAAIAAgACAAIAAgACAAIAAgACAAIAAgACAAIAAgACAAIAAgACAAIAAgACAAIAAgAC8ALwAgACAAQQBkAGQAIAB0AGgAaQBzACAAYgBsAG8AYwBrACAAdABvACAAcAByAGkAbwByACAAYgBsAG8AYwBrAHMAIAAoAGkAZgAgAGEAbgB5ACkAXABuACAAIAAgACAAIAAgACAAIAAgACAAIAAgACAAIAAgACAAIAAgACAAIAAgACAAIAAgACAAIAAgACAAIAAgACAAIAAgACAAIAAgAFIAZQBzAHUAbAB0ACwAIAAgACAAIAAgACAAIAAgACAASQBGACgAIABBAHMAcwBlAHQAIAA9ACAAMQAsACAAXABuACAAIAAgACAAIAAgACAAIAAgACAAIAAgACAAIAAgACAAIAAgACAAIAAgACAAIAAgACAAIAAgACAAIAAgACAAIAAgACAAIAAgACAAIAAgACAAIAAgACAAIAAgACAAIAAgACAAIAAgACAAIAAgACAAIABOAGUAdwBCAGwAbwBjAGsALAAgAFwAbgAgACAAIAAgACAAIAAgACAAIAAgACAAIAAgACAAIAAgACAAIAAgACAAIAAgACAAIAAgACAAIAAgACAAIAAgACAAIAAgACAAIAAgACAAIAAgACAAIAAgACAAIAAgACAAIAAgACAAIAAgACAAIAAgACAAVgBTAFQAQQBDAEsAKABcAG4AIAAgACAAIAAgACAAIAAgACAAIAAgACAAIAAgACAAIAAgACAAIAAgACAAIAAgACAAIAAgACAAIAAgACAAIAAgACAAIAAgACAAIAAgACAAIAAgACAAIAAgACAAIAAgACAAIAAgACAAIAAgACAAIAAgACAAIAAgACAAQgBsAG8AYwBrACwAXABuACAAIAAgACAAIAAgACAAIAAgACAAIAAgACAAIAAgACAAIAAgACAAIAAgACAAIAAgACAAIAAgACAAIAAgACAAIAAgACAAIAAgACAAIAAgACAAIAAgACAAIAAgACAAIAAgACAAIAAgACAAIAAgACAAIAAgACAAIAAgAEUAWABQAEEATgBEACgAXAAiAFwAIgAsACAAMQAsACAAVABpAG0AZQBsAGkAbgBlAEMAbwBsAHMALAAgAFwAIgBcACIAKQAsAFwAbgAgACAAIAAgACAAIAAgACAAIAAgACAAIAAgACAAIAAgACAAIAAgACAAIAAgACAAIAAgACAAIAAgACAAIAAgACAAIAAgACAAIAAgACAAIAAgACAAIAAgACAAIAAgACAAIAAgACAAIAAgACAAIAAgACAAIAAgACAAIABOAGUAdwBCAGwAbwBjAGsAXABuACAAIAAgACA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AAIAAgACA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lAGg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TABhAGIAZQBsAEQAZQBwAHIAZQBjAGkAYQB0AGUAuwMoAHQAYgBsAEEAcwBzAGUAdABzAFsAQQBzAHMAZQB0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HMAcwBlAHQATgBhAG0AZQBzACkALABcAG4AIAAgACAAIAAvAC8AIAAgAFAAcgBvAGMAZQBkAHUAcgBlAFwAbgAgACAAIAAgACAAIAAgACAAUgBlAHMAdQBsAHQALAAgACAAIAAgACAAIAAgACAAIABNAEEASwBFAEEAUgBSAEEAWQAoACAAUgBPAFcAUwAoAEEAcwBzAGUAdABOAGEAbQBlAHMAKQAgACoAIAA3ACAALQAgADEALAAgADEALAAgAFwAbgAgACAAIAAgACAAIAAgACAAIAAgACAAIAAgACAAIAAgACAAIAAgACAAIAAgACAAIAAgACAAIAAgAEwAQQBNAEIARABBACgAUgAsACAAQwAsACAAXABuACAAIAAgACAAIAAgACAAIAAgACAAIAAgACAAIAAgACAAIAAgACAAIAAgACAAIAAgACAAIAAgACAAIAAgACAAIABMAEUAVAAoAEEAcwBzAGUAdABOAGEAbQBlACwAIAAgACAASQBOAEQARQBYACgAIABBAHMAcwBlAHQATgBhAG0AZQBzACwAIABRAFUATwBUAEkARQBOAFQAKABSAC0AMQAsACAANwApACAAKwAgADEAKQAsACAAXABuACAAIAAgACAAIAAgACAAIAAgACAAIAAgACAAIAAgACAAIAAgACAAIAAgACAAIAAgACAAIAAgACAAIAAgACAAIAAgACAAIAAgAFMAVwBJAFQAQwBIACgAIABNAE8ARAAoAFIALQAxACwAIAA3ACkAIAArACAAMQAsAFwAbgAgACAAIAAgACAAIAAgACAAIAAgACAAIAAgACAAIAAgACAAIAAgACAAIAAgACAAIAAgACAAIAAgACAAIAAgACAAIAAgACAAIAAgACAAIAAgADEALAAgACAAQQBzAHMAZQB0AE4AYQBtAGUAIAAmACAAXAAiACAAQwBBAFAARQBYAFwAIgAsAFwAbgAgACAAIAAgACAAIAAgACAAIAAgACAAIAAgACAAIAAgACAAIAAgACAAIAAgACAAIAAgACAAIAAgACAAIAAgACAAIAAgACAAIAAgACAAIAAgADIALAAgACAAQQBzAHMAZQB0AE4AYQBtAGUAIAAmACAAXAAiACAATwBwAGUAbgBpAG4AZwAgAFYAYQBsAHUAZQBcACIALABcAG4AIAAgACAAIAAgACAAIAAgACAAIAAgACAAIAAgACAAIAAgACAAIAAgACAAIAAgACAAIAAgACAAIAAgACAAIAAgACAAIAAgACAAIAAgACAAIAAzACwAIAAgAEEAcwBzAGUAdABOAGEAbQBlACAAJgAgAFwAIgAgAEQAZQBwAHIAZQBjAGkAYQB0AGkAbwBuAFwAIgAsAFwAbgAgACAAIAAgACAAIAAgACAAIAAgACAAIAAgACAAIAAgACAAIAAgACAAIAAgACAAIAAgACAAIAAgACAAIAAgACAAIAAgACAAIAAgACAAIAAgADQALAAgACAAQQBzAHMAZQB0AE4AYQBtAGUAIAAmACAAXAAiACAAQgBvAG8AawAgAFYAYQBsAHUAZQBcACIALABcAG4AIAAgACAAIAAgACAAIAAgACAAIAAgACAAIAAgACAAIAAgACAAIAAgACAAIAAgACAAIAAgACAAIAAgACAAIAAgACAAIAAgACAAIAAgACAAIAA1ACwAIAAgAEEAcwBzAGUAdABOAGEAbQBlACAAJgAgAFwAIgAgAFIAZQB2AGUAbgB1AGUAIABmAHIAbwBtACAAUwBhAGwAZQBcACIALABcAG4AIAAgACAAIAAgACAAIAAgACAAIAAgACAAIAAgACAAIAAgACAAIAAgACAAIAAgACAAIAAgACAAIAAgACAAIAAgACAAIAAgACAAIAAgACAAIAA2ACwAIAAgAEEAcwBzAGUAdABOAGEAbQBlACAAJgAgAFwAIgAgAEQAaQBzAHAAbwBzAGEAbAAgAEMAbwBzAHQAcwBcACIALABcAG4AIAAgACAAIAAgACAAIAAgACAAIAAgACAAIAAgACAAIAAgACAAIAAgACAAIAAgACAAIAAgACAAIAAgACAAIAAgACAAIAAgACAAIAAgACAAIAA3ACwAIAAgAFwAIgBcACIAXABuACAAIAAgACAAIAAgACAAIAAgACAAIAAgACAAIAAgACAAIAAgACAAIAAgACAAIAAgACAAIAAgACAAIAAgACAAIAAgACAAIAAg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MAdQBtAEQAZQBwAHIAZQBjAGkAYQB0AGUAuwNcAG4AIAAgACAAIABEAEUAUwBDAFIASQBQAFQASQBPAE4AOgAqAC8ALwAqACoAQwByAGUAYQB0AGUAIAByAG8AdwAgAHQAbwB0AGEAbABzACAAZgBvAHIAIABEAGUAcAByAGUAYwBpAGEAdABlALsDKgAvAFwAbgBTAHUAbQBEAGUAcAByAGUAYwBpAGEAdABlALsDIAA9ACAATABBAE0AQgBEAEEAKABcAG4ALwAvACAAIABQAGEAcgBhAG0AZQB0AGUAcgAgAEQAZQBjAGwAYQByAGEAdABpAG8AbgBzAFwAbgAgACAAIAAgAFsARABlAHAAcgBlAGMAaQ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RABlAHAAcgBlAGMAaQBhAHQAZQC7AygARABlAHAAcgBlAGMAaQBhAHQAaQBvAG4AUwBjAGgAZQBkAHUAbABlACkAtgBcACIAIAAmAFwAbgAgACAAIAAgACAAIAAgACAAIAAgACAAIAAgACAAIAAgACAAIAAgACAAIAAgACAAIAAgACAAIAAgAFwAIgBEAEUAUwBDAFIASQBQAFQASQBPAE4AOgAgACAAIACSIUMAcgBlAGEAdABlACAAcgBvAHcAIAB0AG8AdABhAGwAcwAgAGYAbwByACAARABlAHAAcgBlAGMAaQBhAHQAZQC7A7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UAcAByAGUAYwBpAGEAdABpAG8AbgBTAGMAaABlAGQAdQBsAGUAkiEoAFIAZQBxAHUAaQByAGUAZAApACAAQQBuACAAYQByAHIAYQB5ACAAcAByAG8AZAB1AGMAZQBkACAAYgB5ACAARABlAHAAcgBlAGMAaQBhAHQAZQC7A7YAXAAiACAAJg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QAZQBwAHIAZQBjAGkAYQB0AGkAbwBuAFMAYwBoAGUAZAB1AGwAZQApACwAXABuACAAIAAgACAALwAvACAAIABQAHIAbwBjAGUAZAB1AHIAZQBcAG4AIAAgACAAIAAgACAAIAAgAFIAZQBzAHUAbAB0ACwAIAAgACAAIAAgACAAIAAgACAATQBBAEsARQBBAFIAUgBBAFkAKABSAE8AVwBTACgARABlAHAAcgBlAGMAaQBhAHQAaQBvAG4AUwBjAGgAZQBkAHUAbABlACkALAAgADEALAAgAFwAbgAgACAAIAAgACAAIAAgACAAIAAgACAAIAAgACAAIAAgACAAIAAgACAAIAAgACAAIAAgACAAIAAgAEwAQQBNAEIARABBACgAIABSACwAIABDACwAXABuACAAIAAgACAAIAAgACAAIAAgACAAIAAgACAAIAAgACAAIAAgACAAIAAgACAAIAAgACAAIAAgACAAIAAgACAAIABTAFcASQBUAEMASAAoACAATQBPAEQAKAAgAFIALAAgADcAKQAsAFwAbgAgACAAIAAgACAAIAAgACAAIAAgACAAIAAgACAAIAAgACAAIAAgACAAIAAgACAAIAAgACAAIAAgACAAIAAgACAAIAAgACAAIAAxACwAIABTAFUATQAoAEMASABPAE8AUwBFAFIATwBXAFMAKAAgAEQAZQBwAHIAZQBjAGkAYQB0AGkAbwBuAFMAYwBoAGUAZAB1AGwAZQAsACAAUgApACkALABcAG4AIAAgACAAIAAgACAAIAAgACAAIAAgACAAIAAgACAAIAAgACAAIAAgACAAIAAgACAAIAAgACAAIAAgACAAIAAgACAAIAAgACAAMwAsACAAUwBVAE0AKABDAEgATwBPAFMARQBSAE8AVwBTACgAIABEAGUAcAByAGUAYwBpAGEAdABpAG8AbgBTAGMAaABlAGQAdQBsAGUALAAgAFIAKQApACwAXABuACAAIAAgACAAIAAgACAAIAAgACAAIAAgACAAIAAgACAAIAAgACAAIAAgACAAIAAgACAAIAAgACAAIAAgACAAIAAgACAAIAAgADUALAAgAFMAVQBNACgAQwBIAE8ATwBTAEUAUgBPAFcAUwAoACAARABlAHAAcgBlAGMAaQBhAHQAaQBvAG4AUwBjAGgAZQBkAHUAbABlACwAIABSACkAKQAsAFwAbgAgACAAIAAgACAAIAAgACAAIAAgACAAIAAgACAAIAAgACAAIAAgACAAIAAgACAAIAAgACAAIAAgACAAIAAgACAAIAAgACAAIAA2ACwAIABTAFUATQAoAEMASABPAE8AUwBFAFIATwBXAFMAKAAgAEQAZQBwAHIAZQBjAGk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QQBsAGwAbwBjAGEAdABlALsDXABuACAAIAAgACAARABFAFMAQwBSAEkAUABUAEkATwBOADoAKgAvAC8AKgAqAJIhRABpAHYAaQBkAGUAIABvAG4AZQAgAG8AcgAgAG0AbwByAGUAIABhAG0AbwB1AG4AdABzACAAZQBxAHUAYQBsAGwAeQAgAGEAYwByAG8AcwBzACAAcwBtAGEAbABsAGUAcgAgAHAAZQByAGkAbwBkAHMAKgAvAFwAbgBBAGwAbABvAGMAYQB0AGUAuwMgAD0AIABMAEEATQBCAEQAQQAoAFwAbgAvAC8AIAAgAFAAYQByAGEAbQBlAHQAZQByACAARABlAGMAbABhAHIAYQB0AGkAbwBuAFwAbgAgACAAIAAgAFsAQQBtAG8AdQBuAHQAcwBdACwAXABuACAAIAAgACAAWwBGAHIAbwBtAEkAbgB0AGUAcgB2AGEAbABdACwAIABcAG4AIAAgACAAIABbAFQAb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QQBsAGwAbwBjAGEAdABlALsDKABBAG0AbwB1AG4AdABzACwAIABbAEYAcgBvAG0ASQBuAHQAZQByAHYAYQBsAF0ALAAgAFsAVABvAEkAbgB0AGUAcgB2AGEAbABdACkAtgBcACIAIAAmAFwAbgAgACAAIAAgACAAIAAgACAAIAAgACAAIAAgACAAIAAgACAAIAAgACAAIAAgACAAIAAgACAAIAAgAFwAIgBEAEUAUwBDAFIASQBQAFQASQBPAE4AOgAgACAAIACSIUQAaQB2AGkAZABlACAAbwBuAGUAIABvAHIAIABtAG8AcgBlACAAYQBtAG8AdQBuAHQAcwAgAGUAcQB1AGEAbABsAHkAIABhAGMAcgBvAHMAcwAgAHMAbQBhAGwAbABlAHIAIABwAGUAcgBpAG8AZA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tAG8AdQBuAHQAcwAgACAAIAAgACAAIAAgACAAkiEoAFIAZQBxAHUAaQByAGUAZAApACAATwBuAGUAIABhAG0AbwB1AG4AdAAgAG8AcgAgAGEAIAByAG8AdwAgAG8AZgAgAGEAbQBvAHUAbgB0AHMAIAB0AG8AIABhAGwAbABvAGMAYQB0AGUALgC2AFwAIgAgACYAIAAgACAAIAAgACAAIAAgACAAIAAgACAAIAAgACAAIAAgACAAIABcAG4AIAAgACAAIAAgACAAIAAgACAAIAAgACAAIAAgACAAIAAgACAAIAAgACAAIAAgACAAIAAgACAAIABcACIARgByAG8AbQBJAG4AdABlAHIAdgBhAGwAIAAgACAAkiEoAE8AcAB0AGkAbwBuAGEAbAAgAEQAZQBmAGEAdQBsAHQAPQBZACkAIABUAGgAZQAgAGwAYQByAGcAZQByACAAaQBuAHQAZQByAHYAYQBsACAAaQBuACAAUQA9AFEAdQBhAHIAdABlAHIAcwAgAG8AcgAgAFkAPQBZAGUAYQByAHMAtgBcACIAIAAmACAAXABuACAAIAAgACAAIAAgACAAIAAgACAAIAAgACAAIAAgACAAIAAgACAAIAAgACAAIAAgACAAIAAgACAAXAAiAFQAbwBJAG4AdABlAHIAdgBhAGwAIAAgACAAIAAgAJIhKABPAHAAdABpAG8AbgBhAGwAIABEAGUAZgBhAHUAbAB0AD0ATQApACAAVABoAGUAIABzAG0AYQBsAGwAZQByACAAaQBuAHQAZQByAHYAYQBsACAAaQBuACAAVwA9AFcAZQBlAGsAcwAsACAATQA9AE0AbwBuAHQAaABzACwAIABvAHIAIABRAD0AUQB1AGEAcgB0AGUAcgBzALYAXAAiACAAJgAgAFwAbgAgACAAIAAgACAAIAAgACAAIAAgACAAIAAgACAAIAAgACAAIAAgACAAIAAgACAAIAAgACAAIAAgAFwAIgBOAE8AVABFACEAIAAgACAAIAAgACAAIAAgACAAIACSIbYAXAAiACAAJgAgAFwAbgAgACAAIAAgACAAIAAgACAAIAAgACAAIAAgACAAIAAgACAAIAAgACAAIAAgACAAIAAgACAAIAAgACAAIAAgACAAIAAgACAAIAAgACAAIAAgACAAIAAgAFwAIgCSIVcAaABlAG4AIABhACAARgByAG8AbQAgAFAAZQByAGkAbwBkACcAcwAgAGEAbQBvAHUAbgB0ACAAZABvAGUAcwAgAG4AbwB0ACAAZABpAHYAaQBkAGUAIABlAHYAZQBuAGwAeQAgAHQAbwAgAHQAaABlACAAMQAvADEAMAAwACAAZgBvAHIAIABhAGwAbAAgAFQAbwAgAFAAZQByAGkAbwBkAHMAJwAsALYAXAAiACAAJgAgAFwAbgAgACAAIAAgACAAIAAgACAAIAAgACAAIAAgACAAIAAgACAAIAAgACAAIAAgACAAIAAgACAAIAAgACAAIAAgACAAIAAgACAAIAAgACAAIAAgACAAIAAgAFwAIgCSIXQAaABlACAAbABhAHMAdAAgAFQAbwAgAFAAZQByAGkAbwBkACAAYwBvAG4AdABhAGkAbgBzACAAdABoAGUAIABuAGUAYwBlAHMAcwBhAHIAeQAgAGEAZABqAHUAcwB0AG0AZQBuAHQ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QQBsAGwAbwBjAGEAdABlALsDKAB7ADkAOQA5AC4AOQA5ACwAIAAyADAAMAAwAH0ALAAgAFwAIgBcACIAWQBcACIAXAAiACwAIABcACIAXAAiAFEAXAAiAFwAIg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gA1ADAALAAyADUAMAAsADIANQAwACwAMgA0ADkALgA5ADkALAA1ADAAMAAsADUAMAAwACwANQAwADAALAA1ADA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SQBTAE8ATQBJAFQAVABFAEQAKAAgAEEAbQBvAHUAbgB0AHMAKQAsAFwAbgAgACAAIAAgAC8ALwAgACAAUwBlAHQAIABkAGUAZgBhAHUAbAB0AHMAIABmAG8AcgAgAG8AcAB0AGkAbwBuAGEAbAAgAHYAYQBsAHUAZQBzAFwAbgAgACAAIAAgACAAIAAgACAARgByAG8AbQBJAG4AdABlAHIAdgBhAGwALAAgACAAIABJAEYAKAAgAEkAUwBPAE0ASQBUAFQARQBEACgAIABGAHIAbwBtAEkAbgB0AGUAcgB2AGEAbAApACwAIABcACIAWQBcACIALAAgAEYAcgBvAG0ASQBuAHQAZQByAHYAYQBsACkALABcAG4AIAAgACAAIAAgACAAIAAgAFQAbwBJAG4AdABlAHIAdgBhAGwALAAgACAAIAAgACAASQBGACgAIABJAFMATwBNAEkAVABUAEUARAAoACAAVABvAEkAbgB0AGUAcgB2AGEAbAApACwAIABcACIATQBcACIALAAgAFQAbwBJAG4AdABlAHIAdgBhAGwAKQAsAFwAbgAgACAAIAAgAC8ALwAgACAAUAByAG8AYwBlAGQAdQByAGUAXABuACAAIAAgACAAIAAgACAAIABGAHIAbwBtACwAIAAgACAAIAAgACAAIAAgACAAIAAgAFMAVwBJAFQAQwBIACgARgByAG8AbQBJAG4AdABlAHIAdgBhAGwALAAgAFwAIgBZAFwAIgAsACAAMQAsACAAXAAiAFEAXAAiACwAIAA0ACkALABcAG4AIAAgACAAIAAgACAAIAAgAFQAbwAsACAAIAAgACAAIAAgACAAIAAgACAAIAAgACAAUwBXAEkAVABDAEgAKABUAG8ASQBuAHQAZQByAHYAYQBsACwAIABcACIAUQBcACIALAAgADQALAAgAFwAIgBNAFwAIgAsACAAMQAyACwAIABcACIAVwBcACIALAAgADUAMgApACwAXABuACAAIAAgACAAIAAgACAAIABGAHIAbwBtAEMAbwB1AG4AdAAsACAAIAAgACAAIAAgAEMATwBVAE4AVAAoACAAQQBtAG8AdQBuAHQAcwApACwAXABuACAAIAAgACAAIAAgACAAIABUAG8AQwBvAHUAbgB0ACwAIAAgACAAIAAgACAAIAAgAFQAbwAgAC8AIABGAHIAbwBtACwAXABuACAAIAAgACAAIAAgACAAIABSAGUAcwB1AGwAdAAsACAAIAAgACAAIAAgACAAIAAgAFIARQBEAFUAQwBFACgAIAAwACwAIABTAEUAUQBVAEUATgBDAEUAKAAgACwAIABGAHIAbwBtAEMAbwB1AG4AdAApACwAXABuACAAIAAgACAAIAAgACAAIAAgACAAIAAgACAAIAAgACAAIAAgACAAIAAgACAAIAAgACAAIAAgACAATABBAE0AQgBEAEEAKAAgAEEAYwBjACwAIABuACwAXABuACAAIAAgACAAIAAgACAAIAAgACAAIAAgACAAIAAgACAAIAAgACAAIAAgACAAIAAgACAAIAAgACAAIAAgACAAIABMAEUAVAAoACAAXABuACAAIAAgACAAIAAgACAAIAAgACAAIAAgACAAIAAgACAAIAAgACAAIAAgACAAIAAgACAAIAAgACAAIAAgACAAIAAgACAAIAAgAEYAcgBvAG0AQQBtAG8AdQBuAHQALAAgACAAIAAgACAASQBOAEQARQBYACgAIABBAG0AbwB1AG4AdABzACwAIABuACkALAAgAFwAbgAgACAAIAAgACAAIAAgACAAIAAgACAAIAAgACAAIAAgACAAIAAgACAAIAAgACAAIAAgACAAIAAgACAAIAAgACAAIAAgACAAIABUAG8AQQBtAG8AdQBuAHQALAAgACAAIAAgACAAIAAgAFIATwBVAE4ARAAoACAARgByAG8AbQBBAG0AbwB1AG4AdAAgACoAIABGAHIAbwBtACAALwAgAFQAbwAsACAAMgApACwAXABuACAAIAAgACAAIAAgACAAIAAgACAAIAAgACAAIAAgACAAIAAgACAAIAAgACAAIAAgACAAIAAgACAAIAAgACAAIAAgACAAIAAgAEIAYQBzAGUAQQByAHIAYQB5ACwAIAAgACAAIAAgACAARQBYAFAAQQBOAEQAKAAgAFQAbwBBAG0AbwB1AG4AdAAsACAAMQAsACAAVABvAEMAbwB1AG4AdAAsACAAVABvAEEAbQBvAHUAbgB0ACkALABcAG4AIAAgACAAIAAgACAAIAAgACAAIAAgACAAIAAgACAAIAAgACAAIAAgACAAIAAgACAAIAAgACAAIAAgACAAIAAgACAAIAAgACAAVABvAEEAcgByAGEAeQAsACAAIAAgACAAIAAgACAAIABJAEYAKAAgAFQAbwBDAG8AdQBuAHQAIAA9ACAAMQAsACAAXABuACAAIAAgACAAIAAgACAAIAAgACAAIAAgACAAIAAgACAAIAAgACAAIAAgACAAIAAgACAAIAAgACAAIAAgACAAIAAgACAAIAAgACAAIAAgACAAIAAgACAAIAAgACAAIAAgACAAIAAgACAAIAAgACAAIABCAGEAcwBlAEEAcgByAGEAeQAsACAAXABuACAAIAAgACAAIAAgACAAIAAgACAAIAAgACAAIAAgACAAIAAgACAAIAAgACAAIAAgACAAIAAgACAAIAAgACAAIAAgACAAIAAgACAAIAAgACAAIAAgACAAIAAgACAAIAAgACAAIAAgACAAIAAgACAAIABIAFMAVABBAEMASwAoACAAXABuACAAIAAgACAAIAAgACAAIAAgACAAIAAgACAAIAAgACAAIAAgACAAIAAgACAAIAAgACAAIAAgACAAIAAgACAAIAAgACAAIAAgACAAIAAgACAAIAAgACAAIAAgACAAIAAgACAAIAAgACAAIAAgACAAIAAgACAAIAAgAFQAQQBLAEUAKABCAGEAcwBlAEEAcgByAGEAeQAsACAAMQAsACAAVABvAEMAbwB1AG4AdAAgAC0AIAAxACkALAAgAFwAbgAgACAAIAAgACAAIAAgACAAIAAgACAAIAAgACAAIAAgACAAIAAgACAAIAAgACAAIAAgACAAIAAgACAAIAAgACAAIAAgACAAIAAgACAAIAAgACAAIAAgACAAIAAgACAAIAAgACAAIAAgACAAIAAgACAAIAAgACAAIABGAHIAbwBtAEEAbQBvAHUAbgB0ACAALQAgAFMAVQBNACgAIABUAEEASwBFACgAQgBhAHMAZQBBAHIAcgBhAHkALAAgADEALAAgAFQAbwBDAG8AdQBuAHQAIAAtACAAMQApACkAXABu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LAAgACAAIAAgACAAIAAgACAAIABJAEYAKAAgAG4AIAA9ACAAMQAsACAAVABvAEEAcgByAGEAeQAsACAASABTAFQAQQBDAEsAKAAgAEEAYwBjACwAIABUAG8AQQByAHIAYQB5ACA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AAZQByAGkAbwBkAEQAaQBmAGYAuwNcAG4AIAAgACAAIABEAEUAUwBDAFIASQBQAFQASQBPAE4AOgAqAC8ALwAqACoARABlAHQAZQByAG0AaQBuAGUAIAB0AGgAZQAgAG4AdQBtAGIAZQByACAAbwBmACAAcABlAHIAaQBvAGQAcwAgAGIAZQB0AHcAZQBlAG4AIAB0AHcAbwAgAGQAYQB0AGUAcwAuACoALwBcAG4AUABlAHIAaQBvAGQARABpAGYAZgC7AyAAPQAgAEwAQQBNAEIARABBACgAXABuAC8ALwAgACAAUABhAHIAYQBtAGUAdABlAHIAIABEAGUAYwBsAGEAcgBhAHQAaQBvAG4AXABuACAAIAAgACAAWwBTAHQAYQByAHQARABhAHQAZQBdACwAXABuACAAIAAgACAAWwBFAG4AZABEAGEAdABlAF0ALAAgAFwAbgAgACAAIAAgAFs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AAZQByAGkAbwBkAEQAaQBmAGYAuwMoAFMAdABhAHIAdABEAGEAdABlACwAIABFAG4AZABEAGEAdABlACwAIABJAG4AdABlAHIAdgBhAGwAKQC2AFwAIgAgACYAXABuACAAIAAgACAAIAAgACAAIAAgACAAIAAgACAAIAAgACAAIAAgACAAIAAgACAAIAAgACAAIAAgACAAXAAiAEQARQBTAEMAUgBJAFAAVABJAE8ATgA6ACAAIAAgAJIhRABlAHQAZQByAG0AaQBuAGUAIAB0AGgAZQAgAG4AdQBtAGIAZQByACAAbwBmACAAcABlAHIAaQBvAGQAcwAgAGIAZQB0AHcAZQBlAG4AIAB0AHcAbwAgAGQAYQB0AGUAcwAuALYAXAAiACAAJgBcAG4AIAAgACAAIAAgACAAIAAgACAAIAAgACAAIAAgACAAIAAgACAAIAAgACAAIAAgACAAIAAgACAAIABcACIATgBPAFQARQBTACEAIAAgACAAIAAgACAAIAAgACAAkiFUAGgAaQBzACAAaQBtAHAAcgBvAHYAZQBzACAAbwBuACwAIABhAG4AZAAgAGMAbwByAHIAZQBjAHQAcwAgAHAAcgBvAGIAbABlAG0AcwAgAHcALwBFAHgAYwBlAGwAJwBzACAAZABlAHAAcgBlAGMAYQB0AGUAZAAgAEQAQQBUAEUARABJAEYAKAApACAAZgB1AG4AYwB0AGkAbwBu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TAHQAYQByAHQARABhAHQAZQAgACAAIAAgACAAIACSISgAUgBlAHEAdQBpAHIAZQBkACkAIABTAHQAYQByAHQAIABEAGEAdABlAC4AtgBcACIAIAAmACAAIAAgACAAIAAgACAAIAAgACAAIAAgACAAIAAgACAAIAAgACAAXABuACAAIAAgACAAIAAgACAAIAAgACAAIAAgACAAIAAgACAAIAAgACAAIAAgACAAIAAgACAAIAAgACAAXAAiAEUAbgBkAEQAYQB0AGUAIAAgACAAIAAgACAAIAAgAJIhKABSAGUAcQB1AGkAcgBlAGQAKQAgAEUAbgBkACAARABhAHQAZQC2AFwAIgAgACYAIABcAG4AIAAgACAAIAAgACAAIAAgACAAIAAgACAAIAAgACAAIAAgACAAIAAgACAAIAAgACAAIAAgACAAIABcACIASQBuAHQAZQByAHYAYQBsACAAIAAgACAAIAAgACAAkiEoAFIAZQBxAHUAaQByAGUAZAApACAAVwA9AFcAZQBlAGsALAAgAE0APQBNAG8AbgB0AGgALAAgAFEAPQBRAHUAYQByAHQAZQByACwAIABZAD0AWQBlAGEAcg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uAGEAYgBsAGEALgBmACAAaQBzACAAYQBzAHMAdQBtAGUAZAAgAHQAbwAgAGIAZQAgAHQAaABlACAAbQBvAGQAdQBsAGUAJwBzACAAbgBhAG0AZQApALYAXAAiACAAJgBcAG4AIAAgACAAIAAgACAAIAAgACAAIAAgACAAIAAgACAAIAAgACAAIAAgACAAIAAgACAAIAAgACAAIABcACIAMQAgACAAIAAgACAAIAAgACAAIAAgACAAIAAgACAAkiE9AG4AYQBiAGwAYQAuAGY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XABuACAAIAAgACAAIAAgACAAIABEAGUAcABuACwAIAAgACAAIAAgACAAIAAgACAAIAAgAFMATABOACgAQwBvAHMAdAAsACAAUwBhAGwAdgBhAGcAZQAsACAATABpAGYAZQApACwAXABuACAAIAAgACAAIAAgACAAIABSAGUAcwB1AGwAdAAsACAAIAAgACAAIAAgACAAIAAgAEUAWABQAEEATgBEACgARABlAHAAbgAsACAAMQAsACAATABpAGYAZQAsACAARABlAHAAbg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MAWQBEALsDXABuACAAIAAgACAARABFAFMAQwBSAEkAUABUAEkATwBOADoAKgAvAC8AKgAqAFMAdQBtAC0AbwBmAC0AeQBlAGEAcgBzACcAIABkAGkAZwBpAHQAcwAgAGQAZQBwAHIAZQBjAGkAYQB0AGkAbwBuACAAbQBlAHQAaABvAGQAIABmAG8AcgAgAG8AbgBlACAAYQBzAHMAZQB0ACAAbwByACAAYQBzAHMAZQB0ACAAYwBsAGEAcwBzAC4AKgAvAFwAbgBTAFkARA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WQBEALsDKABDAG8AcwB0ACwAIABTAGEAbAB2AGEAZwBlACwAIABMAGkAZgBlACkAtgBcACIAIAAmAFwAbgAgACAAIAAgACAAIAAgACAAIAAgACAAIAAgACAAIAAgACAAIAAgACAAIAAgACAAIAAgACAAIAAgAFwAIgBEAEUAUwBDAFIASQBQAFQASQBPAE4AOgAgACAAIACSIVMAdQBtAC0AbwBmAC0AeQBlAGEAcgBzACcAIABkAGkAZwBpAHQAcw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dACkAtgBcACIAIAAmAFwAbgAgACAAIAAgACAAIAAgACAAIAAgACAAIAAgACAAIAAgACAAIAAgACAAIAAgACAAIAAgACAAIAAgAFwAIgBEAEUAUwBDAFIASQBQAFQASQBPAE4AOgAgACAAIACSIUYAaQB4AGUAZAAgAGQAZQBjAGwAaQBuAGkAbgBnACAAYgBhAGwAYQBuAGMAZQAgAGQAZQBwAHIAZQBjAGkAYQB0AGkAbwBuACAAbQBlAHQAaABvAGQAIABmAG8AcgAgAG8AbgBlACAAYQBzAHMAZQB0ACAAbwByACAAYQBzAHMAZQB0ACAAYwBsAGEAcwBz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0AbwBuAHQAaABzACAAIAAgACAAIAAgACAAIAAgAJIhKABPAHAAdABpAG8AbgBhAGwAKQAgAE4AdQBtAGIAZQByACAAbwBmACAAbQBvAG4AdABoAHMAIABpAG4AIAB0AGgAZQAgAGYAaQByAHMAdAAgAHkAZQBhAHIAIAB0AG8AIABkAGUAcAByAGUAYwBpAGEAdABl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BcAG4AIAAgACAAIAAgACAAIAAgAEQAZQBwAG4ALAAgACAAIAAgACAAIAAgACAAIAAgACAARABCACgAIABDAG8AcwB0ACwAIABTAGEAbAB2AGEAZwBlACwAIABMAGkAZgBlACwAIABTAEUAUQBVAEUATgBDAEUAKAAgACwAIABMAGkAZgBlACAALQAgADEAIAApACwAIABNAG8AbgB0AGgAcw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EAEIAuwNcAG4AIAAgACAAIABEAEUAUwBDAFIASQBQAFQASQBPAE4AOgAqAC8ALwAqACoARABvAHUAYgBsAGUALQBkAGUAYwBsAGkAbgBpAG4AZwAgAGIAYQBsAGEAbgBjAGUAIABkAGUAcAByAGUAYwBpAGEAdABpAG8AbgAgAG0AZQB0AGgAbwBkACAAZgBvAHIAIABvAG4AZQAgAGEAcwBzAGUAdAAgAG8AcgAgAGEAcwBzAGUAdAAgAGMAbABhAHMAcwAuACoALwBcAG4ARABEAEIAuwMgAD0AIABMAEEATQBCAEQAQQAoAFwAbgAvAC8AIAAgAFAAYQByAGEAbQBlAHQAZQByACAARABlAGMAbABhAHIAYQB0AGkAbwBuAFwAbgAgACAAIAAgAFsAQwBvAHMAdABdACwAXABuACAAIAAgACAAWwBTAGEAbAB2AGEAZwBlAF0ALAAgAFwAbgAgACAAIAAgAFsATABpAGYAZQBdACwAIABcAG4AIAAgACAAIABbAEYAYQBjAHQAbwBy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EQ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NAAwADAALgAwADAALAAyADQAMAAuADAAMAAsADEANAA0AC4AMAAwACwAOAA2AC4ANAAwACwAMgA5AC4ANg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LwAvACAAIABQAHIAbwBjAGUAZAB1AHIAZQBcAG4AIAAgACAAIAAgACAAIAAgAEQAZQBwAG4ALAAgACAAIAAgACAAIAAgACAAIAAgACAARABEAEIAKAAgAEMAbwBzAHQALAAgAFMAYQBsAHYAYQBnAGUALAAgAEwAaQBmAGUALAAgAFMARQBRAFUARQBOAEMARQAoACAALAAgAEwAaQBmAGUAIAAtADEAKQAsACAARgBhAGMAdABvAHIAKQAsACAAIAAgAFwAbgAgACAAIAAgACAAIAAgACAAUgBlAHMAdQBsAHQALAAgACAAIAAgACAAIAAgACAAIABIAFMAVABBAEMASwAoACAARABlAHAAbgAsACAAQwBvAHMAdAAgAC0AIABTAHUAbQAoAEQAZQBwAG4AKQAgAC0AIABTAGEAbAB2AGEAZw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gAxAC4ANQAwACwAMQAyADEALgA1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gACAAIAAgAE4AbwBfAFMAdwBpAHQAYwBoACwAIAAgACAAIAAgACAASQBGACgAIABJAFMATwBNAEkAVABUAEUARAAoACAATgBvAF8AUwB3AGkAdABjAGgAKQAsACAARgBBAEwAUwBFACwAIABOAG8AXwBTAHcAaQB0AGMAaAApACwAXABuACAAIAAgACAALwAvACAAIABQAHIAbwBjAGUAZAB1AHIAZQBcAG4AIAAgACAAIAAgACAAIAAgAFIAZQBzAHUAbAB0ACwAIAAgACAAIAAgACAAIAAgACAAVgBEAEIAKAAgAEMAbwBzAHQALAAgAFMAYQBsAHYAYQBnAGUALAAgAEwAaQBmAGUALAAgAFMARQBRAFUARQBOAEMARQAoACAALAAgAEwAaQBmAGUALAAgADAAKQAsACAAUwBFAFEAVQBFAE4AQwBFACgAIAAsACAATABpAGYAZQApACwAIABGAGEAYwB0AG8Acg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UAByAGkAbgBjAGkAcABhAGwAKQApACwAXABuACAAIAAgACAAIAAgACAAIAAgACAAIAAgACAAIAAgACAAIAAgACAAIAAgACAAIAAgACAAIAAgACAATwBSACgAIABJAFMARQBSAFIATwBSACgAIABBAFAAUgApACkALABcAG4AIAAgACAAIAAgACAAIAAgACAAIAAgACAAIAAgACAAIAAgACAAIAAgACAAIAAgACAAIAAgACAAIABPAFIAKAAgAEkAUwBFAFIAUgBPAFIAKAAgAFQAZQByAG0AKQApACwAXABuACAAIAAgACAAIAAgACAAIAAgACAAIAAgACAAIAAgACAAIAAgACAAIAAgACAAIAAgACAAIAAgACAATwBSACgAIABJAFMARQBSAFIATwBSACgAIABTAHQAYQByAHQARABhAHQAZQApACkALABcAG4AIAAgACAAIAAgACAAIAAgACAAIAAgACAAIAAgACAAIAAgACAAIAAgACAAIAAgACAAIAAgACAAIABPAFIAKAAgAEkAUwBFAFIAUgBPAFIAKAAgAFQAaQBtAGUAbABpAG4AZQ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FAAcgBpAG4AYwBpAHAAYQBsACkALAAgAEkAUwBFAFIAUgBPAFIAKAAgAFAAcgBpAG4AYwBpAHAAYQBsACkAKQAsACAAXABuACAAIAAgACAAIAAgACAAIAAgACAAIAAgACAAIAAgACAAIAAgACAAIAAgACAAIAAgACAAIAAgACAARgBBAEwAUwBFACwAIABcAG4AIAAgACAAIAAgACAAIAAgACAAIAAgACAAIAAgACAAIAAgACAAIAAgACAAIAAgACAAIAAgACAAIABPAFIAKAAgAEkARgBFAFIAUgBPAFIAKAAgAFYAQQBMAFUARQAoAFAAcgBpAG4AYwBpAHAAYQBsACkAIAA8ACAAMQAsACAAVABSAFUARQApACkAKQAsAFwAbgAgACAAIAAgACAAIAAgACAARABWAEEAcgBnADIALAAgACAAIAAgACAAIAAgACAAIABJAEYAKAAgAE8AUgAoACAASQBTAE8ATQBJAFQAVABFAEQAKAAgAEEAUABSACkALAAgAEkAUwBFAFIAUgBPAFIAKAAgAEEAUABSACkAKQAsACAAXABuACAAIAAgACAAIAAgACAAIAAgACAAIAAgACAAIAAgACAAIAAgACAAIAAgACAAIAAgACAAIAAgACAARgBBAEwAUwBFACwAIABcAG4AIAAgACAAIAAgACAAIAAgACAAIAAgACAAIAAgACAAIAAgACAAIAAgACAAIAAgACAAIAAgACAAIABPAFIAKAAgAEkARgBFAFIAUgBPAFIAKAAgAFYAQQBMAFUARQAoAEEAUABSACkAIAA8AD0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gACAAIAAgAEQAVgBBAHIAZwA3ACwAIAAgACAAIAAgACAAIAAgACAASQBGACgAIABPAFIAKAAgAEkAUwBPAE0ASQBUAFQARQBEACgAIABUAGkAbQBlAGwAaQBuAGUAKQAsACAASQBTAEUAUgBSAE8AUgAoACAAVABpAG0AZQBsAGkAbgBlACkALAAgAEQAVgBBAHIAZwA1ACwAIABEAFYAQQByAGcANgApACwAIABcAG4AIAAgACAAIAAgACAAIAAgACAAIAAgACAAIAAgACAAIAAgACAAIAAgACAAIAAgACAAIAAgACAAIABGAEEATABTAEUALAAgAFwAbgAgACAAIAAgACAAIAAgACAAIAAgACAAIAAgACAAIAAgACAAIAAgACAAIAAgACAAIAAgACAAIAAgACgASQBOAEQARQBYACgAVABpAG0AZQBsAGkAbgBlACwAIAAyACkAIAAtACAASQBOAEQARQBYACgAVABpAG0AZQBsAGkAbgBlACwAIAAxACkAKQAgADwAIAAzADAAIAApACwAXABuACAAIAAgACAAIAAgACAAIABEAFYARQByAHIAbwByAHMALAAgACAAIAAgACAAIAAgAFYAUwBUAEEAQwBLACgAIABEAFYAQQByAGcAMQAsACAARABWAEEAcgBnADIALAAgAEQAVgBBAHIAZwAzACwAIABEAFYAQQByAGcANAAsACAARABWAEEAcgBnADUALAAgAEQAVgBBAHIAZwA2ACwAIABEAFYAQQByAGcANw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XAAiAEEAbQBvAHUAbgB0ACAAYwBvAG4AdABhAGkAbgBzACAAZQByAHIAbwByAHMAIABpAG4AIABjAGUAbABsAHMALgAgAFIAZQBzAG8AbAB2AGUAIABlAHIAcgBvAHIAcwAgAGYAaQByAHMAdAAuAFwAIgA7AFwAbgAgACAAIAAgACAAIAAgACAAIAAgACAAIAAgACAAIAAgACAAIAAgACAAIAAgACAAIABcACIAQQBQAFIAIABjAG8AbgB0AGEAaQBuAHMAIABlAHIAcgBvAHIAcwAgAGkAbgAgAGMAZQBsAGwAcwAuACAAUgBlAHMAbwBsAHYAZQAgAGUAcgByAG8AcgBzACAAZgBpAHIAcwB0AC4AXAAiADsAXABuACAAIAAgACAAIAAgACAAIAAgACAAIAAgACAAIAAgACAAIAAgACAAIAAgACAAIAAgAFwAIgBUAGUAcgBtACAAYwBvAG4AdABhAGkAbgBzACAAZQByAHIAbwByAHMAIABpAG4AIABjAGUAbABsAHMALgAgAFIAZQBzAG8AbAB2AGUAIABlAHIAcgBvAHIAcwAgAGYAaQByAHMAdAAuAFwAIgA7AFwAbgAgACAAIAAgACAAIAAgACAAIAAgACAAIAAgACAAIAAgACAAIAAgACAAIAAgACAAIABcACIAUwB0AGEAcgB0AEQAYQB0AGUAIABjAG8AbgB0AGEAaQBuAHMAIABlAHIAcgBvAHIAcwAgAGkAbgAgAGMAZQBsAGwAcwAuACAAUgBlAHMAbwBsAHYAZQAgAGUAcgByAG8AcgBzACAAZgBpAHIAcwB0AC4AXAAiADsAXABu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XAAiAEEAbQBvAHUAbgB0ACAAbQB1AHMAdAAgAGIAZQAgAGcAcgBlAGEAdABlAHIAIAB0AGgAYQBuACAAMABcACIAOwBcAG4AIAAgACAAIAAgACAAIAAgACAAIAAgACAAIAAgACAAIAAgACAAIAAgACAAIAAgACAAXAAiAEEAUABSACAAbQB1AHMAdAAgAGIAZQAgAGEAIABwAGUAcgBjAGUAbgB0AGEAZwBlACAAZwByAGUAYQB0AGUAcgAgAHQAaABhAG4AIAAw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AAdwBpAHQAaAAgAGUAdgBlAHIAeQAgAHAAZQByAGkAbwBkACAAcwBwAGEAbgBuAGkAbgBnACAAYQAgAG0AbwBuAHQAaAAsACAAcQB1AGEAcgB0AGUAcgAgAG8AcgAgAHkAZQBhAHIALgBcACIAOwBcAG4AIAAgACAAIAAgACAAIAAgACAAIAAgACAAIAAgACAAIAAgACAAIAAgACAAIAAgACAAXAAiAFQAaQBtAGUAbABpAG4AZQAgAG0AdQBzAHQAIABhACAAcgBvAHcAIABvAGYAIABwAGUAcgBpAG8AZAAgAHMAdABhAHIAdAAgAGQAYQB0AGUAcwAgAHcAaQB0AGgAIABtAG8AcgBlACAAdABoAGEAbgAgADEAIABlAG4AdAByAHkALgBcACIAOwBcAG4AIAAgACAAIAAgACAAIAAgACAAIAAgACAAIAAgACAAIAAgACAAIAAgACAAIAAgACAAXAAiAFQAaQBtAGUAbABpAG4AZQAgAG0AdQBzAHQAIABhACAAcgBvAHcAIABvAGYAIABwAGUAcgBpAG8AZAAgAHMAdABhAHIAdAAgAGQAYQB0AGUAcwAgAHMAcABhAG4AbgBpAG4AZwAgAG4AbwAgAGwAZQBzAHMAIAB0AGgAYQBuACAAYQAgAG0AbwBuAHQAa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QAZQBwAHIAZQBjAGkAYQB0AGUAuwMuACoALwBcAG4AQwBvAHIAawBzAGMAcgBlAHcAuwNEAFYA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AgACAAIAAgAFsARABpAGEAZwBuAG8AcwB0AGkAYwBz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EAGkAYQBnAG4AbwBzAHQAaQBjAHMAIAAqACAARQByAHIAbwByAHMASQBuAEEAcgBnAHMALAAgAEQAaQBhAGcAbgBvAHMAdABpAGMAcwAgACoAIABEAFYARQByAHIAbwByAHMAKQAsACAAXABuACAAIAAgACAAIAAgACAAIABFAHIAcgBNAHMAZwBzACwAIAAgACAAIAAgACAAIAAgAHsAXAAiAE8AcABlAG4AaQBuAGcAIABjAG8AbgB0AGEAaQBuAHMAIABlAHIAcgBvAHIAcwAgAGkAbgAgAGMAZQBsAGwAcwAuACAAUgBlAHMAbwBsAHYAZQAgAGUAcgByAG8AcgBzACAAZgBpAHIAcwB0AC4AXAAiADsAXABuACAAIAAgACAAIAAgACAAIAAgACAAIAAgACAAIAAgACAAIAAgACAAIAAgACAAIAAgACAAXAAiAEYAbABvAHcAMQAgAGMAbwBuAHQAYQBpAG4AcwAgAGUAcgByAG8AcgBzACAAaQBuACAAYwBlAGwAbABzAC4AIABSAGUAcwBvAGwAdgBlACAAZQByAHIAbwByAHMAIABmAGkAcgBzAHQALgBcACIAOwBcAG4AIAAgACAAIAAgACAAIAAgACAAIAAgACAAIAAgACAAIAAgACAAIAAgACAAIAAgACAAIABcACIARgBsAG8AdwAyACAAYwBvAG4AdABhAGkAbgBzACAAZQByAHIAbwByAHMAIABpAG4AIABjAGUAbABsAHMALgAgAFIAZQBzAG8AbAB2AGUAIABlAHIAcgBvAHIAcwAgAGYAaQByAHMAdAAuAFwAIgA7AFwAbgAgACAAIAAgACAAIAAgACAAIAAgACAAIAAgACAAIAAgACAAIAAgACAAIAAgACAAIAAgAFwAIgBGAGwAbwB3ADMAIABjAG8AbgB0AGEAaQBuAHMAIABlAHIAcgBvAHIAcwAgAGkAbgAgAGMAZQBsAGwAcwAuACAAUgBlAHMAbwBsAHYAZQAgAGUAcgByAG8AcgBzACAAZgBpAHIAcwB0AC4AXAAiADsAXABuACAAIAAgACAAIAAgACAAIAAgACAAIAAgACAAIAAgACAAIAAgACAAIAAgACAAIAAgACAAXAAiAEYAbABvAHcANAAgAGMAbwBuAHQAYQBpAG4AcwAgAGUAcgByAG8AcgBzACAAaQBuACAAYwBlAGwAbABzAC4AIABSAGUAcwBvAGwAdgBlACAAZQByAHIAbwByAHMAIABmAGkAcgBzAHQALgBcACIAOwBcAG4AIAAgACAAIAAgACAAIAAgACAAIAAgACAAIAAgACAAIAAgACAAIAAgACAAIAAgACAAIABcAG4AIAAgACAAIAAgACAAIAAgACAAIAAgACAAIAAgACAAIAAgACAAIAAgACAAIAAgACAAIABcACIAUwBlAHQAIABPAHAAZQBuAGkAbgBnACAAbQB1AHMAdAAgAHQAbwAgAGMAbwBuAHQAYQBpAG4AIABvAG4AbAB5ACAAbgB1AG0AZQByAGkAYwAgAHYAYQBsAHUAZQBzAC4AXAAiADsAXABuACAAIAAgACAAIAAgACAAIAAgACAAIAAgACAAIAAgACAAIAAgACAAIAAgACAAIAAgACAAXAAiAFMAZQB0ACAARgBsAG8AdwAxACAAdABvACAAYwBvAG4AdABhAGkAbgAgAG8AbgBsAHkAIABuAHUAbQBlAHIAaQBjACAAdgBhAGwAdQBlAHMALgBcACIAOwBcAG4AIAAgACAAIAAgACAAIAAgACAAIAAgACAAIAAgACAAIAAgACAAIAAgACAAIAAgACAAIABcACIAUwBlAHQAIABGAGwAbwB3ADIAIAB0AG8AIABjAG8AbgB0AGEAaQBuACAAbwBuAGwAeQAgAG4AdQBtAGUAcgBpAGMAIAB2AGEAbAB1AGUAcwAuAFwAIgA7AFwAbgAgACAAIAAgACAAIAAgACAAIAAgACAAIAAgACAAIAAgACAAIAAgACAAIAAgACAAIAAgAFwAIgBTAGUAdAAgAEYAbABvAHcAMwAgAHQAbwAgAGMAbwBuAHQAYQBpAG4AIABvAG4AbAB5ACAAbgB1AG0AZQByAGkAYwAgAHYAYQBsAHUAZQBzAC4AXAAiADsAXABuACAAIAAgACAAIAAgACAAIAAgACAAIAAgACAAIAAgACAAIAAgACAAIAAgACAAIAAgACAAXAAiAFMAZQB0ACAARgBsAG8AdwA0ACAAdABvACAAYwBvAG4AdABhAGkAbgAgAG8AbgBsAHkAIABuAHUAbQBlAHIAaQBjACAAdgBhAGwAdQBlAHMALg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EAGUAcAByAGUAYwBpAGEAdABlALsDRABWAFwAbgAgACAAIAAgAEQARQBTAEMAUgBJAFAAVABJAE8ATgA6ACoALwAvACoAKgBQAHIAbwB2AGkAZABlAHMAIABlAHgAdABlAG4AZABlAGQAIABkAGEAdABhACAAdgBhAGwAaQBkAGEAdABpAG8AbgAgAG8AZgAgAGEAcgBnAHUAbQBlAG4AdABzACAAZgBvAHIAIABEAGUAcAByAGUAYwBpAGEAdABlALsDKgAvAFwAbgBEAGUAcAByAGUAYwBpAGEAdABlALsDRABWACAAPQAgAEwAQQBNAEIARABBACgAXABuAC8ALwAgACAAUABhAHIAYQBtAGUAdABlAHIAIABEAGUAYwBsAGEAcgBhAHQAaQBvAG4AcwBcAG4AIAAgACAAIABbAEkAbgBpAHQAaQBhAGwAVgBhAGwAdQBlAHMAXQAsAFwAbgAgACAAIAAgAFsASQBuAFMAZQByAHYAaQBjAGUARABhAHQAZQBzAF0ALAAgAFwAbgAgACAAIAAgAFsATABpAGYAZQBJAG4AWQBlAGEAcgBzAF0ALAAgAFwAbgAgACAAIAAgAFsAVABpAG0AZQBsAGkAbgBlAF0ALABcAG4AIAAgACAAIABbAFMAYQBsAHYAYQBnAGUAVgBhAGwAdQBlAHMAXQAsAFwAbgAgACAAIAAgAFsARABpAHMAcABvAHMAYQBsAEQAYQB0AGUAcwBdACwAXABuACAAIAAgACAAWwBEAGkAcwBwAG8AcwBhAGwAQwBvAHMAdABzAF0ALABcAG4AIAAgACAAIABbAE0AZQB0AGgAbwBkAHMAXQAsACAAXABuACAAIAAgACAAWwBGAGEAYwB0AG8AcgBzAF0ALAAg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SQBuAGkAdABpAGEAbABWAGEAbAB1AGUAcwApACkALABcAG4AIAAgACAAIAAgACAAIAAgACAAIAAgACAAIAAgACAAIAAgACAAIAAgACAAIAAgACAAIAAgACAAIABPAFIAKAAgAEkAUwBFAFIAUgBPAFIAKAAgAEkAbgBTAGUAcgB2AGkAYwBlAEQAYQB0AGUAcwApACkALABcAG4AIAAgACAAIAAgACAAIAAgACAAIAAgACAAIAAgACAAIAAgACAAIAAgACAAIAAgACAAIAAgACAAIABPAFIAKAAgAEkAUwBFAFIAUgBPAFIAKAAgAEwAaQBmAGUASQBuAFkAZQBhAHIAcwApACkALABcAG4AIAAgACAAIAAgACAAIAAgACAAIAAgACAAIAAgACAAIAAgACAAIAAgACAAIAAgACAAIAAgACAAIABPAFIAKAAgAEkAUwBFAFIAUgBPAFIAKAAgAFQAaQBtAGUAbABpAG4AZQApACkALABcAG4AIAAgACAAIAAgACAAIAAgACAAIAAgACAAIAAgACAAIAAgACAAIAAgACAAIAAgACAAIAAgACAAIABPAFIAKAAgAEkAUwBFAFIAUgBPAFIAKAAgAFMAYQBsAHYAYQBnAGUAVgBhAGwAdQBlAHMAKQApACwAXABuACAAIAAgACAAIAAgACAAIAAgACAAIAAgACAAIAAgACAAIAAgACAAIAAgACAAIAAgACAAIAAgACAATwBSACgAIABJAFMARQBSAFIATwBSACgAIABEAGkAcwBwAG8AcwBhAGwARABhAHQAZQBzACkAKQAsAFwAbgAgACAAIAAgACAAIAAgACAAIAAgACAAIAAgACAAIAAgACAAIAAgACAAIAAgACAAIAAgACAAIAAgAE8AUgAoACAASQBTAEUAUgBSAE8AUgAoACAARABpAHMAcABvAHMAYQBsAEMAbwBzAHQAcwApACkALABcAG4AIAAgACAAIAAgACAAIAAgACAAIAAgACAAIAAgACAAIAAgACAAIAAgACAAIAAgACAAIAAgACAAIABPAFIAKAAgAEkAUwBFAFIAUgBPAFIAKAAgAE0AZQB0AGgAbwBkAHMAKQApACwAXABuACAAIAAgACAAIAAgACAAIAAgACAAIAAgACAAIAAgACAAIAAgACAAIAAgACAAIAAgACAAIAAgACAATwBSACgAIABJAFMARQBSAFIATwBSACgAIABGAGEAYwB0AG8AcgBz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RQBSAFIATwBSACgASQBuAGkAdABpAGEAbABWAGEAbAB1AGUAcwApACkALAAgAFwAbgAgACAAIAAgACAAIAAgACAAIAAgACAAIAAgACAAIAAgACAAIAAgACAAIAAgACAAIAAgACAAIAAgAEYAQQBMAFMARQAsACAAXABuACAAIAAgACAAIAAgACAAIAAgACAAIAAgACAAIAAgACAAIAAgACAAIAAgACAAIAAgACAAIAAgACAATwBSACgAIABJAEYARQBSAFIATwBSACgAIABWAEEATABVAEUAKABJAG4AaQB0AGkAYQBsAFYAYQBsAHUAZQBzACkAIAA8ACAAMQAsACAAVABSAFUARQApACkAKQAsAFwAbgAgACAAIAAgACAAIAAgACAARABWAEEAcgBnADIALAAgACAAIAAgACAAIAAgACAAIABJAEYAKAAgAE8AUgAoACAASQBTAEUAUgBSAE8AUgAoACAASQBuAFMAZQByAHYAaQBjAGUARABhAHQAZQBzACkALAAgAEkAUwBFAFIAUgBPAFIAKAAgAFQAaQBtAGUAbABpAG4AZQApACkALAAgAFwAbgAgACAAIAAgACAAIAAgACAAIAAgACAAIAAgACAAIAAgACAAIAAgACAAIAAgACAAIAAgACAAIAAgAEYAQQBMAFMARQAsACAAXABuACAAIAAgACAAIAAgACAAIAAgACAAIAAgACAAIAAgACAAIAAgACAAIAAgACAAIAAgACAAIAAgACAATwBSACgAIABJAEYARQBSAFIATwBSACgAIABWAEEATABVAEUAKABJAG4AUwBlAHIAdgBpAGMAZQBEAGEAdABlAHMAKQAgADwAIABNAEkATgAoACAAVABpAG0AZQBsAGkAbgBlACkALAAgAFQAUgBVAEUAKQApACkALA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wBSACgAIABJAEYARQBSAFIATwBSACgAIABWAEEATABVAEUAKABMAGkAZgBlAEkAbgBZAGUAYQByAHMAKQAgADwAIAAxACwAIABUAFIAVQBFACkAKQApACwAXABuACAAIAAgACAAIAAgACAAIABEAFYAQQByAGcANAAsACAAIAAgACAAIAAgACAAIAAgAEkARgAoACAATwBSACgAIABJAFMARQBSAFIATwBSACgAIABUAGkAbQBlAGwAaQBuAGUAKQApACwAIABcAG4AIAAgACAAIAAgACAAIAAgACAAIAAgACAAIAAgACAAIAAgACAAIAAgACAAIAAgACAAIAAgACAAIABGAEEATABTAEUALAAgAFwAbgAgACAAIAAgACAAIAAgACAAIAAgACAAIAAgACAAIAAgACAAIAAgACAAIAAgACAAIAAgACAAIAAgAEMATwBVAE4AVABBACgAIABUAGkAbQBlAGwAaQBuAGUAKQAgADwAIAAyACkALA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IAOAAg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gACAAIAAgAE8AUgAoAEkAUwBFAFIAUgBPAFIAKAAgAFMARQBBAFIAQwBIACgAIABNAGUAdABoAG8AZABzACwAIABcACIAUwBMAE4ALABTAFkARAAsAEQAQgAsAEQARABCACwAVgBEAEIALABEAFYALABQAEMAXAAi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AAIAAgACAATwBSACgASQBGAEUAUgBSAE8AUgAoACAAVgBBAEwAVQBFACgAIABGAGEAYwB0AG8AcgBzACkAIAA8ACAAMAAsACAAVABSAFUARQAgACkAKQApACwAXABuACAAIAAgACAAIAAgACAAIABEAFYARQByAHIAbwByAHMALAAgACAAIAAgACAAIAAgAFYAUwBUAEEAQwBLACgAIABEAFYAQQByAGcAMQAsACAARABWAEEAcgBnADIALAAgAEQAVgBBAHIAZwAzACwAIABEAFYAQQByAGcANAAsACAARABWAEEAcgBnADQAYgAsACAARABWAEEAcgBnADUALAAgAEQAVgBBAHIAZwA2ACwAIABEAFYAQQByAGcANwAsACAARABWAEEAcgBnADgALAAgAEQAVgBBAHIAZwA5ACA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UAcgByAG8AcgBzAEkAbgBBAHIAZwBzACwAIABEAFYARQByAHIAbwByAHMAKQAsACAAXABuACAAIAAgACAAIAAgACAAIABFAHIAcgBNAHMAZwBzACwAIAAgACAAIAAgACAAIAAgAHsAXABuACAAIAAgACAAIAAgACAAIAAgACAAIAAgACAAIAAgACAAIAAgACAAIAAvAC8AIAAgAEUAcgByAG8AcgBzACAAaQBuACAAYQByAGcAdQBtAGUAbgB0AHMAXABuACAAIAAgACAAIAAgACAAIAAgACAAIAAgACAAIAAgACAAIAAgACAAIAAgACAAIAAgACAAXAAiAEkAbgBpAHQAaQBhAGwAVgBhAGwAdQBlAHMAIABjAG8AbgB0AGEAaQBuAHMAIABlAHIAcgBvAHIAcwAgAGkAbgAgAGMAZQBsAGwAcwAuACAAUgBlAHMAbwBsAHYAZQAgAGUAcgByAG8AcgBzACAAZgBpAHIAcwB0AC4AXAAiADsAXABuACAAIAAgACAAIAAgACAAIAAgACAAIAAgACAAIAAgACAAIAAgACAAIAAgACAAIAAgACAAXAAiAEkAbgBTAGUAcgB2AGkAYwBlAEQAYQB0AGUAcwAgAGMAbwBuAHQAYQBpAG4AcwAgAGUAcgByAG8AcgBzACAAaQBuACAAYwBlAGwAbABzAC4AIABSAGUAcwBvAGwAdgBlACAAZQByAHIAbwByAHMAIABmAGkAcgBzAHQALgBcACIAOwBcAG4AIAAgACAAIAAgACAAIAAgACAAIAAgACAAIAAgACAAIAAgACAAIAAgACAAIAAgACAAIABcACIATABpAGYAZQBJAG4AWQBlAGEAcgBzACAAYwBvAG4AdABhAGkAbgBzACAAZQByAHIAbwByAHMAIABpAG4AIABjAGUAbABsAHMALgAgAFIAZQBzAG8AbAB2AGUAIABlAHIAcgBvAHIAcwAgAGYAaQByAHMAdAAuAFwAIgA7AFwAbgAgACAAIAAgACAAIAAgACAAIAAgACAAIAAgACAAIAAgACAAIAAgACAAIAAgACAAIAAgAFwAIgBUAGkAbQBlAGwAaQBuAGUAIABjAG8AbgB0AGEAaQBuAHMAIABlAHIAcgBvAHIAcwAgAGkAbgAgAGMAZQBsAGwAcwAuACAAUgBlAHMAbwBsAHYAZQAgAGUAcgByAG8AcgBzACAAZgBpAHIAcwB0AC4AXAAiADsAXABuACAAIAAgACAAIAAgACAAIAAgACAAIAAgACAAIAAgACAAIAAgACAAIAAgACAAIAAgACAAXAAiAFMAYQBsAHYAYQBnAGUAVgBhAGwAdQBlAHMAIABjAG8AbgB0AGEAaQBuAHMAIABlAHIAcgBvAHIAcwAgAGkAbgAgAGMAZQBsAGwAcwAuACAAUgBlAHMAbwBsAHYAZQAgAGUAcgByAG8AcgBzACAAZgBpAHIAcwB0AC4AXAAiADsAXABuACAAIAAgACAAIAAgACAAIAAgACAAIAAgACAAIAAgACAAIAAgACAAIAAgACAAIAAgACAAXAAiAEQAaQBzAHAAbwBzAGEAbABEAGEAdABlAHMAIABjAG8AbgB0AGEAaQBuAHMAIABlAHIAcgBvAHIAcwAgAGkAbgAgAGMAZQBsAGwAcwAuACAAUgBlAHMAbwBsAHYAZQAgAGUAcgByAG8AcgBzACAAZgBpAHIAcwB0AC4AXAAiADsAXABuACAAIAAgACAAIAAgACAAIAAgACAAIAAgACAAIAAgACAAIAAgACAAIAAgACAAIAAgACAAXAAiAEQAaQBzAHAAbwBzAGEAbABDAG8AcwB0AHMAIABjAG8AbgB0AGEAaQBuAHMAIABlAHIAcgBvAHIAcwAgAGkAbgAgAGMAZQBsAGwAcwAuACAAUgBlAHMAbwBsAHYAZQAgAGUAcgByAG8AcgBzACAAZgBpAHIAcwB0AC4AXAAiADsAXABuACAAIAAgACAAIAAgACAAIAAgACAAIAAgACAAIAAgACAAIAAgACAAIAAgACAAIAAgACAAXAAiAE0AZQB0AGgAbwBkAHMAIABjAG8AbgB0AGEAaQBuAHMAIABlAHIAcgBvAHIAcwAgAGkAbgAgAGMAZQBsAGwAcwAuACAAUgBlAHMAbwBsAHYAZQAgAGUAcgByAG8AcgBzACAAZgBpAHIAcwB0AC4AXAAiADsAXABuACAAIAAgACAAIAAgACAAIAAgACAAIAAgACAAIAAgACAAIAAgACAAIAAgACAAIAAgACAAXAAiAEYAYQBjAHQAbwByAHMAIABjAG8AbgB0AGEAaQBuAHMAIABlAHIAcgBvAHIAcwAgAGkAbgAgAGMAZQBsAGwAcwAuACAAUgBlAHMAbwBsAHYAZQAgAGUAcgByAG8AcgBzACAAZgBpAHIAcwB0AC4AXAAiADsAXABuACAAIAAgACAAIAAgACAAIAAgACAAIAAgACAAIAAgACAAIAAgACAAIABcAG4AIAAgACAAIAAgACAAIAAgACAAIAAgACAAIAAgACAAIAAgACAAIAAgAC8ALwAgACAARABhAHQAYQAgAHYAYQBsAGkAZABhAHQAaQBvAG4AIABlAHIAcgBvAHIAcwBcAG4AIAAgACAAIAAgACAAIAAgACAAIAAgACAAIAAgACAAIAAgACAAIAAgACAAIAAgACAAIABcACIASQBuAGkAdABpAGEAbABWAGEAbAB1AGUAcwAgAG0AdQBzAHQAIABiAGUAIABhAG4AIABhAG0AbwB1AG4AdAAgAGcAcgBlAGEAdABlAHIAIAB0AGgAYQBuACAAMABcACIAOwBcAG4AIAAgACAAIAAgACAAIAAgACAAIAAgACAAIAAgACAAIAAgACAAIAAgACAAIAAgACAAIABcACIASQBuAFMAZQByAHYAaQBjAGUARABhAHQAZQBzACAAbQB1AHMAdAAgAGIAZQAgAHYAYQBsAGkAZAAgAGQAYQB0AGUAcwBcACIAOwBcAG4AIAAgACAAIAAgACAAIAAgACAAIAAgACAAIAAgACAAIAAgACAAIAAgACAAIAAgACAAIABcACIATABpAGYAZQBJAG4AWQBlAGEAcgBzACAAbQB1AHMAdAAgAGIAZQAgAGEAIABuAHUAbQBiAGUAcgAgAGcAcgBlAGEAdABlAHIAIAB0AGgAYQBuACAAMABcACIAOwBcAG4AIAAgACAAIAAgACAAIAAgACAAIAAgACAAIAAgACAAIAAgACAAIAAgACAAIAAgACAAIABcACIAVABpAG0AZQBsAGkAbgBlACAAbQB1AHMAdAAgAGIAZQAgAGEAIAByAG8AdwAgAG8AZgAgAHAAZQByAGkAbwBkACAAcwB0AGEAcgB0ACAAZABhAHQAZQBzACAAdwBpAHQAaAAgAGUAdgBlAHIAeQAgAHAAZQByAGkAbwBkACAAcwBwAGEAbgBuAGkAbgBnACAAbwBuAGUAIABtAG8AbgB0AGgALAAgAHEAdQBhAHIAdABlAHIAIABvAHIAIAB5AGUAYQByAC4AXAAiADsAXABuACAAIAAgACAAIAAgACAAIAAgACAAIAAgACAAIAAgACAAIAAgACAAIAAgACAAIAAgACAAXAAiAEUAYQBjAGgAIABwAGUAcgBpAG8AZAAgAGkAbgAgAHQAaABlACAAdABpAG0AZQBsAGkAbgBlACAAbQB1AHMAdAAgAHMAcABhAG4AIABvAG4AZQAgAG0AbwBuAHQAaAAsACAAcQB1AGEAcgB0AGUAcgAgAG8AcgAgAHkAZQBhAHIALgBcACIAOwBcAG4AIAAgACAAIAAgACAAIAAgACAAIAAgACAAIAAgACAAIAAgACAAIAAgACAAIAAgACAAIABcACIAUwBhAGwAdgBhAGcAZQBWAGEAbAB1AGUAcwAgAG0AdQBzAHQAIABiAGUAIABhAG4AIABhAG0AbwB1AG4AdAAgAG4AbwB0ACAAbABlAHMAcwAgAHQAaABhAG4AIAAwACAAbwByACAAbwBtAGkAdAB0AGUAZABcACIAOwBcAG4AIAAgACAAIAAgACAAIAAgACAAIAAgACAAIAAgACAAIAAgACAAIAAgACAAIAAgACAAIABcACIARABpAHMAcABvAHMAYQBsAEQAYQB0AGUAcwAgAG0AdQBzAHQAIABiAGUAIABhACAAZABhAHQAZQAgAGcAcgBlAGEAdABlAHIAIAB0AGgAYQBuACAASQBuAFMAZQByAHYAaQBjAGUARABhAHQAZQBzACAAbwByACAAbwBtAGkAdAB0AGUAZABcACIAOwBcAG4AIAAgACAAIAAgACAAIAAgACAAIAAgACAAIAAgACAAIAAgACAAIAAgACAAIAAgACAAIABcACIARABpAHMAcABvAHMAYQBsAEMAbwBzAHQAcwAgAG0AdQBzAHQAIABiAGUAIABhAG4AIABhAG0AbwB1AG4AdAAgAG4AbwB0ACAAbABlAHMAcwAgAHQAaABhAG4AIAAwACAAbwByACAAbwBtAGkAdAB0AGUAZABcACIAOwBcAG4AIAAgACAAIAAgACAAIAAgACAAIAAgACAAIAAgACAAIAAgACAAIAAgACAAIAAgACAAIABcACIATQBlAHQAaABvAGQAcwAgAG0AdQBzAHQAIABiAGUAIABvAG0AaQB0AHQAZQBkACAAbwByACAAbwBuAGUAIABvAGYAOgAgAFMATABOACwAIABTAFkARAAsACAARABCACwAIABEAEQAQgAsACAAVgBEAEIALAAgAEQAVgAsACAAbwByACAAUABDAC4AXAAiADsAXABuACAAIAAgACAAIAAgACAAIAAgACAAIAAgACAAIAAgACAAIAAgACAAIAAgACAAIAAgACAAXAAiAEYAYQBjAHQAbwByAHMAIABtAHUAcwB0ACAAYgBlACAAYQAgAHYAYQBsAHUAZQAgAGcAcgBlAGEAdABlAHIAIAB0AGgAYQBuACAAMABcACIAfQAsAFwAbgAgACAAIAAgACAAIAAgACAATQBlAHMAcwBhAGcAZQBzACwAIAAgACAAIAAgACAAIABGAEkATABUAEUAUgAoAEUAcgByAE0AcwBnAHMALAAgAEUAcgByAG8AcgBzADIAUwBoAG8AdwAsACAAXAAiAFwAIgApACwAIAAgACAAIAAgACAAIAAgAFwAbgBcAG4AIAAgACAAIAAvAC8AIAAgAEgAYQBuAGQAbABlACAARQByAHIAbwByAFwAbgAgACAAIAAgACAAIAAgACAAUgBlAHQAdQByAG4ALAAgACAAIAAgACAAIAAgACAAIABJAEYAKAAgAE8AUgAoACAARQByAHIAbwByAHMAMgBTAGgAbwB3ACkALAAgADIALAAgAEkARgAoACAAQQBuAHkARQByAHIAbwByAHMAPwAsACAAMwAsACAAMQApACkALAAgACAAIAAgACAAIAAgACAAXABuACAAIAAgACAALwAvACAAIABSAGUAdAB1AHIAbgAgAFIAZQBzAHUAbAB0AFwAbgAgACAAIAAgACAAIAAgACAAQwBIAE8ATwBTAEUAKABSAGUAdAB1AHIAbgAsACAAVABSAFUARQAsACAATQBlAHMAcwBhAGcAZQBzACwAIAAjAFYAQQBMAFUARQAhACkAXABuACAAIAAgACAAKQAgACAAIAAgAFwAbgApADsAXABuAFwAbgBcAG4AXABuAC8ALwAgACAAUwB1AGIAUgBvAHUAdABpAG4AZQBzAFwAbgBcAG4AXABuAC8AKgAgACAARgBVAE4AQwBUAEkATwBOACAATgBBAE0ARQA6ACAAIABUAGkAbQBlAGwAaQBuAGUATwBmAGYAcwBlAHQAuwNcAG4AIAAgACAAIABEAEUAUwBDAFIASQBQAFQASQBPAE4AOgAqAC8ALwAqACoARABlAHQAZQByAG0AaQBuAGUAcwAgAGgAbwB3ACAAbQBhAG4AeQAgAHAAZQByAGkAbwBkAHMAIABvAG4AZQAgAGEAcgByAGEAeQAgAGkAcwAgAG8AZgBmAHMAZQB0ACAAZgByAG8AbQAgAHQAaABlACAAdABpAG0AZQBsAGkAbgBlACoALwBcAG4ALwAqACAAIABEAEkAUwBDAFUAUwBTAEkATwBOADoAIAAgACAAIAAgAFQAaABlACAAcABvAHMAcwBpAGIAaQBsAGkAdAB5ACAAZQB4AGkAcwB0AHMAIAByAGUAcQB1AGkAcgBpAG4AZwAgAGMAYQBsAGMAdQBsAGEAdABpAG8AbgBzACAAYgBlAGYAbwByAGUAIABhACAAbQBvAGQAZQBsACcAcwAgAHQAaQBtAGUAbABpAG4AZQAuACAAQQBuACAAZQB4AGEAbQBwAGwAZQAgAGkAcwBcAG4AIAAgACAAIAAgACAAIAAgACAAIAAgACAAIAAgACAAIAAgACAAIAAgAGQAZQBwAHIAZQBjAGkAYQB0AGkAbwBuACAAbwBmACAAYQBzAHMAZQB0AHMAIABpAG4AIABhAG4AIABlAHgAaQBzAHQAaQBuAGcAIABjAG8AbQBwAGEAbgB5ACAAdwBhAG4AdABpAG4AZwAgAHQAbwAgAGYAbwByAGUAYwBhAHMAdAAgAHMAbwBtAGUAIABhAGMAdABpAHYAaQB0AHkALgAgAFwAbgAgACAAIAAgACAAIAAgACAAIAAgACAAIAAgACAAIAAgACAAIAAgACAASQBuACAAcwB1AGMAaAAgAGMAYQBzAGUAcwAsACAAaQB0ACAAYwBhAG4AIABiAGUAIABhAGQAdgBhAG4AdABhAGcAZQBvAHUAcwAgAHQAbwAgAHAAZQByAGYAbwByAG0AIAB0AGgAZQAgAGMAYQBsAGMAdQBsAGEAdABpAG8AbgBzACAAdwBpAHQAaABpAG4AIAB0AGgAZQBpAHIAIABvAHcAbgAgAHQAaQBtAGUAbABpAG4AZQBcAG4AIAAgACAAIAAgACAAIAAgACAAIAAgACAAIAAgACAAIAAgACAAIAAgAGEAbgBkACAAdABoAGUAbgAgAHAAbABhAGMAZQAgAHQAaABlACAAcgBlAHMAdQBsAHQAcwAgAHAAcgBvAHAAZQByAGwAeQAgAHcAaQB0AGgAaQBuACAAdABoAGUAIABtAG8AZABlAGwAJwBzACAAdABpAG0AZQBsAGkAbgBlAC4AIABcAG4AIAAgACAAIAAgACAAIAAgACAAIAAgACAAIAAgACAAIAAgACAAIAAgAFQAaABpAHMAIAByAG8AdQB0AGkAbgBlACAAZABlAHQAZQByAG0AaQBuAGUAIAB3AGgAZQByAGUAIABzAHUAYwBoACAAYwBhAGwAYwB1AGwAYQB0AGkAbwBuACAAcgBlAHMAdQBsAHQAcwAgAGYAaQB0ACAAdwBpAHQAaABpAG4AIAB0AGgAZQAgAG0AbwBkAGUAbAAnAHMAIAB0AGkAbQBlAGwAaQBuAGUAIABhAG4AZAAgAFwAbgAgACAAIAAgACAAIAAgACAAIAAgACAAIAAgACAAIAAgACAAIAAgACAAYwByAG8AcABzACAAdABoAG8AcwBlACAAcgBlAHMAdQBsAHQAcwAgAHQAaABhAHQAIABkAG8AIABuAG8AdAAgAGIAZQBsAG8AbgBnAC4AIAAqAC8AXABuAFQAaQBtAGUAbABpAG4AZQBPAGYAZgBzAGUAdAC7AyAAPQAgAEwAQQBNAEIARABBACgAXABuAC8ALwAgACAAUABhAHIAYQBtAGUAdABlAHIAIABEAGUAYwBsAGEAcgBhAHQAaQBvAG4AcwBcAG4AIAAgACAAIABbAEQAYQB0AGUAXQAsACAAIAAgACAAXABuACAAIAAgACAAWwBUAGkAbQBlAGwAaQBuAGUAXQAs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PAGYAZgBzAGUAdAC7AygAQQByAHIAYQB5AFMAdABhAHIAdAAsACAAVABpAG0AZQBsAGkAbgBlACkAtgBcACIAIAAmAFwAbgAgACAAIAAgACAAIAAgACAAIAAgACAAIAAgACAAIAAgACAAIAAgACAAIAAgACAAIAAgACAAIAAgAFwAIgBEAEUAUwBDAFIASQBQAFQASQBPAE4AOgAgACAAIACSIUQAZQB0AGUAcgBtAGkAbgBlAHMAIABpAG4AIAB3AGgAaQBjAGgAIABwAGUAcgBpAG8AZAAsACAAcgBlAGwAYQB0AGkAdgBlACAAdABvACAAdABoAGUAIAB0AGkAbQBlAGwAaQBuAGUAJwBzACAAcwB0AGEAcgB0ACAAYQBuAGQAIABpAG4AdABlAHIAdgBhAGwALAC2AFwAIgAgACYAXABuACAAIAAgACAAIAAgACAAIAAgACAAIAAgACAAIAAgACAAIAAgACAAIAAgACAAIAAgACAAIAAgACAAIAAgACAAIAAgACAAIAAgACAAIAAgACAAIAAgACAAXAAiAJIhYQAgAGQAYQB0AGUAIABmAGEAbABsAHMAIAB3AGkAdABoAGkAbgAuALYAXAAiACAAJgAg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EAGEAdABlACAAIAAgACAAIAAgACAAIAAgACAAIACSISgAUgBlAHEAdQBpAHIAZQBkACkAIABBACAAcwB0AGEAcgB0AGkAbgBnACAAZABhAHQAZQC2AFwAIgAgACYAIABcAG4AIAAgACAAIAAgACAAIAAgACAAIAAgACAAIAAgACAAIAAgACAAIAAgACAAIAAgACAAIAAgACAAIABcACIAVABpAG0AZQBsAGkAbgBlACAAIAAgACAAIAAgACAAkiEoAFIAZQBxAHUAaQByAGUAZAApACAAQQAgAG0AbwBkAGUAbAAnAHMAIAB0AGkAbQBsAGkAbgBlACAAKABSAG8AdwAgAG8AZgAgAHAAZQByAGkAbwBkACAAcwB0AGEAcgB0ACAAZABhAHQAZQBzACk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CAAIAAgACAAIAAgACAAIAAgACAAIAAgACAAIAAgAFwAIgCSIT0AbgBhAGIAbABhAC4AZgAuAFQAaQBtAGUAbABpAG4AZQBPAGYAZgBzAGUAdAC7AygAXAAiAFwAIgAxADUALwAyAC8AMgAwADIANABcACIAXAAiACwAIABFAEQAQQBUAEUAKABcACIAXAAiADEALwAxAC8AMgAwADIANQBcACIAXAAiACwAIABTAEUAUQBVAEUATgBDAEUAKAAgACwAIAAxADIALAAgADA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RABhAHQAZQApACwAXABuACAAIAAgACAAIAAgACAAIAAgACAAIAAgACAAIAAgACAAIAAgACAAIAAgACAAIAAgACAAIAAgACAASQBTAE8ATQBJAFQAVABFAEQAKAAgAFQAaQBtAGUAbABpAG4AZQApAFwAbgAgACAAIAAgACAAIAAgACAAIAAgACAAIAAgACAAIAAgACAAIAAgACAAIAAgACAAIAApACwAXABuACAAIAAgACAALwAvACAAIABDAGgAZQBjAGsAIABpAG4AcAB1AHQAcwAgAC0AIABJAGYAIABkAGEAdABlACAAaQBzACAAaQBuACAAdABlAHgAdAAsACAAYwBvAG4AdgBlAHIAdAAgAHQAbwAgAHYAYQBsAHUAZQBcAG4AIAAgACAAIAAgACAAIAAgAEQAYQB0AGUALAAgACAAIAAgACAAIAAgACAAIAAgACAAQABJAEYAKAAgAEkAUwBUAEUAWABUACgAIABEAGEAdABlACkALAAgAEQAQQBUAEUAVgBBAEwAVQBFACgAIABEAGEAdABlACkALAAgAEQAYQB0AGUAKQAsAFwAbgAgACAAIAAgAC8AKgAgACAAUAByAGUAbQBpAHMAZQA6ACAAIAAgACAAIAAgACAAIABDAHIAZQBhAHQAZQAgAGEAIABzAGgAbwByAHQAIAB0AGkAbQBlAGwAaQBuAGUAIAB0AGgAYQB0ACAAaQBzACAAaQBuACAAcwB5AG4AYwAgAHcAaQB0AGgAIAB0AGgAZQAgAG0AbwBkAGUAbAAnAHMAIAB0AGkAbQBlAGwAaQBuAGUAIAB0AGgAYQB0ACAAcwBwAGEAbgBzACAAXABuACAAIAAgACAAIAAgACAAIAAgACAAIAAgACAAIAAgACAAIAAgACAAIAAgACAAIAAgAGYAcgBvAG0AIAB0AGgAZQAgAHQAaQBtAGUAbABpAG4AZQAgAHMAdABhAHIAdAAgAHQAbwAgAHQAaABlACAAZABhAHQAZQAgAGkAbgAgAHEAdQBlAHMAdABpAG8AbgAgAHAAbAB1AHMAIABvAG4AZQAgAHAAZQByAGkAbwBkACAAbwBuACAAZQBpAHQAaABlAHIAIABzAGkAZABlAC4AXABuACAAIAAgACAAIAAgACAAIAAgACAAIAAgACAAIAAgACAAIAAgACAAIAAgACAAIAAgAE4AbwAgAHcAZQAgAGMAYQBuACAAdQBzAGUAIABNAEEAVABDAEgAKAApACAAdABvACAAZgBpAG4AZAAgAHcAaABpAGMAaAAgAHQAaQBtAGUAbABpAG4AZQAgAHAAZQByAGkAbwBkACAAIAAgACAAKgAvAFwAbgAgACAAIAAgAC8ALwAgACAARABlAHQAZQByAG0AaQBuAGUAIAB0AGkAbQBlAGwAaQBuAGUAJwBzACAAaQBuAHQAZQByAHYAYQBsACAAKABsAGUAbgBnAHQAaAAgAG8AZgAgAHAAZQByAGkAbwBkAHMAKQBcAG4AIAAgACAAIAAgACAAIAAgAFAAZQByAGkAbwBkADEALAAgACAAIAAgACAAIAAgACAASQBOAEQARQBYACgAIABUAGkAbQBlAGwAaQBuAGUALAAgADEAKQAsAFwAbgAgACAAIAAgACAAIAAgACAAUABlAHIAaQBvAGQAMgAsACAAIAAgACAAIAAgACAAIABJAE4ARABFAFgAKAAgAFQAaQBtAGUAbABpAG4AZQAsACAAMgApACwAIABcAG4AIAAgACAAIAAgACAAIAAgAE0AcABQACwAIAAgACAAIAAgACAAIAAgACAAIAAgACAAUgBPAFUATgBEACgAIAAoAFAAZQByAGkAbwBkADIAIAAtACAAUABlAHIAaQBvAGQAMQApAC8AMwAwAC4ANQAsACAAMAApACwAIAAvAC8ATQBvAG4AdABoAHMAIABQAGUAcgAgAFAAZQByAGkAbwBk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SAGUAcwB1AGwAdAAsACAAIAAgACAAIAAgACAAIAAgAE0AQQBUAEMASAAoACAARABhAHQAZQAsACAAUwBlAGEAcgBjAGgAVABpAG0AZQBsAGkAbgBlACwAIAAxACkAIAAtACAASQBGACgAIABEAGkAcgBlAGMAdABpAG8AbgAgAD0AIAAxACwAIAAxACwAIABQAGUAcgBpAG8AZABEAGkAZgBmACAAKwAgADIAKQAsACAAIAAgACAAI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QAaQBtAGUAbABpAG4AZQBQAG8AcwBpAHQAaQBvAG4AuwNcAG4AIAAgACAAIABEAEUAUwBDAFIASQBQAFQASQBPAE4AOgAqAC8ALwAqACoAQwByAG8AcABzACAAYQBuACAAYQByAHIAYQB5ACAAYgBhAHMAZQBkACAAbwBuACAAYQAgAG0AbwBkAGUAbAAnAHMAIAB0AGkAbQBlAGwAaQBuAGUAKgAvAFwAbgBUAGkAbQBlAGwAaQBuAGUAUABvAHMAaQB0AGkAbwBuALsDIAA9ACAATABBAE0AQgBEAEEAKABcAG4AIAAgACAAIABbAEEAcgByAGEAeQBdACwAIAAgACAAIAAgACAAIAAgACAAIAAgACAAXABuACAAIAAgACAAWwBUAGkAbQBlAGwAaQBuAGUAXQAsACAAIAAgACAAIAAgACAAIAAgAFwAbgAgACAAIAAgAFsATwBmAGYAcwBlAHQAXQAsACAAIAAgACAAIAAgACAAIAAgACA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UAGkAbQBlAGwAaQBuAGUAUABvAHMAaQB0AGkAbwBuALsDKABBAHIAcgBhAHkALAAgAFQAaQBtAGUAbABpAG4AZQAsACAATwBmAGYAcwBlAHQAKQC2AFwAIgAgACYAXABuACAAIAAgACAAIAAgACAAIAAgACAAIAAgACAAIAAgACAAIAAgACAAIAAgACAAIAAgACAAIAAgACAAXAAiAEQARQBTAEMAUgBJAFAAVABJAE8ATgA6ACAAIAAgAJIhUABvAHMAaQB0AGkAbwBuACAAYQBuACAAYQByAHIAYQB5ACAAcgBlAGwAYQB0AGkAdgBlACAAdABvACAAdABoAGUAIABtAG8AZABlAGwAJwBzACAAdABpAG0AZQBsAGkAbgBlALYAXAAiACAAJgBcAG4AIAAgACAAIAAgACAAIAAgACAAIAAgACAAIAAgACAAIAAgACAAIAAgACAAIAAgACAAIAAgACAAIABcACIAVwBFAEIAUABBAEcARQA6ACAAIAAgACAAIAAgACAAkiFoAHQAdABwAHMAOgAvAC8AZwBpAHQAaAB1AGIALgBjAG8AbQAvAHIAeQBhAG4AZAB1AGcAdQBpAGQALwBOAGEAYgBsAGEAtgBcACIAIAAmACA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VABoAGUAIABhAHIAcgBhAHkAIAB0AG8AIABiAGUAIABwAG8AcwBpAHQAaQBvAG4AZQBkACAAcgBlAGwAYQB0AGkAdgBlACAAdABvACAAYQAgAG0AbwBkAGUAbAAnAHMAIAB0AGkAbQBlAGwAaQBuAGUAtgBcACIAIAAmACAAXABuACAAIAAgACAAIAAgACAAIAAgACAAIAAgACAAIAAgACAAIAAgACAAIAAgACAAIAAgACAAIAAgACAAXAAiAFQAaQBtAGUAbABpAG4AZQAgACAAIAAgACAAIAAgAJIhKABSAGUAcQB1AGkAcgBlAGQAKQAgAEEAIABtAG8AZABlAGwAJwBzACAAdABpAG0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IAAgACAAIAAgACAAIAAgACAAIAAgACAAIAAgACAAXAAiAJIhPQBuAGEAYgBsAGEALgBmAC4AVABpAG0AZQBsAGkAbgBlAFAAbwBzAGkAdABpAG8AbgC7AygAUwBFAFEAVQBFAE4AQwBFACgAMwAsADMAKQAsACAARQBEAEEAVABFACgAXAAiAFwAIgAxAC8AMQAvADIAMAAyADUAXAAiAFwAIgAsACAAUwBFAFEAVQBFAE4AQwBFACgAIAAsACAAMQAyACwAIAAwACkAKQAsACAAMQAy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cgByAGEAeQApACwAXABuACAAIAAgACAAIAAgACAAIAAgACAAIAAgACAAIAAgACAAIAAgACAAIAAgACAAIAAgACAAIAAgACAASQBTAE8ATQBJAFQAVABFAEQAKAAgAFQAaQBtAGUAbABpAG4AZQApACwAXABuACAAIAAgACAAIAAgACAAIAAgACAAIAAgACAAIAAgACAAIAAgACAAIAAgACAAIAAgACAAIAAgACAASQBTAE8ATQBJAFQAVABFAEQAKAAgAE8AZgBmAHMAZQB0ACkAXABuACAAIAAgACAAIAAgACAAIAAgACAAIAAgACAAIAAgACAAIAAgACAAIAAgACAAIAAgACkALABcAG4AIAAgACAAIAAvAC8AIAAgAEMAaABlAGMAawAgAGkAbgBwAHUAdABzACAALQAgAE0AYQBrAGUAIABzAHUAcgBlACAAcwBjAGEAbABhAHIAcwAgAGEAcgBlACAAbgBvAHQAIABhAHIAcgBhAHkAcwBcAG4AIAAgACAAIAAgACAAIAAgAE8AZgBmAHMAZQB0ACwAIAAgACAAIAAgACAAIAAgACAAQABPAGYAZgBzAGUAdAAsAFwAbgAgACAAIAAgAC8ALwAgACAAUAByAGUAYwBlAGQAdQByAGUAXABuACAAIAAgACAAIAAgACAAIABSAG8AdwBzACwAIAAgACAAIAAgACAAIAAgACAAIAAgAFIATwBXAFMAKABBAHIAcgBhAHkAKQAsAFwAbgAgACAAIAAgACAAIAAgACAAQwBvAGwAcwAsACAAIAAgACAAIAAgACAAIAAgACAAIABDAE8ATABVAE0ATgBTACgAQQByAHIAYQB5ACkALABcAG4AIAAgACAAIAAgACAAIAAgAFIAZQBzAHUAbAB0ACwAIAAgACAAIAAgACAAIAAgACAASQBGACgAIABDAE8ATABVAE0ATgBTACgAVABJAE0ARQBMAEkATgBFACkAIAA+ACAAMQAsACA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VABlAHgAdAAsACAAWwBJAGcAbgBvAHIAZQBDAGEAcwBlAD8AXQAgACkAtgBcACIAIAAmAFwAbgAgACAAIAAgACAAIAAgACAAIAAgACAAIAAgACAAIAAgACAAIAAgACAAIAAgACAAIAAgACAAIAAgAFwAIgBEAEUAUwBDAFIASQBQAFQASQBPAE4AOgAgACAAIACSIUYAaQBsAHQAZQByACAAYQBuACAAYQByAHIAYQB5ACAAYgB5ACAAYQBuAG8AdABoAGUAcgAgAGEAcgByAGEAeQAgAHQAaABhAHQAIABjAG8AbgB0AGEAaQBuAHMAIABzAHAAZQBjAGkAZgBpAGMAIAB0AGUAeAB0AC4AtgBcACIAIAAmACAAXABuACAAIAAgACAAIAAgACAAIAAgACAAIAAgACAAIAAgACAAIAAgACAAIAAgACAAIAAgACAAIAAgACAAXAAiAFMARQBFACAAQQBMAFMATwA6ACAAIAAgACAAIAAgAJIhRQB4AGMAZQBsACAAMwA2ADUAIABuAG8AdwAgAGgAYQBzACAAUgBFAEcARQBYAFQARQBTAFQAIABhAG4AZAAgAFIARQBHAEUAWABFAFgAVABSAEEAQwBUACAAZgBvAHIAIABwAGEAdAB0AGUAcgBuACAAbQBhAHQAYwBoAGkAbgBnAC4AtgBcACIAIAAmAFwAbgAgACAAIAAgACAAIAAgACAAIAAgACAAIAAgACAAIAAgACAAIAAgACAAIAAgACAAIAAgACAAIAAgAFwAIgBXAEUAQgBQAEEARwBFADoAIAAgACAAIAAgACAAIACSIWgAdAB0AHAAcwA6AC8ALwBnAGkAdABoAHUAYgAuAGMAbwBtAC8AcgB5AGEAbgBkAHUAZwB1AGkAZAAvAE4AYQBiAGwAYQC2AFwAIgAgACYAIA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VABvAEYAaQBsAHQAZQByACAAIACSISgAUgBlAHEAdQBpAHIAZQBkACkAIABBAG4AIABhAHIAcgBhAHkAIAB0AG8AIABiAGUAIABmAGkAbAB0AGUAcgBlAGQAtgBcACIAIAAmACAAIAAgACAAIAAgACAAIAAgACAAIAAgACAAIAAgACAAIAAgACAAXABuACAAIAAgACAAIAAgACAAIAAgACAAIAAgACAAIAAgACAAIAAgACAAIAAgACAAIAAgACAAIAAgACAAXAAiAEYAaQBsAHQAZQByAEIAeQBBAHIAcgBhAHkAIAAgAJIhKABSAGUAcQB1AGkAcgBlAGQAKQAgAEEAbgAgAGEAcgByAGEAeQAgAGMAbwBuAHQAYQBpAG4AaQBuAGcAIAB0AGUAeAB0ACAAdABvACAAdQBzAGUAIABhAHMAIABhACAAZgBpAGwAdABlAHIAtgBcACIAIAAmACAAIAAgACAAIAAgACAAIAAgACAAIAAgACAAIAAgACAAIAAgACAAXABuACAAIAAgACAAIAAgACAAIAAgACAAIAAgACAAIAAgACAAIAAgACAAIAAgACAAIAAgACAAIAAgACAAXAAiAEYAaQBsAHQAZQByAEIAeQBUAGUAeAB0ACAAIAAgAJIhKABSAGUAcQB1AGkAcgBlAGQAKQAgAEEAIAB0AGUAeAB0ACAAcwB0AHIAaQBuAGcAIAB0AG8AIABmAGkAbgBkACAAaQBuACAARgBpAGwAdABlAHIAQgB5AEEAcgByAGEAeQ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gBhAGIAbABhAC4AZgAgAGkAcwAgAGEAcwBzAHUAbQBlAGQAIAB0AG8AIABiAGUAIAB0AGgAZQAgAG0AbwBkAHUAbABlACcAcwAgAG4AYQBtAGUAKQC2AFwAIgAgACYAXABuACAAIAAgACAAIAAgACAAIAAgACAAIAAgACAAIAAgACAAIAAgACAAIAAgACAAIAAgACAAIAAgACAAXAAiAFwAIgBcACIAQwBhAHQAXAAiAFwAIgAgACAAIAAgACAAIAAgACAAkiE9AG4AYQBiAGwAYQAuAGY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gACAAIAAgACAAIAAgACAAIAAgACAAIAAgACAAIACSIT0AbgBhAGIAbABhAC4AZ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gBhAGIAbABhALYAXAAiACAAJgAg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4AYQBiAGwAYQAuAGYAIABpAHMAIABhAHMAcwB1AG0AZQBkACAAdABvACAAYgBlACAAdABoAGUAIABtAG8AZAB1AGwAZQAnAHMAIABuAGEAbQBlACkAtgBcACIAIAAmAFwAbgAgACAAIAAgACAAIAAgACAAIAAgACAAIAAgACAAIAAgACAAIAAgACAAIAAgACAAIAAgACAAIAAgAFwAIgAyADAAMgA2AC0AMAA0AC0AMAAxACAAIAAgACAAIACSIT0AbgBhAGIAbABhAC4AZgAuAFAAZQByAGkAbwBkAFMAdABhAHIAdAC7AygAXAAiAFwAIgAyADAAMgA2AC0AMAAxAC0AMAAxAFwAIgBcACIALAAgADMALAAgAFwAIgBcACIAMgAwADIANgAtADAANAAtADEAN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EAbgB5AFAAZQByAGkAbwBkAFMAdABhAHIAdAApACwAXABuACAAIAAgACAAIAAgACAAIAAgACAAIAAgACAAIAAgACAAIAAgACAAIAAgACAAIAAgACAAIAAgACAASQBTAE8ATQBJAFQAVABFAEQAKAAgAE0AbwBuAHQAaABzAFAAZQByAFAAZQByAGkAbwBkACkALABcAG4AIAAgACAAIAAgACAAIAAgACAAIAAgACAAIAAgACAAIAAgACAAIAAgACAAIAAgACAAIAAgACAAIABJAFMATwBNAEkAVABUAEUARAAoACAARABhAHQAZQBPAGYASQBuAHQAZQByAGUAcwB0ACkAXABuACAAIAAgACAAIAAgACAAIAAgACAAIAAgACAAIAAgACAAIAAgACAAIAAgACAAIAAgACkALABcAG4AIAAgACAAIAAvAC8AIAAgAEMAbwBuAHMAdABhAG4AdABzAFwAbgAgACAAIAAgACAAIAAgACAATQBwAFkALAAgACAAIAAgACAAIAAgACAAIAAgACAAIAAgACAAIAAgADEAMgAsACAALwAvAE0AbwBuAHQAaABzACAAUABlAHIAIABZAGUAYQByAFwAbgAgACAAIAAgACAAIAAgACAATQBwAFAALAAgACAAIAAgACAAIAAgACAAIAAgACAAIAAgACAAIAAgAE0AbwBuAHQAaABzAFAAZQByAFAAZQByAGkAbwBkACwAXABuACAAIAAgACAALwAvACAAIABQAHIAbwBjAGUAZAB1AHIAZQBcAG4AIAAgACAAIAAgACAAIAAgAEQAYQB0AGUARABhAHkALAAgACAAIAAgACAAIAAgACAAIAAgACAAIABEAEEAWQAoAEQAYQB0AGUATwBmAEkAbgB0AGUAcgBlAHMAdAApACwAIABcAG4AIAAgACAAIAAgACAAIAAgAFAAZQByAGkAbwBkAEQAYQB5ACwAIAAgACAAIAAgACAAIAAgACAAIABEAGEAeQAoAEEAbgB5AFAAZQByAGkAbwBkAFMAdABhAHIAdAApACwAXABuACAAIAAgACAAIAAgACAAIABEAGEAdABlAE0AbwBuAHQAaAAsACAAIAAgACAAIAAgACAAIAAgACAATQBPAE4AVABIACgARABhAHQAZQBPAGYASQBuAHQAZQByAGUAcwB0ACkALAAgAFwAbgAgACAAIAAgACAAIAAgACAAUABlAHIAaQBvAGQATQBvAG4AdABoACwAIAAgACAAIAAgACAAIAAgAE0ATwBOAFQASAAoAEEAbgB5AFAAZQByAGkAbwBkAFMAdABhAHIAdAApACwAXABuACAAIAAgACAAIAAgACAAIABNAG8AbgB0AGgATQBvAGQARABpAGYAZgBlAHIAZQBuAGMAZQAsACAATQBPAEQAKABEAGEAdABlAE0AbwBuAHQAaAAgAC0AIABQAGUAcgBpAG8AZABNAG8AbgB0AGgALAAgAE0AcABQACkALABcAG4AIAAgACAAIAAgACAAIAAgAE4AZQBlAGQAUAByAGkAbwByAFAAZQByAGkAbwBkAD8ALAAgACAAIABBAE4ARAAoACAATQBvAG4AdABoAE0AbwBkAEQAaQBmAGYAZQByAGUAbgBjAGUAIAA9ACAAMAAsACAARABhAHQAZQBEAGEAeQAgADwAIABQAGUAcgBpAG8AZABEAGEAeQApACAAKgAgAC0AIABNAHAAUAAsAFwAbgAgACAAIAAgACAAIAAgACAATgBlAHcAUABlAHIAaQBvAGQATQBvAG4AdABoACwAIAAgACAAIAAgAE0ATwBEACgARABhAHQAZQBNAG8AbgB0AGgAIAAtACAATQBvAG4AdABoAE0AbwBkAEQAaQBmAGYAZQByAGUAbgBjAGUAIAArACAATgBlAGUAZABQAHIAaQBvAHIAUABlAHIAaQBvAGQAPwAgAC0AMQAsACAATQBwAFkAIAApACAAKwAgADEALABcAG4AIAAgACAAIAAgACAAIAAgAFkAZQBhAHIAQwBvAHIAcgBlAGMAdABpAG8AbgAsACAAIAAgACAAIAAtACgAKABEAGEAdABlAE0AbwBuAHQAaAAgACoAIAAxADAAMAAgACsAIABEAGEAdABlAEQAYQB5ACkAIAA8ACAAKABOAGUAdwBQAGUAcgBpAG8AZABNAG8AbgB0AGgAIAAqACAAMQAwADAAIAArACAAUABlAHIAaQBvAGQARABhAHkAIAApACkALABcAG4AIAAgACAAIAAgACAAIAAgAFAAZQByAGkAbwBkAEQAYQB0AGUALAAgACAAIAAgACAAIAAgACAAIABEAEEAVABFACgAWQBFAEEAUgAoAEQAYQB0AGUATwBmAEkAbgB0AGUAcgBlAHMAdAApACAAKwAgAFkAZQBhAHIAQwBvAHIAcgBlAGMAdABpAG8AbgAsACAAIABOAGUAdwBQAGUAcgBpAG8AZABNAG8AbgB0AGgALAAgAFAAZQByAGkAbwBkAEQAYQB5ACkALABcAG4AIAAgACAAIAAgACAAIAAgAEwAYQBzAHQARABhAHkATwBmAE0AbwBuAHQAaABBAGQAagAsACAAIABQAGUAcgBpAG8AZABEAGEAdABlACAALQAgACgATQBPAE4AVABIACgAUABlAHIAaQBvAGQARABhAHQAZQApACAAPAA+ACAATgBlAHcAUABlAHIAaQBvAGQATQBvAG4AdABoACkALABcAG4AIAAgACAAIAAgACAAIAAgAFIAZQBzAHUAbAB0ACwAIAAgACAAIAAgACAAIAAgACAAIAAgACAAIABMAGEAcwB0AEQAYQB5AE8AZgBNAG8AbgB0AGgAQQBkAGo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AAdgBhAGwAdQBlACAAZABlAHAAcgBlAGMAaQBhAHQAaQBvAG4AIAAoAEEAVABPACAAMgAwADAAJQAgAG0AZQB0AGgAbwBkACkALAAgAHcAcgBpAHQAaQBuAGcAIAB0AGgAZQAgAHIAZQBzAGkAZAB1AGEAbAAgAG8AZgBmACAAaQBuACAAdABoAGUAIABmAGkAbgBhAGwAIABwAGUAcgBpAG8AZAAqAC8AXABuAFwAbgBEAGkAbQBpAG4AaQBzAGgAaQBuAGcAVgBhAGwAdQBlALsDIAA9ACAATABBAE0AQgBEAEEAKABcAG4ALwAvACAAIABQAGEAcgBhAG0AZQB0AGUAcgAgAEQAZQBjAGwAYQByAGEAdABpAG8AbgBcAG4AIAAgACAAIABbAEMAbwBzAHQAXQAsAFwAbgAgACAAIAAgAFsATABpAGY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aQBtAGkAbgBpAHMAaABpAG4AZwBWAGEAbAB1AGUAuwMoAEMAbwBzAHQALAAgAEwAaQBmAGUAKQC2AFwAIgAgACYAXABuACAAIAAgACAAIAAgACAAIAAgACAAIAAgACAAIAAgACAAIAAgACAAIAAgACAAIAAgACAAIAAgACAAXAAiAEQARQBTAEMAUgBJAFAAVABJAE8ATgA6ACAAIAAgAJIhRABpAG0AaQBuAGkAcwBoAGkAbgBnACAAdgBhAGwAdQBlACAAZABlAHAAcgBlAGMAaQBhAHQAaQBvAG4AIAAoAEEAVABPACAAMgAwADAAJQAgAG0AZQB0AGgAbwBkACkALAAgAHcAcgBpAHQAaQBuAGcAIAB0AGgAZQAgAHIAZQBzAGkAZAB1AGEAbAAgAG8AZgBmACAAaQBuACAAdABoAGUAIABmAGkAbgBhAGwAIABwAGUAcgBpAG8AZA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BAHMAcwBlAHQAJwBzACAAYwBvAHMAdAAuALYAXAAiACAAJgBcAG4AIAAgACAAIAAgACAAIAAgACAAIAAgACAAIAAgACAAIAAgACAAIAAgACAAIAAgACAAIAAgACAAIABcACIATABpAGYAZQAgACAAIAAgACAAIAAgACAAIAAgACAAkiEoAFIAZQBxAHUAaQByAGUAZAApACAAQQBzAHMAZQB0ACcAcwAgAGUAZgBmAGUAYwB0AGkAdgBlACAAbABpAGYAZQAgAGkAb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hAHQAZQAgAGkAcwAgAGMAYQBwAHAAZQBkADoAIABhACAAbABpAGYAZQAgAHUAbgBkAGUAcgAgAHQAdwBvACAAeQBlAGEAcgBzACAAdwBvAHUAbABkACAAbwB0AGgAZQByAHcAaQBzAGUAIABlAHgAYwBlAGUAZAAgADEAMAAwACUAXABuACAAIAAgACAAIAAgACAAIABSAGEAdABlACwAIAAgACAAIAAgACAAIAAgACAAIAAgAE0ASQBOACgAMgAvAEwAaQBmAGUALAAgADEAK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TAGUAdAAgAEMAbwBuAHMAdABhAG4AdABzAFwAbgAgACAAIAAgACAAIAAgACAAUABlAHIAaQBvAGQAcwAsACAAIAAgACAAIAAgACAAIABTAEUAUQBVAEUATgBDAEUAKAAsACAAQwBvAHUAbgB0ACkALABcAG4AIAAgACAAIAAvAC8AIAAgAFQAaABlACAAUABlAHIAaQBvAGQAcwA9ADEAIABnAHUAYQByAGQAIABhAHYAbwBpAGQAcwAgADAAXgAwACwAIAB3AGgAaQBjAGgAIABFAHgAYwBlAGwAIAByAGUAdAB1AHIAbgBzACAAYQBzACAAIwBOAFUATQAhACAAbwBuAGMAZQAgAFIAYQB0AGUAIAByAGUAYQBjAGgAZQBzACAAMQBcAG4AIAAgACAAIAAgACAAIAAgAFIAYQB3ACwAIAAgACAAIAAgACAAIAAgACAAIAAgACAAQwBvAHMAdAAgACoAIABSAGEAdABlACAAKgAgAEkARgAoAFAAZQByAGkAbwBkAHMAIAA9ACAAMQAsACAAMQAsACAAKAAxAC0AUgBhAHQAZQApAF4AKABQAGUAcgBpAG8AZABzAC0AMQApACkALABcAG4AIAAgACAAIAAvAC8AIAAgAFcAcgBpAHQAZQAgAHQAaABlACAAdQBuAGQAZQBkAHUAYwB0AGUAZAAgAHIAZQBzAGkAZAB1AGEAbAAgAG8AZgBmACAAaQBuACAAdABoAGUAIABmAGkAbgBhAGwAIABwAGUAcgBpAG8AZABcAG4AIAAgACAAIAAgACAAIAAgAFIAZQBzAHUAbAB0ACwAIAAgACAAIAAgACAAIAAgACAAUgBhAHcAIAArACAAKABQAGUAcgBpAG8AZABzACAAPQAgAEMAbwB1AG4AdAApACAAKgAgACgAQwBvAHMAdAAgAC0AIABTAFUATQAoAFIAYQB3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AByAGkAbQBlACAAYwBvAHMAdAAgACgAcwB0AHIAYQBpAGcAaAB0ACAAbABpAG4AZQApACAAZABlAHAAcgBlAGMAaQBhAHQAaQBvAG4ALAAgAEEAVABPACAAbQBlAHQAaABvAGQALAAgAGYAbwByACAAbwBuAGUAIABhAHMAcwBlAHQAIABvAHIAIABhAHMAcwBlAHQAIABjAGwAYQBzAHM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AByAGkAbQBlACAAYwBvAHMAdAAgACgAcwB0AHIAYQBpAGcAaAB0ACAAbABpAG4AZQApACAAZABlAHAAcgBlAGMAaQBhAHQAaQBvAG4ALAAgAEEAVABPACAAbQBlAHQAaABvAGQAL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4AYQBiAGwAYQAuAGYAIABpAHMAIABhAHMAcwB1AG0AZQBkACAAdABvACAAYgBlACAAdABoAGUAIABtAG8AZAB1AGwAZQAnAHMAIABuAGEAbQBlACkAtgBcACIAIAAmAFwAbgAgACAAIAAgACAAIAAgACAAIAAgACAAIAAgACAAIAAgACAAIAAgACAAIAAgACAAIAAgACAAIAAgAFwAIgCSIT0AbgBhAGIAbABhAC4AZgAuAFAAcgBpAG0AZQBDAG8AcwB0ALsDKAAxADAAMAAwACwAIAA1ACkAtgBcACIAIAAmAFwAbgAgACAAIAAgACAAIAAgACAAIAAgACAAIAAgACAAIAAgACAAIAAgACAAIAAgACAAIAAgACAAIAAgAFwAIgCSIVIAZQBzAHUAbAB0ALYAXAAiACAAJgBcAG4AIAAgACAAIAAgACAAIAAgACAAIAAgACAAIAAgACAAIAAgACAAIAAgACAAIAAgACAAIAAgACAAIABcACIAkiEyADAAMAAuADAAMAAsADIAMAAwAC4AMAAwACwAMgAwADAALgAwADAALAAyADAAMAAuADAAMAAsADIAM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DAG8AcwB0ACkALAAgAEkAUwBPAE0ASQBUAFQARQBEACgATABpAGYAZQApACkALABcAG4AIAAgACAAIAAvAC8AIAAgAFMAZQB0ACAAQwBvAG4AcwB0AGEAbgB0AHMAXABuACAAIAAgACAAIAAgACAAIABBAG4AbgB1AGEAbAAsACAAIAAgACAAIAAgACAAIAAgAEMAbwBzAHQALwBMAGkAZgBl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QAaABlACAAZgBpAG4AYQBsACAAcABlAHIAaQBvAGQAIABjAGEAcgByAGkAZQBzACAAdABoAGUAIABwAGEAcgB0AC0AeQBlAGEAcgAgAHIAZQBtAGEAaQBuAGQAZQByACwAIABzAG8AIAB0AGgAZQAgAHMAYwBoAGUAZAB1AGwAZQAgAHMAdQBtAHMAIAB0AG8AIABjAG8AcwB0AFwAbgAgACAAIAAgACAAIAAgACAAUgBlAHMAdQBsAHQALAAgACAAIAAgACAAIAAgACAAIABJAEYAKABTAEUAUQBVAEUATgBDAEUAKAAsACAAQwBvAHUAbgB0ACkAIAA9ACAAQwBvAHUAbgB0ACwAIABDAG8AcwB0ACAALQAgAEEAbgBuAHUAYQBsACAAKgAgACgAQwBvAHUAbgB0ACAALQAgADEAKQAsACAAQQBuAG4AdQBhAGw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KgAvAFwAbgBcAG4ARwBTAFQAQQBkAG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QQBkAGQAuwMoAEEAbQBvAHUAbgB0AHMALAAgAFsAUgBhAHQAZQBdACkAtgBcACIAIAAmAFwAbgAgACAAIAAgACAAIAAgACAAIAAgACAAIAAgACAAIAAgACAAIAAgACAAIAAgACAAIAAgACAAIAAgAFwAIgBEAEUAUwBDAFIASQBQAFQASQBPAE4AOgAgACAAIACSIUEAZABkAHMAIABHAFMAVAAgAHQAbwAgAG8AbgBlACAAbwByACAAbQBvAHIAZQAgAEcAUwBUAC0AZQB4AGMAbAB1AHMAaQB2AGUAIABhAG0AbwB1AG4AdABzAC4AtgBcACIAIAAm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XABuACAAIAAgACAAIAAgACAAIAAgACAAIAAgACAAIAAgACAAIAAgACAAIAAgACAAIAAgACAAIAAgACAAXAAiAEEAbQBvAHUAbgB0AHMAIAAgACAAIAAgACAAIAAgAJIhKABSAGUAcQB1AGkAcgBlAGQAKQAgAE8AbgBlACAAbwByACAAbQBvAHIAZQAgAEcAUwBUAC0AZQB4AGMAbAB1AHMAaQB2AGUAIABhAG0AbwB1AG4AdABzAC4AtgBcACIAIAAmAFwAbgAgACAAIAAgACAAIAAgACAAIAAgACAAIAAgACAAIAAgACAAIAAgACAAIAAgACAAIAAgACAAIAAgAFwAIgBSAGEAdABlACAAIAAgACAAIAAgACAAIAAgACAAIACSISgATwBwAHQAaQBvAG4AYQBsADoAIABEAGUAZgBhAHUAbAB0ACAAPQAgADAALgAxACkAIABHAFMAVAAgAHIAYQB0AGUAIABhAHMAIABhACAAZgByAGEAYwB0AGkAbwBuAC4AtgBcACIAIAAmAFwAbgAgACAAIAAgACAAIAAgACAAIAAgACAAIAAgACAAIAAgACAAIAAgACAAIAAgACAAIAAgACAAIAAgAFwAIgBFAFgAQQBNAFAATABFAFMAOgAgACAAIAAgACAAIACSIbYAXAAiACAAJgBcAG4AIAAgACAAIAAgACAAIAAgACAAIAAgACAAIAAgACAAIAAgACAAIAAgACAAIAAgACAAIAAgACAAIABcACIAkiFGAG8AcgBtAHUAbABhACAAKABuAGEAYgBsAGEALgBmACAAaQBzACAAYQBzAHMAdQBtAGUAZAAgAHQAbwAgAGIAZQAgAHQAaABlACAAbQBvAGQAdQBsAGUAJwBzACAAbgBhAG0AZQApALYAXAAiACAAJgBcAG4AIAAgACAAIAAgACAAIAAgACAAIAAgACAAIAAgACAAIAAgACAAIAAgACAAIAAgACAAIAAgACAAIABcACIAkiE9AG4AYQBiAGwAYQAuAGY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gBhAGIAbABhAC4AZgAgAGkAcwAgAGEAcwBzAHUAbQBlAGQAIAB0AG8AIABiAGUAIAB0AGgAZQAgAG0AbwBkAHUAbABlACcAcwAgAG4AYQBtAGUAKQC2AFwAIgAgACYAXABuACAAIAAgACAAIAAgACAAIAAgACAAIAAgACAAIAAgACAAIAAgACAAIAAgACAAIAAgACAAIAAgACAAXAAiAJIhPQBuAGEAYgBsAGEALgBmAC4ARwBTAFQARQB4AHQAcgBhAGMAdAC7AygAMQAxADAAKQC2AFwAIgAgACYAXABuACAAIAAgACAAIAAgACAAIAAgACAAIAAgACAAIAAgACAAIAAgACAAIAAgACAAIAAgACAAIAAgACAAXAAiAJIhUgBlAHMAdQBsAHQAtgBcACIAIAAmAFwAbgAgACAAIAAgACAAIAAgACAAIAAgACAAIAAgACAAIAAgACAAIAAgACAAIAAgACAAIAAgACAAIAAgAFwAIgCSITE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tAG8AdQBuAHQAcwApACwAXABuACAAIAAgACAALwAvACAAIABBACAAYgBsAGEAbgBrACAAUgBhAHQAZQAgAGMAZQBsAGwAIABpAHMAIABuAG8AdAAgAGEAbgAgAG8AbQBpAHQAdABlAGQAIABhAHIAZwB1AG0AZQBuAHQALAAgAHMAbwAgAHQAZQBzAHQAIABmAG8AcgAgAGIAbwB0AGgAXABuACAAIAAgACAAIAAgACAAIABHAFMAVABSAGEAdABlACwAIAAgACAAIAAgACAAIAAgAEkARgAoAE8AUgAoAEkAUwBPAE0ASQBUAFQARQBEACgAUgBhAHQAZQApACwAIABUAFIASQBNACgAUgBhAHQAZQAgACYAIABcACIAXAAiACkAPQBcACIAXAAiACkALAAgADAALgAxACwAIABSAGEAdABl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bgBhAGIAbABhAC4AcgAiACwAIgB0AGUAeAB0ACIAOgAiAC8AKgAgACAATQBvAGQAdQBsAGUAIABDAG8AbgB0AGEAaQBuAHMAIABhACAAbABpAGIAcgBhAHIAeQAgAG8AZgAgAEYAaQBuAGEAbgBjAGkAYQBsACAAUgBhAHQAaQBvAHMAIAAqAC8AXABuAFwAbgAvACoAIAAgAEYAVQBOAEMAVABJAE8ATgAgAE4AQQBNAEUAOgAgACAAQQBiAG8AdQB0ALsDXABuACAAIAAgACAARABFAFMAQwBSAEkAUABUAEkATwBOADoAKgAvAC8AKgAqAEQAaQBzAHAAbABhAHkAcwAgAHQAaABpAHMAIABtAG8AZAB1AGwAZQAnAHMAIAByAGUAcABvAHMAaQB0AG8AcgB5ACAAVQBSAEwAIABhAG4AZAAgAGYAdQBuAGMAdABpAG8AbgAgAGwAaQBzAHQAKgAvAFwAbgBBAGIAbwB1AHQAuwMgAD0AIABUAFIASQBNACgAXABuACAAIAAgACAAVABFAFgAVABTAFAATABJAFQAKABcAG4AIAAgACAAIAAgACAAIAAgAFwAIgBBAGIAbwB1AHQAOgAgACAAIAAgACAAIAAgACAAIAAgACAAIAAgACAAIAAgACAAIAAgACAAIACSIUEAIABsAGkAYgByAGEAcgB5ACAAbwBmACAARgBpAG4AYQBuAGMAaQBhAGwAIABSAGEAdABpAG8AcwC2AFwAIgAgACYAXABuACAAIAAgACAAIAAgACAAIABcACIAVgBlAHIAcwBpAG8AbgA6ACAAIAAgACAAIAAgACAAIAAgACAAIAAgACAAIAAgACAAIAAgACAAkiExADgAIABBAHUAZwAgADIAMAAyADYAtgBcACIAIAAmAFwAbgAgACAAIAAgACAAIAAgACAAXAAiAFIAZQBwAG8AcwBpAHQAbwByAHkAOgAgACAAIAAgACAAIAAgACAAIAAgACAAIAAgACAAIAAgACAAIACSIWgAdAB0AHAAcwA6AC8ALwBnAGkAdABoAHUAYgAuAGMAbwBtAC8AcgB5AGEAbgBkAHUAZwB1AGkAZAAvAE4AYQBiAGwAYQAgALYAXAAiACAAJgBcAG4AIAAgACAAIAAgACAAIAAgAFwAIgBOAG8AdABlAHMAOgAgACAAIAAgACAAIAAgACAAIAAgACAAIAAgACAAIAAgACAAIAAgACAAIACSIVMAbwB1AHIAYwBlAHMAIABpAG4AYwBsAHUAZABlACAASQBuAHYAZQBzAHQAbwBwAGUAZABpAGEALgBjAG8AbQAsACAAQwBvAHIAcABvAHIAYQB0AGUAIABGAGkAbgBhAG4AYwBlACAAYQBuAGQAIABXAGEAbABsAFMAdAByAGUAZQB0AFAAcgBlAHAALgBjAG8AbQAuALYAXAAiACAAJgBcAG4AIAAgACAAIAAgACAAIAAgACAAIAAgACAAIAAgACAAIAAgACAAIAAgACAAIAAgACAAIAAgACAAIAAgACAAIAAgACAAIAAgAFwAIgCSIUMAbwBwAHkAcgBpAGcAaAB0ACAAYQBwAHAAbABpAGUAcwAgAHQAbwAgAEwAQQBNAEIARABBACAAYwBvAGQAaQBuAGcAtgBcACIAIAAmAFwAbgAgACAAIAAgACAAIAAgACAAXAAiAJIhtgBcACIAIAAmACAAXABuACAAIAAgACAAIAAgACAAIABcACIARgB1AG4AYwB0AGkAbwBuACAAIAAgACAAIAAgACAAIAAgACAAIAAgACAAIAAgACAAIAAgACAAkiFEAGUAcwBjAHIAaQBwAHQAaQBvAG4AtgBcACIAIAAmACAAXABuACAAIAAgACAAIAAgACAAIABcACIAQQBiAG8AdQB0ALsDIAAgACAAIAAgACAAIAAgACAAIAAgACAAIAAgACAAIAAgACAAIAAgACAAkiFQAHIAbwBkAHUAYwBlAHMAIAB0AGgAaQBzACAAdABhAGIAbABlALYAXAAiACAAJgBcAG4AIAAgACAAIAAgACAAIAAgAFwAIgCSIbYAXAAiACAAJgAgAFwAbgAgACAAIAAgACAAIAAgACAAXAAiAEwAaQBxAHUAaQBkAGkAdAB5ACAAUgBhAHQAaQBvAHMAkiG2AFwAIgAgACYAXABuACAAIAAgACAAIAAgACAAIABcACIAQwB1AHIAcgBlAG4AdABSAGEAdABpAG8AuwMgACAAIAAgACAAIAAgACAAIAAgACAAIAAgACAAkiFNAGUAYQBzAHUAcgBlAHMAIABhAGIAaQBsAGkAdAB5ACAAdABvACAAcABhAHkAIABzAGgAbwByAHQALQB0AGUAcgBtACAAbwBiAGwAaQBnAGEAdABpAG8AbgBzALYAXAAiACAAJgBcAG4AIAAgACAAIAAgACAAIAAgAFwAIgBRAHUAaQBjAGsAUgBhAHQAaQBvALsDIAAgACAAIAAgACAAIAAgACAAIAAgACAAIAAgACAAIACSIU0AZQBhAHMAdQByAGUAcwAgAGEAYgBpAGwAaQB0AHkAIAB0AG8AIABtAGUAZQB0ACAAcwBoAG8AcgB0AC0AdABlAHIAbQAgAG8AYgBsAGkAZwBhAHQAaQBvAG4AcwC2AFwAIgAgACYAXABuACAAIAAgACAAIAAgACAAIABcACIAQwBhAHMAaABSAGEAdABpAG8AuwMgACAAIAAgACAAIAAgACAAIAAgACAAIAAgACAAIAAgACAAkiFFAHYAYQBsAHUAYQB0AGUAcwAgAGEAYgBpAGwAaQB0AHkAIAB0AG8AIAByAGUAcABhAHkAIABzAGgAbwByAHQALQB0AGUAcgBtACAAZABlAGIAdAAgAHcALwBjAGEAcwBoACAAbwByACAAbgBlAGEAcgAtAGMAYQBzAGgAIAByAGUAcwBvAHUAcgBjAGUAcwC2AFwAIgAgACYAXABuACAAIAAgACAAIAAgACAAIABcACIATwBwAGUAcgBhAHQAaQBuAGcAQwBhAHMAaABGAGwAbwB3AFIAYQB0AGkAbwC7AyAAIAAgACAAkiFNAGUAYQBzAHUAcgBlAHMAIABoAG8AdwAgAHIAZQBhAGQAaQBsAHkAIABjAHUAcgByAGUAbgB0ACAAbABpAGEAYgBpAGwAaQB0AGkAZQBzACAAYQByAGUAIABjAG8AdgBlAHIAZQBkACAAYgB5ACAAYwBhAHMAaAAgAGYAbABvAHcAcwAgAGcAZQBuAGUAcgBhAHQAZQBkACAAZgByAG8AbQAgAG8AcABlAHIAYQB0AGkAbwBuAHMALgAgALYAXAAiACAAJgBcAG4AIAAgACAAIAAgACAAIAAgAFwAIgBSAGUAYwBlAGkAdgBhAGIAbABlAHMAVAB1AHIAbgBvAHYAZQByAFIAYQB0AGkAbwC7AyAAIACSIUkAbgBkAGkAYwBhAHQAZQBzACAAZQBmAGYAZQBjAHQAaQB2AGUAbgBlAHMAcwAgAGkAbgAgAGMAbwBsAGwAZQBjAHQAaQBuAGcAIABvAHUAdABzAHQAYQBuAGQAaQBuAGcAIABiAGEAbABhAG4AYwBlAHMAIABmAHIAbwBtACAAYwBsAGkAZQBuAHQAcwAgAGEAbgBkACAAbQBhAG4AYQBnAGkAbgBnACAAbABpAG4AZQAgAG8AZgAgAGMAcgBlAGQAaQB0ACAAcAByAG8AYwBlAHMAcwC2AFwAIgAgACYAXABuACAAIAAgACAAIAAgACAAIABcACIASQBuAHYAZQBuAHQAbwByAHkAVAB1AHIAbgBvAHYAZQByAFIAYQB0AGkAbwC7AyAAIAAgACAAkiFTAGgAbwB3AHMAIABoAG8AdwAgAG0AYQBuAHkAIAB0AGkAbQBlAHMAIABhACAAYwBvAG0AcABhAG4AeQAgAHQAdQByAG4AZQBkACAAbwB2AGUAcgAgAGkAdABzACAAaQBuAHYAZQBuAHQAbwByAHkAIAByAGUAbABhAHQAaQB2AGUAIAAgAHQAbwAgAGkAdABzACAAYwBvAHMAdAAgAG8AZgAgAGcAbwBvAGQAcwAgAHMAbwBsAGQAtgBcACIAIAAmAFwAbgAgACAAIAAgACAAIAAgACAAXAAiAFcAbwByAGsAaQBuAGcAQwBhAHAAaQB0AGEAbABUAHUAcgBuAG8AdgBlAHIAUgBhAHQAaQBvALsDkiFXAG8AcgBrAGkAbgBnACAAQwBhAHAAaQB0AGEAbAAgAFQAdQByAG4AbwB2AGUAcgAgAFIAYQB0AGkAbwAgAG0AZQBhAHMAdQByAGUAcwAgAGgAbwB3ACAAZQBmAGYAaQBjAGkAZQBuAHQAbAB5ACAAYQAgAGMAbwBtAHAAYQBuAHkAIABpAHMAIAB1AHMAaQBuAGcAIABpAHQAcwAgAHcAbwByAGsAaQBuAGcAIABjAGEAcABpAHQAYQBsACAAdABvACAAcwB1AHAAcABvAHIAdAAgAHMAYQBsAGUAcwAgAGEAbgBkACAAZwByAG8AdwB0AGgAtgBcACIAIAAmAFwAbgAgACAAIAAgACAAIAAgACAAXAAiAJIhtgBcACIAIAAmACAAXABuACAAIAAgACAAIAAgACAAIABcACIATABlAHYAZQByAGEAZwBlACAAUgBhAHQAaQBvAHMAkiG2AFwAIgAgACYAXABuACAAIAAgACAAIAAgACAAIABcACIARABlAGIAdABSAGEAdABpAG8AuwMgACAAIAAgACAAIAAgACAAIAAgACAAIAAgACAAIAAgACAAkiFNAGUAYQBzAHUAcgBlAHMAIAB0AGgAZQAgAGUAeAB0AGUAbgB0ACAAbwBmACAAYQAgAGMAbwBtAHAAYQBuAHkAJwBzACAAbABlAHYAZQByAGEAZwBlALYAXAAiACAAJgBcAG4AIAAgACAAIAAgACAAIAAgAFwAIgBEAFMAQwBSALsDIAAgACAAIAAgACAAIAAgACAAIAAgACAAIAAgACAAIAAgACAAIAAgACAAIACSIUQAZQBiAHQAIABzAGUAcgB2AGkAYwBlACAAYwBvAHYAZQByAGEAZwBlACAAUgBhAHQAaQBvACAAbQBlAGEAcwB1AHIAZQBzACAAYQAgAGYAaQByAG0AGSBzACAAYQB2AGEAaQBsAGEAYgBsAGUAIABjAGEAcwBoACAAZgBsAG8AdwAgAHQAbwAgAHAAYQB5ACAAaQB0AHMAIABjAHUAcgByAGUAbgB0ACAAZABlAGIAdAAgAG8AYgBsAGkAZwBhAHQAaQBvAG4AcwC2AFwAIgAgACYAXABuACAAIAAgACAAIAAgACAAIABcACIARABlAGIAdABUAG8AQwBhAHAAaQB0AGEAbABSAGEAdABpAG8AuwMgACAAIAAgACAAIAAgACAAkiFHAGkAdgBlAHMAIABhAG4AYQBsAHkAcwB0AHMAIABhAG4AZAAgAGkAbgB2AGUAcwB0AG8AcgBzACAAYQAgAGIAZQB0AHQAZQByACAAaQBkAGUAYQAgAG8AZgAgAGEAIABjAG8AbQBwAGEAbgB5ACcAcwAgAGYAaQBuAGEAbgBjAGkAYQBsACAAcwB0AHIAdQBjAHQAdQByAGUAIABhAG4AZAAgAHcAaABlAHQAaABlAHIAIABvAHIAIABuAG8AdAAgAHQAaABlACAAYwBvAG0AcABhAG4AeQAgAGkAcwAgAGEAIABzAHUAaQB0AGEAYgBsAGUAIABpAG4AdgBlAHMAdABtAGUAbgB0ALYAXAAiACAAJgBcAG4AIAAgACAAIAAgACAAIAAgAFwAIgBFAHEAdQBpAHQAeQBNAHUAbAB0AGkAcABsAGkAZQByALsDIAAgACAAIAAgACAAIAAgACAAIACSIU0AZQBhAHMAdQByAGUAcwAgAHQAaABlACAAcABvAHIAdABpAG8AbgAgAG8AZgAgAGEAIABjAG8AbQBwAGEAbgB5ABkgcwAgAGEAcwBzAGUAdABzACAAZgBpAG4AYQBuAGMAZQBkACAAYgB5ACAAcwBoAGEAcgBlAGgAbwBsAGQAZQByAHMAJwBlAHEAdQBpAHQAeQAgAHIAYQB0AGgAZQByACAAdABoAGEAbgAgAGIAeQAgAGQAZQBiAHQAtgBcACIAIAAmAFwAbgAgACAAIAAgACAAIAAgACAAXAAiAJIhtgBcACIAIAAmACAAXABuACAAIAAgACAAIAAgACAAIABcACIAUwBvAGwAdgBlAG4AYwB5ACAAUgBhAHQAaQBvAHMAkiG2AFwAIgAgACYAXABuACAAIAAgACAAIAAgACAAIABcACIARABlAGIAdABUAG8ARQBxAHUAaQB0AHkAUgBhAHQAaQBvALsDIAAgACAAIAAgACAAIAAgACAAkiFNAGUAYQBzAHUAcgBlAHMAIAB0AGgAZQAgAGQAZQBnAHIAZQBlACAAdABvACAAdwBoAGkAYwBoACAAYQAgAGMAbwBtAHAAYQBuAHkAIABpAHMAIABmAGkAbgBhAG4AYwBpAG4AZwAgAG8AcABlAHIAYQB0AGkAbwBuAHMAIAB3AGkAdABoACAAZABlAGIAdAAgAHIAYQB0AGgAZQByACAAdABoAGEAbgAgAGkAdABzACAAbwB3AG4AIAByAGUAcwBvAHUAcgBjAGUAcwAuALYAXAAiACAAJgBcAG4AIAAgACAAIAAgACAAIAAgAFwAIgBEAGUAYgB0AFQAbwBBAHMAcwBlAHQAUgBhAHQAaQBvALsDIAAgACAAIAAgACAAIAAgACAAIACSIUEAbgBhAGwAeQBzAHQAcwAgAGMAYQBuACAAYwBvAG0AcABhAHIAZQAgAG8AbgBlACAAYwBvAG0AcABhAG4AeQAnAHMAIABsAGUAdgBlAHIAYQBnAGUAIAB3AGkAdABoACAAdABoAGEAdAAgAG8AZgAgAG8AdABoAGUAcgAgAGMAbwBtAHAAYQBuAGkAZQBzACAAaQBuACAAdABoAGUAIABzAGEAbQBlACAAaQBuAGQAdQBzAHQAcgB5AC4AtgBcACIAIAAmAFwAbgAgACAAIAAgACAAIAAgACAAXAAiAEkAbgB0AGUAcgBlAHMAdABDAG8AdgBlAHIAYQBnAGUAUgBhAHQAaQBvALsDIAAgACAAIAAgAJIhRABlAHQAZQByAG0AaQBuAGUAcwAgAGgAbwB3ACAAZQBhAHMAaQBsAHkAIABhACAAYwBvAG0AcABhAG4AeQAgAGMAYQBuACAAcABhAHkAIABpAG4AdABlAHIAZQBzAHQAIABvAG4AIABpAHQAcwAgAG8AdQB0AHMAdABhAG4AZABpAG4AZwAgAGQAZQBiAHQAtgBcACIAIAAmAFwAbgAgACAAIAAgACAAIAAgACAAXAAiAEUAcQB1AGkAdAB5AFIAYQB0AGkAbwC7AyAAIAAgACAAIAAgACAAIAAgACAAIAAgACAAIAAgAJIhTQBlAGEAcwB1AHIAZQBzACAAdABoAGUAIABsAG8AbgBnAC0AdABlAHIAbQAgAHMAbwBsAHYAZQBuAGMAeQAgAG8AZgAgAGEAIABjAG8AbQBwAGEAbgB5ACAAYgB5ACAAYwBvAG0AcABhAHIAaQBuAGcAIABpAHQAcwAgAHMAaABhAHIAZQBoAG8AbABkAGUAcgBzABkgIABlAHEAdQBpAHQAeQAgAHQAbwAgAGkAdABzACAAdABvAHQAYQBsACAAYQBzAHMAZQB0AHMAtgBcACIAIAAmAFwAbgAgACAAIAAgACAAIAAgACAAXAAiAJIhtgBcACIAIAAmACAAXABuACAAIAAgACAAIAAgACAAIABcACIARQBmAGYAaQBjAGkAZQBuAGMAeQAgAFIAYQB0AGkAbwBzAJIhtgBcACIAIAAmAFwAbgAgACAAIAAgACAAIAAgACAAXAAiAEEAcwBzAGUAdABUAHUAcgBuAG8AdgBlAHIAUgBhAHQAaQBvALsDIAAgACAAIAAgACAAIAAgAJIhTQBlAGEAcwB1AHIAZQBzACAAdABoAGUAIAB2AGEAbAB1AGUAIABvAGYAIABhACAAYwBvAG0AcABhAG4AeQAnAHMAIABzAGEAbABlAHMAIABvAHIAIAByAGUAdgBlAG4AdQBlAHMAIAByAGUAbABhAHQAaQB2AGUAIAB0AG8AIAB0AGgAZQAgAHYAYQBsAHUAZQAgAG8AZgAgAGkAdABzACAAYQBzAHMAZQB0AHMALgC2AFwAIgAgACYAXABuACAAIAAgACAAIAAgACAAIABcACIARABTAEkAUgBhAHQAaQBvALsDIAAgACAAIAAgACAAIAAgACAAIAAgACAAIAAgACAAIAAgACAAkiFEAGEAeQBzACAAUwBhAGwAZQBzACAAaQBuACAASQBuAHYAZQBuAHQAbwByAHkAIABSAGEAdABpAG8AIAAoAGEAawBhACAAQQB2AGUAcgBhAGcAZQAgAGEAZwBlACAAbwBmACAAaQBuAHYAZQBuAHQAbwByAHkAIABpAG4AZABpAGMAYQB0AGUAcwAgAHQAaABlACAAYQB2AGUAcgBhAGcAZQAgAHQAaQBtAGUAIABpAG4AIABkAGEAeQBzACAAdABoAGEAdAAgAGEAIABjAG8AbQBwAGEAbgB5ACAAdABhAGsAZQBzACAAdABvACAAdAB1AHIAbgAgAGkAdABzACAAaQBuAHYAZQBuAHQAbwByAHkAtgBcACIAIAAmAFwAbgAgACAAIAAgACAAIAAgACAAXAAiAE8AcABlAHIAYQB0AGkAbgBnAFIAYQB0AGkAbwC7AyAAIAAgACAAIAAgACAAIAAgACAAIAAgAJIhUwBoAG8AdwBzACAAaABvAHcAIABlAGYAZgBpAGMAaQBlAG4AdAAgAG0AYQBuAGEAZwBlAG0AZQBuAHQAIABpAHMAIABhAHQAIABrAGUAZQBwAGkAbgBnACAAYwBvAHMAdABzACAAbABvAHcAIAB3AGgAaQBsAGUAIABnAGUAbgBlAHIAYQB0AGkAbgBnACAAcgBlAHYAZQBuAHUAZQC2AFwAIgAgACYAXABuACAAIAAgACAAIAAgACAAIABcACIAkiG2AFwAIgAgACYAIABcAG4AIAAgACAAIAAgACAAIAAgAFwAIgBQAHIAbwBmAGkAdABhAGIAaQBsAGkAdAB5ACAATQBhAHIAZwBpAG4AcwAgACYAIABSAGEAdABpAG8AcwCSIbYAXAAiACAAJgBcAG4AIAAgACAAIAAgACAAIAAgAFwAIgBHAHIAbwBzAHMATQBhAHIAZwBpAG4AuwMgACAAIAAgACAAIAAgACAAIAAgACAAIAAgACAAIACSIVMAaABvAHcAcwAgAGgAbwB3ACAAbQB1AGMAaAAgAHAAcgBvAGYAaQB0ACAAYQAgAGMAbwBtAHAAYQBuAHkAIABtAGEAawBlAHMAIABhAGYAdABlAHIAIABwAGEAeQBpAG4AZwAgAG8AZgBmACAAaQB0AHMAIABDAG8AcwB0ACAAbwBmACAARwBvAG8AZABzACAAUwBvAGwAZAC2AFwAIgAgACYAXABuACAAIAAgACAAIAAgACAAIABcACIARQBCAEkAVABEAEEATQBhAHIAZwBpAG4AuwMgACAAIAAgACAAIAAgACAAIAAgACAAIAAgACAAkiFNAGUAYQBzAHUAcgBlAHMAIABhACAAYwBvAG0AcABhAG4AeQAnAHMAIABvAHAAZQByAGEAdABpAG4AZwAgAHAAcgBvAGYAaQB0ACAAYQBzACAAYQAgAHAAZQByAGMAZQBuAHQAYQBnAGUAIABvAGYAIABpAHQAcwAgAHIAZQB2AGUAbgB1AGUAtgBcACIAIAAmAFwAbgAgACAAIAAgACAAIAAgACAAXAAiAE8AcABlAHIAYQB0AGkAbgBnAE0AYQByAGcAaQBuALsDIAAgACAAIAAgACAAIAAgACAAIAAgAJIhTQBlAGEAcwB1AHIAZQBzACAAaABvAHcAIABtAHUAYwBoACAAcAByAG8AZgBpAHQAIABhACAAYwBvAG0AcABhAG4AeQAgAG0AYQBrAGUAcwAgAG8AbgAgAGEAIABkAG8AbABsAGEAcgAgAG8AZgAgAHMAYQBsAGUAcwAgAGEAZgB0AGUAcgAgAHAAYQB5AGkAbgBnACAAZgBvAHIAIAB2AGEAcgBpAGEAYgBsAGUAIABjAG8AcwB0AHMAIABvAGYAIABwAHIAbwBkAHUAYwB0AGkAbwBuACwAIABzAHUAYwBoACAAYQBzACAAdwBhAGcAZQBzACAAYQBuAGQAIAByAGEAdwAgAG0AYQB0AGUAcgBpAGEAbABzACwAIABiAHUAdAAgAGIAZQBmAG8AcgBlACAAcABhAHkAaQBuAGcAIABpAG4AdABlAHIAZQBzAHQAIABvAHIAIAB0AGEAeAC2AFwAIgAgACYAXABuACAAIAAgACAAIAAgACAAIABcACIAUAByAGUAdABhAHgATQBhAHIAZwBpAG4AuwMgACAAIAAgACAAIAAgACAAIAAgACAAIAAgACAAkiFNAGUAYQBzAHUAcgBlAHMAIAB0AGgAZQAgAG8AcABlAHIAYQB0AGkAbgBnACAAZQBmAGYAaQBjAGkAZQBuAGMAeQAgAG8AZgAgAGEAIABjAG8AbQBwAGEAbgB5ACAAtgBcACIAIAAmAFwAbgAgACAAIAAgACAAIAAgACAAXAAiAE4AZQB0AFAAcgBvAGYAaQB0AE0AYQByAGcAaQBuALsDIAAgACAAIAAgACAAIAAgACAAIAAgAJIhTQBlAGEAcwB1AHIAZQBzACAAaABvAHcAIABtAHUAYwBoACAAbgBlAHQAIABpAG4AYwBvAG0AZQAgAG8AcgAgAHAAcgBvAGYAaQB0ACAAYQAgAGMAbwBtAHAAYQBuAHkAIABnAGUAbgBlAHIAYQB0AGUAcwAgAGEAcwAgAGEAIABwAGUAcgBjAGUAbgB0AGEAZwBlACAAbwBmACAAaQB0AHMAIAByAGUAdgBlAG4AdQBlAC4AtgBcACIAIAAmAFwAbgAgACAAIAAgACAAIAAgACAAXAAiAEMAYQBzAGgARgBsAG8AdwBNAGEAcgBnAGkAbgC7AyAAIAAgACAAIAAgACAAIAAgACAAIAAgAJIhQwBhAHMAaAAgAEYAbABvAHcAIABNAGEAcgBnAGkAbgAgAGkAcwAgAGEAIAB0AHIAdQBzAHQAZQBkACAAbQBlAHQAcgBpAGMAIABvAGYAIABhACAAYwBvAG0AcABhAG4AeQAZIHMAIABwAHIAbwBmAGkAdABhAGIAaQBsAGkAdAB5ACAAYQBuAGQAIABlAGYAZgBpAGMAaQBlAG4AYwB5ACAAYQBuAGQAIABpAHQAcwAgAGUAYQByAG4AaQBuAGcAcwAgAHEAdQBhAGwAaQB0AHkAtgBcACIAIAAmAFwAbgAgACAAIAAgACAAIAAgACAAXAAiAFIATwBBALsDIAAgACAAIAAgACAAIAAgACAAIAAgACAAIAAgACAAIAAgACAAIAAgACAAIAAgAJIhKgBSAGUAdAB1AHIAbgAgAG8AbgAgAEEAcwBzAGUAdABzACAASQBuAGQAaQBjAGEAdABlAHMAIABoAG8AdwAgAHAAcgBvAGYAaQB0AGEAYgBsAGUAIABhACAAYwBvAG0AcABhAG4AeQAgAGkAcwAgAGkAbgAgAHIAZQBsAGEAdABpAG8AbgAgAHQAbwAgAGkAdABzACAAdABvAHQAYQBsACAAYQBzAHMAZQB0AHMAtgBcACIAIAAmAFwAbgAgACAAIAAgACAAIAAgACAAXAAiAFIATwBFALsDIAAgACAAIAAgACAAIAAgACAAIAAgACAAIAAgACAAIAAgACAAIAAgACAAIAAgAJIhKgBSAGUAdAB1AHIAbgAgAG8AbgAgAGUAcQB1AGkAdAB5ACAAaQBzACAAYQAgAG0AZQBhAHMAdQByAGUAIABvAGYAIABmAGkAbgBhAG4AYwBpAGEAbAAgAHAAZQByAGYAbwByAG0AYQBuAGMAZQAgALYAXAAiACAAJgBcAG4AIAAgACAAIAAgACAAIAAgAFwAIgBSAE8ASQC7AyAAIAAgACAAIAAgACAAIAAgACAAIAAgACAAIAAgACAAIAAgACAAIAAgACAAIACSIVIAZQB0AHUAcgBuACAAbwBuACAASQBuAHYAZQBzAHQAbQBlAG4AdAAgAHIAYQB0AGkAbwAgACAAbQBlAGEAcwB1AHIAZQBzACAAdABoAGUAIABwAHIAbwBmAGkAdABhAGIAaQBsAGkAdAB5ACAAbwBmACAAYQBuACAAaQBuAHYAZQBzAHQAbQBlAG4AdAAgAGIAeQAgAGMAbwBtAHAAYQByAGkAbgBnACAAdABoAGUAIABnAGEAaQBuACAAbwByACAAbABvAHMAcwAgAHQAbwAgAGkAdABzACAAYwBvAHMAdAC2AFwAIgAgACYAXABuACAAIAAgACAAIAAgACAAIABcACIAUgBPAEkAQwC7AyAAIAAgACAAIAAgACAAIAAgACAAIAAgACAAIAAgACAAIAAgACAAIAAgACAAkiFSAGUAdAB1AHIAbgAgAG8AbgAgAEkAbgB2AGUAcwB0AGUAZAAgAGMAYQBwAGkAdABhAGwAIAAgAGEAcwBzAGUAcwBzAGUAcwAgAGEAIABjAG8AbQBwAGEAbgB5ABkgcwAgAGUAZgBmAGkAYwBpAGUAbgBjAHkAIABpAG4AIABhAGwAbABvAGMAYQB0AGkAbgBnACAAYwBhAHAAaQB0AGEAbAAgAHQAbwAgAHAAcgBvAGYAaQB0AGEAYgBsAGUAIABpAG4AdgBlAHMAdABtAGUAbgB0AHMAtgBcACIAIAAmAFwAbgAgACAAIAAgACAAIAAgACAAXAAiAJIhtgBcACIAIAAmACAAXABuACAAIAAgACAAIAAgACAAIABcACIATQBhAHIAawBlAHQAIABWAGEAbAB1AGUAIABSAGEAdABpAG8AcwCSIbYAXAAiACAAJgBcAG4AIAAgACAAIAAgACAAIAAgAFwAIgBQAHIAaQBjAGUARQBhAHIAbgBpAG4AZwBzAFIAYQB0AGkAbwC7AyAAIAAgACAAIAAgACAAIACSISoAUAByAGkAYwBlAC0AZQBhAHIAbgBpAG4AZwBzACAAUgBhAHQAaQBvACAAbQBlAGEAcwB1AHIAZQBzACAAYQAgAGMAbwBtAHAAYQBuAHkAJwBzACAAcwBoAGEAcgBlACAAcAByAGkAYwBlACAAcgBlAGwAYQB0AGkAdgBlACAAdABvACAAaQB0AHMAIABlAGEAcgBuAGkAbgBnAHMAIABwAGUAcgAgAHMAaABhAHIAZQC2AFwAIgAgACYAXABuACAAIAAgACAAIAAgACAAIABcACIAUAByAGkAYwBlAFQAbwBCAG8AbwBrAFIAYQB0AGkAbwC7AyAAIAAgACAAIAAgACAAIAAgACAAkiFNAGEAbgB5ACAAaQBuAHYAZQBzAHQAbwByAHMAIAB1AHMAZQAgAHQAaABlACAAcAByAGkAYwBlAC0AdABvAC0AYgBvAG8AawAgAHIAYQB0AGkAbwAgACgAUAAvAEIAIAByAGEAdABpAG8AKQAgAHQAbwAgAGMAbwBtAHAAYQByAGUAIABhACAAZgBpAHIAbQAnAHMAIABtAGEAcgBrAGUAdAAgAGMAYQBwAGkAdABhAGwAaQBzAGEAdABpAG8AbgAgAHQAbwAgAGkAdABzACAAYgBvAG8AawAgAHYAYQBsAHUAZQAgAGEAbgBkACAAbABvAGMAYQB0AGUAIAB1AG4AZABlAHIAdgBhAGwAdQBlAGQAIABjAG8AbQBwAGEAbgBpAGUAcwAuALYAXAAiACAAJgBcAG4AIAAgACAAIAAgACAAIAAgAFwAIgBQAHIAaQBjAGUAVABvAFMAYQBsAGUAcwBSAGEAdABpAG8AuwMgACAAIAAgACAAIAAgACAAIACSIVAAcgBpAGMAZQAgAHQAbwAgAFMAYQBsAGUAcwAgACgAUAAvAFMAKQAgAFIAYQB0AGkAbwAgAGkAcwAgAGEAbgAgAGkAbgBkAGkAYwBhAHQAbwByACAAbwBmACAAdABoAGUAIAB2AGEAbAB1AGUAIAB0AGgAYQB0ACAAZgBpAG4AYQBuAGMAaQBhAGwAIABtAGEAcgBrAGUAdABzACAAaABhAHYAZQAgAHAAbABhAGMAZQBkACAAbwBuACAAZQBhAGMAaAAgAGQAbwBsAGwAYQByACAAbwBmACAAYQAgAGMAbwBtAHAAYQBuAHkAJwBzACAAcwBhAGwAZQBzACAAbwByACAAcgBlAHYAZQBuAHUAZQBzALYAXAAiACAAJgBcAG4AIAAgACAAIAAgACAAIAAgAFwAIgBQAHIAaQBjAGUAVABvAEMAYQBzAGgAUgBhAHQAaQBvALsDIAAgACAAIAAgACAAIAAgACAAIACSIVAAcgBpAGMAZQAgAHQAbwAgAEMAYQBzAGgAIAAoAFAALwBDAEYAKQAgAFIAYQB0AGkAbwAgAGkAcwAgAGEAIABzAHQAbwBjAGsAIAB2AGEAbAB1AGEAdABpAG8AbgAgAGkAbgBkAGkAYwBhAHQAbwByACAAbwByACAAbQB1AGwAdABpAHAAbABlACAAdABoAGEAdAAgAG0AZQBhAHMAdQByAGUAcwAgAHQAaABlACAAdgBhAGwAdQBlACAAbwBmACAAYQAgAHMAdABvAGMAawAZIHMAIABwAHIAaQBjAGUAIAByAGUAbABhAHQAaQB2AGUAIAB0AG8AIABpAHQAcwAgAG8AcABlAHIAYQB0AGkAbgBnACAAYwBhAHMAaAAgAGYAbABvAHcAIABwAGUAcgAgAHMAaABhAHIAZQC2AFwAIgAgACYAXABuACAAIAAgACAAIAAgACAAIABcACIAQgBWAFAAUwC7AyAAIAAgACAAIAAgACAAIAAgACAAIAAgACAAIAAgACAAIAAgACAAIAAgACAAkiFCAG8AbwBrACAAdgBhAGwAdQBlACAAcABlAHIAIABzAGgAYQByAGUAIAByAGEAdABpAG8AIABpAHMAIABhAG4AIABpAG4AZABpAGMAYQB0AG8AcgAgAG8AZgAgAHQAaABlACAAdgBhAGwAdQBlACAAbwBmACAAYQAgAGMAbwBtAHAAYQBuAHkAGSBzACAAcwB0AG8AYwBrALYAXAAiACAAJgBcAG4AIAAgACAAIAAgACAAIAAgAFwAIgBDAEEAUABFAFIAYQB0AGkAbwC7AyAAIAAgACAAIAAgACAAIAAgACAAIAAgACAAIAAgACAAIACSIU0AZQBhAHMAdQByAGUAIAB0AGgAYQB0ACAAdQBzAGUAcwAgAHIAZQBhAGwAIABlAGEAcgBuAGkAbgBnAHMAIABwAGUAcgAgAHMAaABhAHIAZQAgACgARQBQAFMAKQAgAG8AdgBlAHIAIABhACAAMQAwAC0AeQBlAGEAcgAgAHAAZQByAGkAbwBkACAAdABvACAAcwBtAG8AbwB0AGgAIABvAHUAdAAgAGYAbAB1AGMAdAB1AGEAdABpAG8AbgBzACAAaQBuACAAYwBvAHIAcABvAHIAYQB0AGUAIABwAHIAbwBmAGkAdABzACAAdABoAGEAdAAgAG8AYwBjAHUAcgAgAG8AdgBlAHIAIABkAGkAZgBmAGUAcgBlAG4AdAAgAHAAZQByAGkAbwBkAHMAIABvAGYAIABhACAAYgB1AHMAaQBuAGUAcwBzACAAYwB5AGMAbABlACAAKABhAGsAYQAgAFMAaABpAGwAbABlAHIAIABQAEUAIABSAGEAdABpAG8AKQC2AFwAIgAgACYAXABuACAAIAAgACAAIAAgACAAIABcACIARABpAHYAaQBkAGUAbgBkAFAAYQB5AG8AdQB0AFIAYQB0AGkAbwC7AyAAIAAgACAAIAAgACAAkiFEAGkAdgBpAGQAZQBuAGQAIABQAGEAeQBvAHUAdAAgAFIAYQB0AGkAbwAgAGkAcwAgAHQAaABlACAAcABlAHIAYwBlAG4AdABhAGcAZQAgAG8AZgAgAGUAYQByAG4AaQBuAGcAcwAgAHAAYQBpAGQAIAB0AG8AIABzAGgAYQByAGUAaABvAGwAZABlAHIAcwAgAHYAaQBhACAAZABpAHYAaQBkAGUAbgBkAHMAtgBcACIAIAAmAFwAbgAgACAAIAAgACAAIAAgACAAXAAiAEQAaQB2AGkAZABlAG4AZABZAGkAZQBsAGQAUgBhAHQAaQBvALsDIAAgACAAIAAgACAAIAAgAJIhRABpAHYAaQBkAGUAbgBkACAAeQBpAGUAbABkACAAcgBhAHQAaQBvACAAcwBoAG8AdwBzACAAaABvAHcAIABtAHUAYwBoACAAYQAgAGMAbwBtAHAAYQBuAHkAIABwAGEAeQBzACAAbwB1AHQAIABpAG4AIABkAGkAdgBpAGQAZQBuAGQAcwC2AFwAIgAgACYAXABuACAAIAAgACAAIAAgACAAIABcACIARQBQAFMAuwMgACAAIAAgACAAIAAgACAAIAAgACAAIAAgACAAIAAgACAAIAAgACAAIAAgACAAkiFFAGEAcgBuAGkAbgBnAHMAIABwAGUAcgAgAHMAaABhAHIAZQAgAG0AZQBhAHMAdQByAGUAcwAgAHAAcgBvAGYAaQB0AGEAYgBpAGwAaQB0AHkAIABpAG4AZABpAGMAYQB0AGkAbgBnACAAaABvAHcAIABtAHUAYwBoACAAcAByAG8AZgBpAHQAIABlAGEAYwBoACAAbwB1AHQAcwB0AGEAbgBkAGkAbgBnACAAcwBoAGEAcgBlACAAbwBmACAAYwBvAG0AbQBvAG4AIABzAHQAbwBjAGsAIABoAGEAcwAgAGUAYQByAG4AZQBkACAAtgBcACIAIAAmAFwAbgAgACAAIAAgACAAIAAgACAAXAAiAFIAZQB0AGUAbgB0AGkAbwBuAFIAYQB0AGkAbwC7AyAAIAAgACAAIAAgACAAIAAgACAAIAAgAJIhUgBlAHQAZQBuAHQAaQBvAG4AIABSAGEAdABpAG8AIABpAHMAIAB0AGgAZQAgAHAAcgBvAHAAbwByAHQAaQBvAG4AIABvAGYAIABlAGEAcgBuAGkAbgBnAHMAIABrAGUAcAB0ACAAYgBhAGMAawAgAGkAbgAgAHQAaABlACAAYgB1AHMAaQBuAGUAcwBzACAAYQBzACAAcgBlAHQAYQBpAG4AZQBkACAAZQBhAHIAbgBpAG4AZwBzALYAXAAiACAAJgBcAG4AIAAgACAAIAAgACAAIAAgAFwAIgCSIbYAXAAiACAAJgAgAFwAbgAgACAAIAAgACAAIAAgACAAXAAiACoAIAAgACAAIAAgACAAIAAgACAAIAAgACAAIAAgACAAIAAgACAAIAAgACAAIAAgACAAIAAgAJIhVABoAGUAcwBlACAAYQByAGUAIABjAG8AbgBzAGkAZABlAHIAZQBkACAAJwBLAGUAeQAgAFIAYQB0AGkAbwBzACcAtgBcACIAIAAmAFwAbgAgACAAIAAgACAAIAAgACAAXAAiAJIhXAAiACwAIABcACIAkiFcACIALAAgAFwAIgC2AFwAIgBcAG4AIAAgACAAIAApAFwAbgApADsAXABuAFwAbgBcAG4AXABuAC8AKgAgACAARgBVAE4AQwBUAEkATwBOACAATgBBAE0ARQA6ACAAIABDAHUAcgByAGUAbgB0AFIAYQB0AGkAbwC7A1wAbgAgACAAIAAgAEQARQBTAEMAUgBJAFAAVABJAE8ATgA6ACoALwAvACoAKgBNAGUAYQBzAHUAcgBlAHMAIABhACAAYwBvAG0AcABhAG4AeQAZIHMAIABhAGIAaQBsAGkAdAB5ACAAdABvACAAcABhAHkAIABzAGgAbwByAHQALQB0AGUAcgBtACAAbwBiAGwAaQBnAGEAdABpAG8AbgBzACAAKABDAHUAcgByAGUAbgB0ACAAQQBzAHMAZQB0AHMALwBMAGkAYQBiAGkAbABpAHQAaQBlAHMAKQAqAC8AXABuAEMAdQByAHIAZQBuAHQAUgBhAHQAaQBvALsDIAA9ACAATABBAE0AQgBEAEEAKABcAG4ALwAvACAAIABQAGEAcgBhAG0AZQB0AGUAcgAgAEQAZQBjAGwAYQByAGEAdABpAG8AbgBzAFwAbgAgACAAIAAgACAAIAAgACAAWwBBAHMAcwBlAHQAcw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HUAcgByAGUAbgB0AFIAYQB0AGkAbwC7AygAIABBAHMAcwBlAHQAcwAsACAATABpAGEAYgBpAGwAaQB0AGkAZQBzACkAtgBcACIAIAAmACAAXABuACAAIAAgACAAIAAgACAAIAAgACAAIAAgACAAIAAgACAAIAAgACAAIAAgACAAIAAgAFwAIgBEAEUAUwBDAFIASQBQAFQASQBPAE4AOgAgACAAIACSIU0AZQBhAHMAdQByAGUAcwAgAGEAIABjAG8AbQBwAGEAbgB5ABkgcwAgAGEAYgBpAGwAaQB0AHkAIAB0AG8AIABwAGEAeQAgAHMAaABvAHIAdAAtAHQAZQByAG0AIABvAGIAbABpAGcAYQB0AGkAbwBuAHMAIAAgALYAXAAiACAAJgAgAFwAbgAgACAAIAAgACAAIAAgACAAIAAgACAAIAAgACAAIAAgACAAIAAgACAAIAAgACAAIAAgACAAIAAgACAAIAAgACAAIAAgACAAIAAgACAAIABcACIAkiEoAEMAdQByAHIAZQBuAHQAIABBAHMAcwBlAHQAcwAv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Yw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tAHAAbQAtAHQAcgBhAGQAZQAgAHIAZQBjAGUAbw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cgBvAHAAZQByAHQAeQAsACAAUABsAGEAbgB0ACAAYQBuAGQAIABlAHEAdQBpAHAAbQBlAG4AdAAgACgAUABQAEUAKQAgALYAXAAiACAAJgAgAFwAbgAgACAAIAAgACAAIAAgACAAIAAgACAAIAAgACAAIAAgACAAIAAgACAAIAAgACAAIAAgACAAIAAgACAAIAAgACAAIAAgACAAIAAgACAAIABcACIAkiFNAGEAcgBrAGUAdABhAGIAbABlACAAcwBlAGMAdQByAGkAdABp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LgAwADcANQAgACAAIAAgACAAIAAgACAAIAAgAJIhPQBuAGEAYgBsAGEALgBy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EwAaQBxAHUAaQBkAEEAcwBzAGUAdABzACwAIABMAGkAYQBiAGkAbABpAHQAaQBlAHMAKQC2AFwAIgAgACYAIABcAG4AIAAgACAAIAAgACAAIAAgACAAIAAgACAAIAAgACAAIAAgACAAIAAgACAAIAAgACAAXAAiAEQARQBTAEMAUgBJAFAAVABJAE8ATgA6ACAAIAAgAJIhTQBlAGEAcwB1AHIAZQBzACAAYQBiAGkAbABpAHQAeQAgAHQAbwAgAG0AZQBlAHQAIABzAGgAbwByAHQALQB0AGUAcgBtACAAbwBiAGwAaQBnAGEAdABpAG8AbgBzALYAXAAiACAAJgAgAFwAbgAgACAAIAAgACAAIAAgACAAIAAgACAAIAAgACAAIAAgACAAIAAgACAAIAAgACAAIAAgACAAIAAgACAAIAAgACAAIAAgACAAIAAgACAAIABcACIAkiEoAFEAdQBpAGMAawAgAEEAcwBzAGUAdABzAC8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cQAvAHEAdQBpAGMAawByAGEAdABpAG8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UQB1AGkAYwBrAEEAcwBzAGUAdABzACAAIACSISgAUgBlAHEAdQBpAHIAZQBkACkAIABRAHUAaQBjAGsAIABBAHMAcwBlAHQAcwAuACAASQBuAGMAbAB1AGQAZQBzADoAIAC2AFwAIgAgACYAIABcAG4AIAAgACAAIAAgACAAIAAgACAAIAAgACAAIAAgACAAIAAgACAAIAAgACAAIAAgACAAIAAgACAAIAAgACAAIAAgACAAIAAgACAAIAAgACAAXAAiAJIhIiAgAEMAYQBzAGgAIAAmACAAQwBhAHMAaAAgAGUAcQB1AGkAdgBhAGwAZQBuAHQAcwAgALYAXAAiACAAJgAgAFwAbgAgACAAIAAgACAAIAAgACAAIAAgACAAIAAgACAAIAAgACAAIAAgACAAIAAgACAAIAAgACAAIAAgACAAIAAgACAAIAAgACAAIAAgACAAIABcACIAkiEiICAATQBhAHIAawBlAHQAYQBiAGwAZQAgAHMAZQBjAHUAcgBpAHQAaQBlAHMAIAC2AFwAIgAgACYAIABcAG4AIAAgACAAIAAgACAAIAAgACAAIAAgACAAIAAgACAAIAAgACAAIAAgACAAIAAgACAAIAAgACAAIAAgACAAIAAgACAAIAAgACAAIAAgACAAXAAiAJIhIiAgAEEAYwBjAG8AdQBuAHQAcwAgAHIAZQBjAGUAaQB2AGEAYgBsAGUAIAC2AFwAIgAgACYAIABcAG4AIAAgACAAIAAgACAAIAAgACAAIAAgACAAIAAgACAAIAAgACAAIAAgACAAIAAgACAAIAAgACAAIAAgACAAIAAgACAAIAAgACAAIAAgACAAXAAiAJIhQQBsAHQAZQByAGEAbgB0AGkAdgBlAGwAeQAgAGkAdAAgAGkAbgBjAGwAdQBkAGUAcwA6ACAAtgBcACIAIAAmACAAXABuACAAIAAgACAAIAAgACAAIAAgACAAIAAgACAAIAAgACAAIAAgACAAIAAgACAAIAAgACAAIAAgACAAIAAgACAAIAAgACAAIAAgACAAIAAgAFwAIgCSISIgIABDAHUAcgByAGUAbgB0ACAAYQBzAHMAZQB0AHMAIAC2AFwAIgAgACYAIABcAG4AIAAgACAAIAAgACAAIAAgACAAIAAgACAAIAAgACAAIAAgACAAIAAgACAAIAAgACAAIAAgACAAIAAgACAAIAAgACAAIAAgACAAIAAgACAAXAAiAJIhIiAgAEwAZQBzAHMAIABpAG4AdgBlAG4AdABvAHIAeQAgALYAXAAiACAAJgAgAFwAbgAgACAAIAAgACAAIAAgACAAIAAgACAAIAAgACAAIAAgACAAIAAgACAAIAAgACAAIAAgACAAIAAgACAAIAAgACAAIAAgACAAIAAgACAAIABcACIAkiEiICAATABlAHMAcwAgAHAAcgBlAHAAYQBpAGQAIABlAHgAcABlAG4AcwBlAHM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QAuADIAIAAgACAAIAAgACAAIAAgACAAIAAgACAAkiE9AG4AYQBiAGwAYQAuAHIALgBRAHUAaQBjAGsAUgBhAHQAaQBvALsDKAAgADEANgA1ADAAMAAwACwAIAAxADMANwA1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RAHUAaQBjAGsAQQBzAHMAZQB0AHM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UQB1AGkAYwBrAEEAcwBzAGUAdABz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QwBhAHMAaABSAGEAdABpAG8AuwNcAG4AIAAgACAAIABEAEUAUwBDAFIASQBQAFQASQBPAE4AOgAqAC8ALwAqACoARQB2AGEAbAB1AGEAdABlAHMAIABhAGIAaQBsAGkAdAB5ACAAdABvACAAcgBlAHAAYQB5ACAAcwBoAG8AcgB0AC0AdABlAHIAbQAgAGQAZQBiAHQAIAB3AC8AYwBhAHMAaAAgAG8AcgAgAG4AZQBhAHIALQBjAGEAcwBoACAAcgBlAHMAbwB1AHIAYwBlAHMAIABcAG4AIAAgACAAIAAoAEMAYQBzAGgAIABhAG4AZAAgAEMAYQBzAGgAIABFAHEAdQBpAHYAYQBsAGUAbgB0AHMAIAAvACAAQwB1AHIAcgBlAG4AdAAgAEwAaQBhAGIAaQBsAGkAdABpAGUAcwApACoALwBcAG4AQwBhAHMAaABSAGEAdABpAG8AuwMgAD0AIABMAEEATQBCAEQAQQAoAFwAbgAvAC8AIAAgAFAAYQByAGEAbQBlAHQAZQByACAARABlAGMAbABhAHIAYQB0AGkAbwBuAHMAXABuACAAIAAgACAAIAAgACAAIABbAEMAYQBzAGg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JIhQwBhAHMAaABSAGEAdABpAG8AuwMoACAAQwBhAHMAaAAsACAATABpAGEAYgBpAGwAaQB0AGkAZQBzACkAtgBcACIAIAAmACAAXABuACAAIAAgACAAIAAgACAAIAAgACAAIAAgACAAIAAgACAAIAAgACAAIAAgACAAIAAgAFwAIgBEAEUAUwBDAFIASQBQAFQASQBPAE4AOgAgACAAIACSIUUAdgBhAGwAdQBhAHQAZQBzACAAYQBiAGkAbABpAHQAeQAgAHQAbwAgAHIAZQBwAGEAeQAgAHMAaABvAHIAdAAtAHQAZQByAG0AIABkAGUAYgB0ACAAdwAvAGMAYQBzAGgAIABvAHIAIABuAGUAYQByAC0AYwBhAHMAaAAgAHIAZQBzAG8AdQByAGMAZQBzAFwAIgAgACYAIABcAG4AIAAgACAAIAAgACAAIAAgACAAIAAgACAAIAAgACAAIAAgACAAIAAgACAAIAAgACAAIAAgACAAIAAgACAAIAAgACAAIAAgACAAIAAgACAAXAAiAJIhKABDAGEAcwBoACAAYQBuAGQAIABDAGEAcwBoACAARQBxAHUAaQB2AGEAbABlAG4AdABzACAALwAg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GMALwBjAGEAcwBo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MAYQBzAGgAIAAgACAAIAAgACAAIAAgACAAIAAgAJIhKABSAGUAcQB1AGkAcgBlAGQAKQAgAEMAYQBzAGgAIABhAG4AZAAgAEMAYQBzAGgAIABFAHEAdQBpAHYAYQBsAGUAbgB0AHM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C4ANQAxADcANAAwADkAIAAgACAAIAAgACAAIAAgAJIhPQBuAGEAYgBsAGEALgBy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AALgAzADUAOAA3ADEAIAAgACAAIAAgACAAIAAgACAAIAAgACAAkiE9AG4AYQBiAGwAYQAuAHIALgBPAHAAZQByAGEAdABpAG4AZwBDAGEAcwBoAEYAbABvAHcAUgBhAHQAaQBvALsDKAAgADIANwAuADgALAAgADcANwAuADU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QwBhAHMAaABGAGwAbwB3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8AcABlAHIAYQB0AGkAbgBnAEMAYQBzAGgARgBsAG8Ad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IAZQBjAGUAaQB2AGEAYgBsAGUAcwBUAHUAcgBuAG8AdgBlAHIAUgBhAHQAaQBvALsDXABuACAAIAAgACAARABFAFMAQwBSAEkAUABUAEkATwBOADoAKgAvAC8AKgAqAEkAbgBkAGkAYwBhAHQAZQBzACAAZQBmAGYAZQBjAHQAaQB2AGUAbgBlAHMAcwAgAGkAbgAgAGMAbwBsAGwAZQBjAHQAaQBuAGcAIABvAHUAdABzAHQAYQBuAGQAaQBuAGcAIABiAGEAbABhAG4AYwBlAHMAIABmAHIAbwBtACAAYwBsAGkAZQBuAHQAcwAgAGEAbgBkACAAXABuAG0AYQBuAGEAZwBpAG4AZwAgAGwAaQBuAGUAIABvAGYAIABjAHIAZQBkAGkAdAAgAHAAcgBvAGMAZQBzAHMAIAAoAE4AZQB0ACAAQwByAGUAZABpAHQAIABTAGEAbABlAHMALwBBAHYAZQByAGEAZwBlACAAQQBjAGMAbwB1AG4AdABzACAAUgBlAGMAZQBpAHYAYQBiAGwAZQApACAAKgAvAFwAbgBSAGUAYwBlAGkAdgBhAGIAbABlAHMAVAB1AHIAbgBvAHYAZQByAFIAYQB0AGkAbwC7AyAAPQAgAEwAQQBNAEIARABBACgAXABuAC8ALwAgACAAUABhAHIAYQBtAGUAdABlAHIAIABEAGUAYwBsAGEAcgBhAHQAaQBvAG4AcwBcAG4AIAAgACAAIAAgACAAIAAgAFsATgBlAHQAQwByAGUAZABpAHQAUwBhAGwAZQBzAF0ALAAgACAAXABuACAAIAAgACAAIAAgACAAIABbAEEAdgBlAHIAYQBnAGUAQQBjAGMAbwB1AG4AdABzAFIAZQBjAGUAaQB2AGEAYgBsAGUAXQAsACAAIAAgACAAXABuAC8ALwAgACAASABlAGwAcABcAG4AIAAgACAAIABMAEUAVAAoAEgAZQBsAHAALAAgACAAIABUAFIASQBNACgAVABFAFgAVABTAFAATABJAFQAKAAgAFwAbgAgACAAIAAgACAAIAAgACAAIAAgACAAIAAgACAAIAAgACAAIAAgACAAIAAgACAAIABcACIARgBVAE4AQwBUAEkATwBOADoAIAAgACAAIAAgACAAkiFSAGUAYwBlAGkAdgBhAGIAbABlAHMAVAB1AHIAbgBvAHYAZQByAFIAYQB0AGkAbwC7AygAIABOAGUAdABDAHIAZQBkAGkAdABTAGEAbABlAHMALAAgAEEAdgBlAHIAYQBnAGUAQQBjAGMAbwB1AG4AdABzAFIAZQBjAGUAaQB2AGEAYgBsAGUAKQC2AFwAIgAgACYAIABcAG4AIAAgACAAIAAgACAAIAAgACAAIAAgACAAIAAgACAAIAAgACAAIAAgACAAIAAgACAAXAAiAEQARQBTAEMAUgBJAFAAVABJAE8ATgA6ACAAIAAgAJIhSQBuAGQAaQBjAGEAdABlAHMAIABlAGYAZgBlAGMAdABpAHYAZQBuAGUAcwBzACAAaQBuACAAYwBvAGwAbABlAGMAdABpAG4AZwAgAG8AdQB0AHMAdABhAG4AZABpAG4AZwAgAGIAYQBsAGEAbgBjAGUAcwAgAGYAcgBvAG0AIABjAGwAaQBlAG4AdABzACAAYQBuAGQAIAC2AFwAIgAgACYAXABuACAAIAAgACAAIAAgACAAIAAgACAAIAAgACAAIAAgACAAIAAgACAAIAAgACAAIAAgACAAIAAgACAAIAAgACAAIAAgACAAIAAgACAAIAAgAFwAIgCSIW0AYQBuAGEAZwBpAG4AZwAgAGwAaQBuAGUAIABvAGYAIABjAHIAZQBkAGkAdAAgAHAAcgBvAGMAZQBzAHMAIAAoAE4AZQB0ACAAQwByAGUAZABpAHQAIABTAGEAbABlAHMALwBBAHYAZQByAGEAZwBlACAAQQBjAGMAbwB1AG4AdABzACAAUgBlAGMAZQBpAHYAYQBiAGwAZQApALYAXAAiACAAJgAgAFwAbgAgACAAIAAgACAAIAAgACAAIAAgACAAIAAgACAAIAAgACAAIAAgACAAIAAgACAAIABcACIAVwBFAEIAUABBAEcARQA6ACAAIAAgACAAIAAgACAAkiFoAHQAdABwAHMAOgAvAC8AdwB3AHcALgBpAG4AdgBlAHMAdABvAHAAZQBkAGkAYQAuAGMAbwBtAC8AdABlAHIAbQBzAC8AcgAvAHIAZQBjAGUAaQB2AGEAYgBsAGUAdAB1AHIAbgBvAHYAZQBy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DAHIAZQBkAGkAdABTAGEAbABlAHMAIACSISgAUgBlAHEAdQBpAHIAZQBkACkAIABOAGUAdAAgAEMAcgBlAGQAaQB0ACAAUwBhAGwAZQBzAC4AIABBAG0AbwB1AG4AdAAgAG8AZgAgAHIAZQB2AGUAbgB1AGUAIABlAGEAcgBuAGUAZAAgAGIAeQAgAGEAIABjAG8AbQBwAGEAbgB5ACAAcABhAGkAZAAgAHYAaQBhACAAYwByAGUAZABpAHQAtgBcACIAIAAmACAAXABuACAAIAAgACAAIAAgACAAIAAgACAAIAAgACAAIAAgACAAIAAgACAAIAAgACAAIAAgAFwAIgBBAHYAZQByAGEAZwBlAEEAYwBjAG8AdQBuAHQAcwBSAGUAYwBlAGkAdgBhAGIAbABlAJIhKABSAGUAcQB1AGkAcgBlAGQAKQAgAEEAdgBlAHIAYQBnAGUAIABBAGMAYwBvAHUAbgB0AHMAIABSAGUAYwBlAGkAdgBhAGIAbABlAC4AIABBAHYAZQByAGEAZwBlACAAbwBmACAAcABlAHIAaQBvAGQAIABvAHAAZQBuAGkAbgBnACAAYQBuAGQAIABjAGwAbwBzAGkAbgBnACAAYgBhAGwAYQBuAGM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xADEALgA3ADYANAA3ADEAIAAgACAAIAAgACAAIACSIT0AbgBhAGIAbABhAC4Ac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OAAuADQANgAxADUAMwA4ACAAIAAgACAAIAAgACAAIAAgACAAIACSIT0AbgBhAGIAbABhAC4Ac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MAbwBzAHQATwBmAEcAbwBvAGQAcwBTAG8AbABkACwAIABBAHYAZQByAGEAZwBlAEkAbgB2AGUAbgB0AG8AcgB5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4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gBhAGIAbABhAC4AcgAgAGkAcwAgAGEAcwBzAHUAbQBlAGQAIAB0AG8AIABiAGUAIAB0AGgAZQAgAG0AbwBkAHUAbABlACcAcwAgAG4AYQBtAGUAKQC2AFwAIgAgACYAXABuACAAIAAgACAAIAAgACAAIAAgACAAIAAgACAAIAAgACAAIAAgACAAIAAgACAAIAAgAFwAIgA2AC4AMAAgACAAIAAgACAAIAAgACAAIAAgACAAIAAgACAAIACSIT0AbgBhAGIAbABhAC4AcgAuAFcAbwByAGsAaQBuAGcAQwBhAHAAaQB0AGEAbABUAHUAcgBuAG8AdgBlAHIAUgBhAHQAaQBvALsDKAAgADEAMgAuADAALAAgADI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EAbgBuAHUAYQBsAFMAYQBsAGUAcwApACwAXABuACAAIAAgACAAIAAgACAAIAAgACAAIAAgACAAIAAgACAAIAAgACAAIAAgACAAIAAgACAAIAAgACAASQBTAE8ATQBJAFQAVABFAEQAKAAgAFcAbwByAGsAaQBuAGcAQwBhAHAAaQB0AGEAbAApAFwAbgAgACAAIAAgACAAIAAgACAAIAAgACAAIAAgACAAIAAgACAAIAAgACAAIAAgACAAIAApACwAXABuACAAIAAgACAALwAvACAAIABQAHIAbwBjAGUAZAB1AHIAZQBcAG4AIAAgACAAIAAgACAAIAAgAFIAZQBzAHUAbAB0ACwAIAAgACAAIAAgACAAIAAgACAATgBlAHQAQQBuAG4AdQBhAGwAUwBhAGwAZQBzAC8AVwBvAHIAawBpAG4AZwBDAGEAcABpAHQAYQBsACwAXABuACAAIAAgACAALwAvACAAIABSAGUAdAB1AHIAbgAgAFIAZQBzAHUAbAB0AFwAbgAgACAAIAAgACAAIAAgACAAQwBIAE8ATwBTAEUAKABIAGUAbABwAD8AIAArACAAMQAsACAAUgBlAHMAdQBsAHQALAAgAEgAZQBsAHAAKQAgACAAIAAgACAAIAAgACAAXABuACAAIAAgACAAKQBcAG4AKQA7AFwAbgBcAG4AXABuAFwAbgBcAG4AXABuAFwAbgAvAC8AIAAgAEwAZQB2AGUAcgBhAGcAZQAgAFIAYQB0AGkAbwBzACAAKABhAGsAYQAgAFMAbwBsAHYAZQBuAGMAeQAgAFIAYQB0AGkAbwBzACkAXABuAFwAbgBcAG4AXABuAC8AKgAgACAARgBVAE4AQwBUAEkATwBOACAATgBBAE0ARQA6ACAAIABEAGUAYgB0AFIAYQB0AGkAbwC7A1wAbgAgACAAIAAgAEQARQBTAEMAUgBJAFAAVABJAE8ATgA6ACoALwAvACoAKgBNAGUAYQBzAHUAcgBlAHMAIAB0AGgAZQAgAGUAeAB0AGUAbgB0ACAAbwBmACAAYQAgAGMAbwBtAHAAYQBuAHkAGSBzACAAbABlAHYAZQByAGEAZwBl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IAAgACAAIAAgACAAIAAgACAAIAAgACAAIACSIT0AbgBhAGIAbABhAC4AcgAuAEQAZQBiAHQAUgBhAHQAaQBvALsDKAAzADAALgAwACwAIAAxADAAMA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QwBSALsDXABuACAAIAAgACAARABFAFMAQwBSAEkAUABUAEkATwBOADoAKgAvAC8AKgAqAEQAZQBiAHQAIABzAGUAcgB2AGkAYwBlACAAYwBvAHYAZQByAGEAZwBlACAAUgBhAHQAaQBvACAAbQBlAGEAcwB1AHIAZQBzACAAYQAgAGYAaQByAG0AGSBzACAAYQB2AGEAaQBsAGEAYgBsAGUAIABjAGEAcwBoACAAZgBsAG8AdwAgAHQAbwAgAHAAYQB5ACAAaQB0AHMAIABcAG4AYwB1AHIAcgBlAG4AdAAgAGQAZQBiAHQAIABvAGIAbABpAGcAYQB0AGkAbwBuAHMAKABOAGUAdAAgAE8AcABlAHIAYQB0AGkAbgBnACAASQBuAGMAbwBtAGUALwBUAG8AdABhAGwAIABEAGUAYgB0ACAAUwBlAHIAdgBpAGMAZQApACAAKgAvAFwAbgBEAFMAQwBSALsDIAA9ACAATABBAE0AQgBEAEEAKABcAG4ALwAvACAAIABQAGEAcgBhAG0AZQB0AGUAcgAgAEQAZQBjAGwAYQBSAGEAdABpAG8AbgBzAFwAbgAgACAAIAAgACAAIAAgACAAWwBOAGUAdABPAHAAZQByAGEAdABpAG4AZwBJAG4AYwBvAG0AZQBdACwAIAAgAFwAbgAgACAAIAAgACAAIAAgACAAWwBUAG8AdABhAGwARABlAGIAdABTAGUAcgB2AGkAYwBlAF0ALAAgACAAIAAgAFwAbgAvAC8AIAAgAEgAZQBsAHAAXABuACAAIAAgACAATABFAFQAKABIAGUAbABwACwAIAAgACAAVABSAEkATQAoAFQARQBYAFQAUwBQAEwASQBUACgAIABcAG4AIAAgACAAIAAgACAAIAAgACAAIAAgACAAIAAgACAAIAAgACAAIAAgACAAIAAgACAAXAAiAEYAVQBOAEMAVABJAE8ATgA6ACAAIAAgACAAIAAgACAAIAAgACAAkiFEAFMAQwBSALsDKAAgAE4AZQB0AE8AcABlAHIAYQB0AGkAbgBnAEkAbgBjAG8AbQBlACwAIABUAG8AdABhAGwAZABlAGIAdABzAGUAcgB2AGkAYwBlACkAtgBcACIAIAAmACAAXABuACAAIAAgACAAIAAgACAAIAAgACAAIAAgACAAIAAgACAAIAAgACAAIAAgACAAIAAgAFwAIgBEAEUAUwBDAFIASQBQAFQASQBPAE4AOgAgACAAIAAgACAAIAAgAJIhTQBlAGEAcwB1AHIAZQBzACAAYQAgAGYAaQByAG0AGSBzACAAYQB2AGEAaQBsAGEAYgBsAGUAIABjAGEAcwBoACAAZgBsAG8AdwAgAHQAbwAgAHAAYQB5ACAAaQB0AHMAIABjAHUAcgByAGUAbgB0ACAAZABlAGIAdAAgAG8AYgBsAGkAZwBhAHQAaQBvAG4AcwC2AFwAIgAgACYAXABuACAAIAAgACAAIAAgACAAIAAgACAAIAAgACAAIAAgACAAIAAgACAAIAAgACAAIAAgACAAIAAgACAAIAAgACAAIAAgACAAIAAgACAAIAAgACAAIAAgACAAXAAiAJIhKABOAGUAdAAgAE8AcABlAHIAYQB0AGkAbgBnACAASQBuAGMAbwBtAGUALwBUAG8AdABhAGwAIABEAGUAYgB0ACAAUwBlAHIAdgBpAGMAZQApALYAXAAiACAAJgAgAFwAbgAgACAAIAAgACAAIAAgACAAIAAgACAAIAAgACAAIAAgACAAIAAgACAAIAAgACAAIABcACIAVwBFAEIAUABBAEcARQA6ACAAIAAgACAAIAAgACAAIAAgACAAIACSIWgAdAB0AHAAcwA6AC8ALwB3AHcAdwAuAGkAbgB2AGUAcwB0AG8AcABlAGQAaQBhAC4AYwBvAG0ALwB0AGUAcgBtAHMALwBkAC8AZABzAGMAc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8AcABlAHIAYQB0AGkAbgBnAEkAbgBjAG8AbQBlACAAkiEoAFIAZQBxAHUAaQByAGUAZAApACAAUgBlAHYAZQBuAHUAZQAgAC0AIABDAGUAcgB0AGEAaQBuACAATwBwAGUAcgBhAHQAaQBuAGcAIABFAHgAcABlAG4AcwBlAHMAtgBcACIAIAAmACAAXABuACAAIAAgACAAIAAgACAAIAAgACAAIAAgACAAIAAgACAAIAAgACAAIAAgACAAIAAgAFwAIgBUAG8AdABhAGwAZABlAGIAdABTAGUAcgB2AGkAYwBlACAAIAAgAJIhKABSAGUAcQB1AGkAcgBlAGQAKQAgAEkAbgB0AGUAcgBlAHMAdAAgACoAIAAoADEALQBUAGEAeAAgAFIAYQB0AGUAKQAsACAAcAByAGkAbgBjAGkAcABhAGwALAAgAHMAaQBuAGsAaQBuAGcAIABmAHUAbgBkACwAtgBcACIAIAAmAFwAbgAgACAAIAAgACAAIAAgACAAIAAgACAAIAAgACAAIAAgACAAIAAgACAAIAAgACAAIAAgACAAIAAgACAAIAAgACAAIAAgACAAIAAgACAAIAAgACAAIAAgAFwAIgCSIWEAbgBkACAAbABlAGEAcwBlACAAcABhAHkAbQBlAG4AdABzACAAZAB1AGUAIABpAG4AIAB0AGgAZQAgAGMAbwBtAGkAbgBnACAAeQBlAGEAcg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YALgAxADQAMgA4ADUANwAgACAAIAAgACAAIAAgACAAIAAgACAAkiE9AG4AYQBiAGwAYQAuAHI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2AC4ANAAlACAAIAAgACAAIAAgACAAIAAgACAAIAAgACAAIACSIT0AbgBhAGIAbABhAC4AcgAuAEQAZQBiAHQAVABvAEMAYQBwAGkAdABhAGwAUgBhAHQAaQBvALsDKAAgADgAMAAuADAALAAgADIAMgAz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ZQBiAHQ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RABlAGIAdAAvACgARABlAGIAdAArAFMAaABhAHIAZQBoAG8AbABkAGUAcgBzAEUAcQB1AGkAdAB5AC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E0AdQBsAHQAaQBwAGwAaQBlAHIAuwNcAG4AIAAgACAAIABEAEUAUwBDAFIASQBQAFQASQBPAE4AOgAqAC8ALwAqACoATQBlAGEAcwB1AHIAZQBzACAAdABoAGUAIABwAG8AcgB0AGkAbwBuACAAbwBmACAAYQAgAGMAbwBtAHAAYQBuAHkAGSBzACAAYQBzAHMAZQB0AHMAIABmAGkAbgBhAG4AYwBlAGQAIABiAHkAIABzAGgAYQByAGUAaABvAGwAZABlAHIAcwAnAFwAbgBlAHEAdQBpAHQAeQAgAHIAYQB0AGgAZQByACAAdABoAGEAbgAgAGIAeQAgAGQAZQBiAHQAIAAoAFQAbwB0AGEAbABBAHMAcwBlAHQAcwAvAFQAbwB0AGEAbABTAGgAYQByAGUAaABvAGwAZABlAHIAcwBFAHEAdQBpAHQAeQApACAAKgAvAFwAbgBFAHEAdQBpAHQAeQBNAHUAbAB0AGkAcABsAGkAZQByALsDIAA9ACAATABBAE0AQgBEAEEAKABcAG4ALwAvACAAIABQAGEAcgBhAG0AZQB0AGUAcgAgAEQAZQBjAGwAYQBSAGEAdABpAG8AbgBzAFwAbgAgACAAIAAgACAAIAAgACAAWwBUAG8AdABhAGwAQQBzAHMAZQB0AHMAXQAsACAAIABcAG4AIAAgACAAIAAgACAAIAAgAFsAVABvAHQAYQBs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FAHEAdQBpAHQAeQBNAHUAbAB0AGkAcABsAGkAZQByALsDKAAgAFQAbwB0AGEAbABBAHMAcwBlAHQAcwAsACAAVABvAHQAYQBsAFMAaABhAHIAZQBoAG8AbABkAGUAcgBzAEUAcQB1AGkAdAB5ACkAtgBcACIAIAAmACAAXABuACAAIAAgACAAIAAgACAAIAAgACAAIAAgACAAIAAgACAAIAAgACAAIAAgACAAIAAgAFwAIgBEAEUAUwBDAFIASQBQAFQASQBPAE4AOgAgACAAIAAgACAAIAAgAJIhTQBlAGEAcwB1AHIAZQBzACAAdABoAGUAIABwAG8AcgB0AGkAbwBuACAAbwBmACAAYQAgAGMAbwBtAHAAYQBuAHkAGSBzACAAYQBzAHMAZQB0AHMAIABmAGkAbgBhAG4AYwBlAGQAIABiAHkAIABzAGgAYQByAGUAaABvAGwAZABlAHIAcwAnACAAtgBcACIAIAAmAFwAbgAgACAAIAAgACAAIAAgACAAIAAgACAAIAAgACAAIAAgACAAIAAgACAAIAAgACAAIAAgACAAIAAgACAAIAAgACAAIAAgACAAIAAgACAAIAAgACAAIAAgAFwAIgCSIWUAcQB1AGkAdAB5ACAAcgBhAHQAaABlAHIAIAB0AGgAYQBuACAAYgB5ACAAZABlAGIAdAAgACgAVABvAHQAYQBsAEEAcwBzAGUAdABzAC8AVABvAHQAYQBsAFMAaABhAHIAZQBoAG8AbABkAGUAcgBzAEUAcQB1AGkAdAB5ACkAtgBcACIAIAAmACAAXABuACAAIAAgACAAIAAgACAAIAAgACAAIAAgACAAIAAgACAAIAAgACAAIAAgACAAIAAgAFwAIgBXAEUAQgBQAEEARwBFADoAIAAgACAAIAAgACAAIAAgACAAIAAgAJIhaAB0AHQAcABzADoALwAvAHcAdwB3AC4AaQBuAHYAZQBzAHQAbwBwAGUAZABpAGEALgBjAG8AbQAvAHQAZQByAG0AcwAvAGUALwBlAHEAdQBpAHQAeQBtAHUAbAB0AGkAcABsAGkAZQBy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BAHMAcwBlAHQAcwAgACAAIAAgACAAIAAgACAAkiEoAFIAZQBxAHUAaQByAGUAZAApACAAQgBvAHQAaAAgAGMAdQByAHIAZQBuAHQAIABhAG4AZAAgAGwAbwBuAGcALQB0AGUAcgBtACAAYQBzAHMAZQB0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0ADAANgAyADUAIAAgACAAIAAgACAAIAAgACAAIAAgACAAkiE9AG4AYQBiAGwAYQAuAHI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MALgA3ADcAIAAgACAAIAAgACAAIAAgACAAIAAgACAAIAAgACAAkiE9AG4AYQBiAGwAYQAuAHIALgBEAGUAYgB0AFQAbwBFAHEAdQBpAHQAeQBSAGEAdABpAG8AuwMoADIANwA5AC4AMAAsACAANwA0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MAGkAYQBiAGkAbABpAHQAaQBlAHMAKQAsAFwAbgAgACAAIAAgACAAIAAgACAAIAAgACAAIAAgACAAIAAgACAAIAAgACAAIAAgACAAIAAgACAAIAAgAEkAUwBPAE0ASQBUAFQARQBEACgAIABTAGgAYQByAGUAaABvAGwAZABlAHIAcwBFAHEAdQBpAHQAeQApACwAXABuACAAIAAgACAAIAAgACAAIAAgACAAIAAgACAAIAAgACAAIAAgACAAIAAgACAAIAAgACkALABcAG4AIAAgACAAIAAvAC8AIAAgAFAAcgBvAGMAZQBkAHUAcgBlAFwAbgAgACAAIAAgACAAIAAgACAAUgBlAHMAdQBsAHQALAAgACAAIAAgACAAIAAgACAAIABUAG8AdABhAGwATABpAGEAYgBpAGwAaQB0AGkAZQBzAC8AUwBoAGEAcgBlAGgAbwBsAGQAZQByAHMARQBxAHUAaQB0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ZQBiAHQAVABvAEEAcwBzAGUAdABSAGEAdABpAG8AuwNcAG4AIAAgACAAIABEAEUAUwBDAFIASQBQAFQASQBPAE4AOgAqAC8ALwAqACoAQQBuAGEAbAB5AHMAdABzACAAYwBhAG4AIABjAG8AbQBwAGEAcgBlACAAbwBuAGUAIABjAG8AbQBwAGEAbgB5ACcAcwAgAGwAZQB2AGUAcgBhAGcAZQ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TAGgAYQByAGUAaABvAGwAZABlAHIAcwAnACAARQBxAHUAaQB0AHkAIAAoAHQAbwB0AGEAbAAgAGEAcwBzAGUAdABzACAALQAgAHQAbwB0AGEAbAAgAGwAaQBhAGIAaQBsAGkAdABpAGUAcwAp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uADQAOQA4ADcAMwAgACAAIAAgACAAIAAgACAAIAAgACAAIAAgAJIhPQBuAGEAYgBsAGEALgByAC4ARABlAGIAdABUAG8AQQBzAHMAZQB0AFIAYQB0AGkAbwC7AygAMwAxAC4AOAA0ADUALAAgADYAMwAuADgANQAy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VABvAHQAYQBsAEQAZQBiAHQ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FQAbwB0AGEAbABEAGUAYgB0ACA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0AGUAcgBlAHMAdABDAG8AdgBlAHIAYQB0AGUAUgBhAHQAaQBvALsDXABuACAAIAAgACAARABFAFMAQwBSAEkAUABUAEkATwBOADoAKgAvAC8AKgAqAEQAZQB0AGUAcgBtAGkAbgBlAHMAIABoAG8AdwAgAGUAYQBzAGkAbAB5ACAAYQAgAGMAbwBtAHAAYQBuAHkAIABjAGEAbgAgAHAAYQB5ACAAaQBuAHQAZQByAGUAcwB0ACAAbwBuACAAaQB0AHMAIABvAHUAdABzAHQAYQBuAGQAaQBuAGcAIABkAGUAYgB0AFwAbgAoAE8AcABlAHIAYQB0AGkAbgBnACAASQBuAGMAbwBtAGUALwBJAG4AdABlAHIAZQBzAHQAIABFAHgAcABlAG4AcwBlAHMAKQAgACoALwBcAG4ASQBuAHQAZQByAGUAcwB0AEMAbwB2AGUAcgBhAGcAZQBSAGEAdABpAG8AuwMgAD0AIABMAEEATQBCAEQAQQAoAFwAbgAvAC8AIAAgAFAAYQByAGEAbQBlAHQAZQByACAARABlAGMAbABhAFIAYQB0AGkAbwBuAHMAXABuACAAIAAgACAAIAAgACAAIABbAE8AcABlAHIAYQB0AGkAbgBnAEkAbgBjAG8AbQBlAF0ALAAgACAAXABuACAAIAAgACAAIAAgACAAIABbAEkAbgB0AGUAcgBlAHMAdABFAHgAcABlAG4AcwBlAHMAXQAsACAAIAAgACAAXABuAC8ALwAgACAASABlAGwAcABcAG4AIAAgACAAIABMAEUAVAAoAEgAZQBsAHAALAAgACAAIABUAFIASQBNACgAVABFAFgAVABTAFAATABJAFQAKAAgAFwAbgAgACAAIAAgACAAIAAgACAAIAAgACAAIAAgACAAIAAgACAAIAAgACAAIAAgACAAIABcACIARgBVAE4AQwBUAEkATwBOADoAIAAgACAAIAAgACAAIAAgACAAIACSIUkAbgB0AGUAcgBlAHMAdABDAG8AdgBlAHIAYQBnAGUAUgBhAHQAaQBvALsDKAAgAE8AcABlAHIAYQB0AGkAbgBnAEkAbgBjAG8AbQBlACwAIABJAG4AdABlAHIAZQBzAHQARQB4AHAAZQBuAHMAZQBzACkAtgBcACIAIAAmACAAXABuACAAIAAgACAAIAAgACAAIAAgACAAIAAgACAAIAAgACAAIAAgACAAIAAgACAAIAAgAFwAIgBEAEUAUwBDAFIASQBQAFQASQBPAE4AOgAgACAAIAAgACAAIAAgAJIhRABlAHQAZQByAG0AaQBuAGUAcwAgAGgAbwB3ACAAZQBhAHMAaQBsAHkAIABhACAAYwBvAG0AcABhAG4AeQAgAGMAYQBuACAAcABhAHkAIABpAG4AdABlAHIAZQBzAHQAIABvAG4AIABpAHQAcwAgAG8AdQB0AHMAdABhAG4AZABpAG4AZwAgAGQAZQBiAHQAtgBcACIAIAAmAFwAbgAgACAAIAAgACAAIAAgACAAIAAgACAAIAAgACAAIAAgACAAIAAgACAAIAAgACAAIAAgACAAIAAgACAAIAAgACAAIAAgACAAIAAgACAAIAAgACAAIAAgAFwAIgCSISgATwBwAGUAcgBhAHQAaQBuAGcAIABJAG4AYwBvAG0AZQAvAEkAbgB0AGUAcgBlAHMAdAAgAEUAeABwAGUAbgBzAGUAcwApALYAXAAiACAAJgAgAFwAbgAgACAAIAAgACAAIAAgACAAIAAgACAAIAAgACAAIAAgACAAIAAgACAAIAAgACAAIABcACIAVwBFAEIAUABBAEcARQA6ACAAIAAgACAAIAAgACAAIAAgACAAIACSIWgAdAB0AHAAcwA6AC8ALwB3AHcAdwAuAGkAbgB2AGUAcwB0AG8AcABlAGQAaQBhAC4AYwBvAG0ALwB0AGUAcgBtAHMALwBpAC8AaQBuAHQAZQByAGUAcwB0AGMAbwB2AGUAcgBhAGcAZQ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uADkANAA0ADQANAA0ACAAIAAgACAAIAAgACAAIAAgACAAIACSIT0AbgBhAGIAbABhAC4Ac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SQBuAGMAbwBtAGUAIAAgACAAIACSISgAUgBlAHEAdQBpAHIAZQBkACkAIABPAHAAZQByAGEAdABpAG4AZwAgAEkAbgBjAG8AbQBlACAAKABFAEIASQBUACkAIAC2AFwAIgAgACYAIABcAG4AIAAgACAAIAAgACAAIAAgACAAIAAgACAAIAAgACAAIAAgACAAIAAgACAAIAAgACAAXAAiAEkAbgB0AGUAcgBlAHMAdABFAHgAcABlAG4AcwBlAHMAIAAgACAAkiEoAFIAZQBxAHUAaQByAGUAZAApACAASQBuAHQAZQByAGUAcwB0ACAARQB4AHAAZQBuAHMAZ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UAIAAgACAAIAAgACAAIAAgACAAIAAgACAAIAAgACAAIACSIT0AbgBhAGIAbABhAC4Ac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uADMAMgB4ACAAIAAgACAAIAAgACAAIAAgACAAIACSIT0AbgBhAGIAbABhAC4Ac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IABDAG8AcwB0ACAAbwBmACAARwBvAG8AZABzACAAUwBvAGwAZA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AgAEMAbwBzAHQAIABvAGYAIABHAG8AbwBkAHMAIABTAG8AbABkACkAtgBcACIAIAAmACAAXABuACAAIAAgACAAIAAgACAAIAAgACAAIAAgACAAIAAgACAAIAAgACAAIAAgACAAIAAgAFwAIgBXAEUAQgBQAEEARwBFADoAIAAgACAAIAAgACAAIAAgACAAIAAgAJIhaAB0AHQAcABzADoALwAvAHcAdwB3AC4AaQBuAHYAZQBzAHQAbwBwAGUAZABpAGEALgBjAG8AbQAvAHQAZQByAG0AcwAvAGQALwBkAGEAeQBzAC0AcwBhAGwAZQBzAC0AaQBuAHYAZQBuAHQAbwByAHkALQBkAHMAaQ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EAdgBlAHIAYQBnAGUASQBuAHYAZQBuAHQAbwByAHkAkiEgACAAKABSAGUAcQB1AGkAcgBlAGQAKQAgAEEAdgBlAHIAYQBnAGUAIABvAGYAIABwAGUAcgBpAG8AZAAgAG8AcABlAG4AIABhAG4AZAAgAGMAbABvAHMAZQAgAEkAbgB2AGUAbgB0AG8AcgB5ALYAXAAiACAAJgAgAFwAbgAgACAAIAAgACAAIAAgACAAIAAgACAAIAAgACAAIAAgACAAIAAgACAAIAAgACAAIABcACIAQwBvAHMAdABPAGYARwBvAG8AZABzAFMAbwBsAGQAkiEgACAAIAAoAFIAZQBxAHUAaQByAGUAZAApACAAQwBvAHMAdAAgAG8AZgAgAEcAbwBvAGQAcwAgAFMAbwBsAGQAIAAoAEMATwBHAFMAKQ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AAwAC4AOAA5ADQAOQAgAGQAYQB5AHMAIAAgACAAIAAgACAAIACSIT0AbgBhAGIAbABhAC4AcgAuAEQAUwBJALsDKAA1ADQALgA5ACwAIAA0ADk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EAdgBlAHIAYQBnAGUASQBuAHYAZQBuAHQAbwByAHkAKQAsAFwAbgAgACAAIAAgACAAIAAgACAAIAAgACAAIAAgACAAIAAgACAAIAAgACAAIAAgACAAIAAgACAAIAAgAEkAUwBPAE0ASQBUAFQARQBEACgAIABDAG8AcwB0AE8AZgBHAG8AbwBkAHMAUwBvAGwAZAApAFwAbgAgACAAIAAgACAAIAAgACAAIAAgACAAIAAgACAAIAAgACAAIAAgACAAIAAgACAAIAApACwAXABuACAAIAAgACAALwAvACAAIABDAG8AbgBzAHQAYQBuAHQAcwBcAG4AIAAgACAAIAAgACAAIAAgAEQAcABZACwAIAAgACAAIAAgACAAIAAgACAAIAAgACAAMwA2ADUALAAgAC8ALwBEAGEAeQBzACAAcABlAHIAIABZAGUAYQByAFwAbgAgACAAIAAgAC8ALwAgACAAUAByAG8AYwBlAGQAdQByAGUAXABuACAAIAAgACAAIAAgACAAIABSAGUAcwB1AGwAdAAsACAAIAAgACAAIAAgACAAIAAgAEEAdgBlAHIAYQBnAGUASQBuAHYAZQBuAHQAbwByAHkALwBDAG8AcwB0AE8AZgBHAG8AbwBkAHMAUwBvAGwAZAAgACoAIABEAHAAW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UgBhAHQAaQBvALsDXABuACAAIAAgACAARABFAFMAQwBSAEkAUABUAEkATwBOADoAKgAvAC8AKgAqAFMAaABvAHcAcwAgAGgAbwB3ACAAZQBmAGYAaQBjAGkAZQBuAHQAIABtAGEAbgBhAGcAZQBtAGUAbgB0ACAAaQBzACAAYQB0ACAAawBlAGUAcABpAG4AZwAgAGMAbwBzAHQAcwAgAGwAbwB3ACAAdwBoAGkAbABlACAAZwBlAG4AZQByAGEAdABpAG4AZwAgAHIAZQB2AGUAbgB1AGUAIABcAG4AKABPAHAAZQByAGEAdABpAG4AZwAgAEUAeABwAGUAbgBzAGUAcwAgACsAIABDAG8AcwB0ACAATwBmACAARwBvAG8AZABzACAAUwBvAGwAZAApAC8ATgBlAHQAIABTAGEAbABlAHMAKQAqAC8AXABuAE8AcABlAHIAYQB0AGkAbgBnAFIAYQB0AGkAbwC7AyAAPQAgAEwAQQBNAEIARABBACgAXABuAC8ALwAgACAAUABhAHIAYQBtAGUAdABlAHIAIABEAGUAYwBsAGEAUgBhAHQAaQBvAG4AcwBcAG4AIAAgACAAIAAgACAAIAAgAFsATwBwAGUAcgBhAHQAaQBuAGcARQB4AHAAZQBuAHMAZQBzAF0ALAAgACAAXABuACAAIAAgACAAIAAgACAAIABbAEMAbwBzAHQATwBmAEcAbwBvAGQAcwBTAG8AbABkAF0ALAAgACAAIAAgAFwAbgAgACAAIAAgACAAIAAgACAAWwBOAGUAdABTAGEAbABlAHM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FIAYQB0AGkAbwC7AygAIABPAHAAZQByAGEAdABpAG4AZwBFAHgAcABlAG4AcwBlAHMALAAgAEMAbwBzAHQATwBmAEcAbwBvAGQAcwBTAG8AbABkACwAIABOAGUAdABTAGEAbABlAHMAKQC2AFwAIgAgACYAIABcAG4AIAAgACAAIAAgACAAIAAgACAAIAAgACAAIAAgACAAIAAgACAAIAAgACAAIAAgACAAXAAiAEQARQBTAEMAUgBJAFAAVABJAE8ATgA6ACAAIAAgACAAIAAgACAAkiFTAGgAbwB3AHMAIABoAG8AdwAgAGUAZgBmAGkAYwBpAGUAbgB0ACAAbQBhAG4AYQBnAGUAbQBlAG4AdAAgAGkAcwAgAGEAdAAgAGsAZQBlAHAAaQBuAGcAIABjAG8AcwB0AHMAIABsAG8AdwAgALYAXAAiACAAJgBcAG4AIAAgACAAIAAgACAAIAAgACAAIAAgACAAIAAgACAAIAAgACAAIAAgACAAIAAgACAAIAAgACAAIAAgACAAIAAgACAAIAAgACAAIAAgACAAIAAgACAAIABcACIAkiF3AGgAaQBsAGUAIABnAGUAbgBlAHIAYQB0AGkAbgBnACAAcgBlAHYAZQBuAHUAZQC2AFwAIgAgACYAIABcAG4AIAAgACAAIAAgACAAIAAgACAAIAAgACAAIAAgACAAIAAgACAAIAAgACAAIAAgACAAIAAgACAAIAAgACAAIAAgACAAIAAgACAAIAAgACAAIAAgACAAIABcACIAkiEoAE8AcABlAHIAYQB0AGkAbgBnACAARQB4AHAAZQBuAHMAZQBzACAAKwAgAEMAbwBzAHQAIABPAGYAIABHAG8AbwBkAHMAIABTAG8AbABkACkALwBOAGUAdAAgAFMAYQBsAGUAcwApALYAXAAiACAAJgAgAFwAbgAgACAAIAAgACAAIAAgACAAIAAgACAAIAAgACAAIAAgACAAIAAgACAAIAAgACAAIABcACIAVwBFAEIAUABBAEcARQA6ACAAIAAgACAAIAAgACAAIAAgACAAIACSIWgAdAB0AHAAcwA6AC8ALwB3AHcAdwAuAGkAbgB2AGUAcwB0AG8AcABlAGQAaQBhAC4AYwBvAG0ALwB0AGUAcgBtAHMALwBvAC8AbwBwAGUAcgBhAHQAaQBuAGc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wBwAGUAcgBhAHQAaQBuAGcARQB4AHAAZQBuAHMAZQBzACAAIACSISgAUgBlAHEAdQBpAHIAZQBkACkAIABPAHAAZQByAGEAdABpAG4AZwAgAEUAeABwAGUAbgBzAGUAcwAgAHcAaABpAGMAaAAgAGMAYQBuACAAaQBuAGMAbAB1AGQAZQA6ALYAXAAiACAAJgBcAG4AIAAgACAAIAAgACAAIAAgACAAIAAgACAAIAAgACAAIAAgACAAIAAgACAAIAAgACAAIAAgACAAIAAgACAAIAAgACAAIAAgACAAIAAgACAAIAAgACAAIABcACIAkiFBAGMAYwBvAHUAbgB0AGkAbgBnACAAYQBuAGQAIABsAGUAZwBhAGwAIABmAGUAZQBzALYAXAAiACAAJgBcAG4AIAAgACAAIAAgACAAIAAgACAAIAAgACAAIAAgACAAIAAgACAAIAAgACAAIAAgACAAIAAgACAAIAAgACAAIAAgACAAIAAgACAAIAAgACAAIAAgACAAIABcACIAkiFCAGEAbgBrACAAYwBoAGEAcgBnAGUAcwC2AFwAIgAgACYAXABuACAAIAAgACAAIAAgACAAIAAgACAAIAAgACAAIAAgACAAIAAgACAAIAAgACAAIAAgACAAIAAgACAAIAAgACAAIAAgACAAIAAgACAAIAAgACAAIAAgACAAXAAiAJIhUwBhAGwAZQBzACAAYQBuAGQAIABtAGEAcgBrAGUAdABpAG4AZwAgAGMAbwBzAHQAcwC2AFwAIgAgACYAXABuACAAIAAgACAAIAAgACAAIAAgACAAIAAgACAAIAAgACAAIAAgACAAIAAgACAAIAAgACAAIAAgACAAIAAgACAAIAAgACAAIAAgACAAIAAgACAAIAAgACAAXAAiAJIhTgBvAG4ALQBjAGEAcABpAHQAYQBsAGkAcwBlAGQAIAByAGUAcwBlAGEAcgBjAGgAtgBcACIAIAAmAFwAbgAgACAAIAAgACAAIAAgACAAIAAgACAAIAAgACAAIAAgACAAIAAgACAAIAAgACAAIAAgACAAIAAgACAAIAAgACAAIAAgACAAIAAgACAAIAAgACAAIAAgAFwAIgCSIWQAZQB2AGUAbABvAHAAbQBlAG4AdAAgACgAUgAmAEQAKQAgAGUAeABwAGUAbgBzAGUAcwC2AFwAIgAgACYAXABuACAAIAAgACAAIAAgACAAIAAgACAAIAAgACAAIAAgACAAIAAgACAAIAAgACAAIAAgACAAIAAgACAAIAAgACAAIAAgACAAIAAgACAAIAAgACAAIAAgACAAXAAiAJIhQwBvAHMAdAAgAG8AZgAgAEcAbwBvAGQAcwAgAFMAbwBsAGQAIAAoAEMATwBHAFMAKQC2AFwAIgAgACY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OAGUAdABTAGEAbABlAHMAIAAgACAAIAAgACAAIAAgACAAIAAgAJIhKABSAGUAcQB1AGkAcgBlAGQAKQAgAE4AZQB0ACAAUwBhAGwAZQBzACAAbwByACAAUgBlAHYAZQBuAHUAZQAu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NgA5ACUAIAAgACAAIAAgACAAIAAgACAAIAAgACAAIAAgACAAIACSIT0AbgBhAGIAbABhAC4Ac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YAMQAuADcANAA0ADgAJQAgACAAIAAgACAAIAAgAJIhPQBuAGEAYgBsAGEALgBy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lACAAIAAgACAAIAAgACAAIAAgACAAIAAgAJIhPQBuAGEAYgBsAGEALgByAC4ARQBCAEkAVABEAEEATQBhAHIAZwBpAG4AuwMoACAAMQA1AC4AMAAsACAAMQAyADU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QBCAEkAVABEAEEAKQAsAFwAbgAgACAAIAAgACAAIAAgACAAIAAgACAAIAAgACAAIAAgACAAIAAgACAAIAAgACAAIAAgACAAIAAgAEkAUwBPAE0ASQBUAFQARQBEACgAIABUAG8AdABhAGwAUgBlAHYAZQBuAHUAZQApAFwAbgAgACAAIAAgACAAIAAgACAAIAAgACAAIAAgACAAIAAgACAAIAAgACAAIAAgACAAIAApACwAXABuACAAIAAgACAALwAvACAAIABQAHIAbwBjAGUAZAB1AHIAZQBcAG4AIAAgACAAIAAgACAAIAAgAFIAZQBzAHUAbAB0ACwAIAAgACAAIAAgACAAIAAgACAARQBCAEkAVABEAEEALwBUAG8AdABhAGw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wBwAGUAcgBhAHQAaQBuAGcATQBhAHIAZwBpAG4AuwNcAG4AIAAgACAAIABEAEUAUwBDAFIASQBQAFQASQBPAE4AOgAqAC8ALwAqACoAIABNAGUAYQBzAHUAcgBlAHMAIABoAG8AdwAgAG0AdQBjAGgAIABwAHIAbwBmAGkAdAAgAGEAIABjAG8AbQBwAGEAbgB5ACAAbQBhAGsAZQBzACAAbwBuACAAYQAgAGQAbwBsAGwAYQByACAAbwBmACAAcwBhAGwAZQBzACAAYQBmAHQAZQByACAAcABhAHkAaQBuAGcAIABmAG8AcgAgAHYAYQByAGkAYQBiAGwAZQAgAGMAbwBzAHQAcwAgAFwAbgBvAGYAIABwAHIAbwBkAHUAYwB0AGkAbwBuACwAIABzAHUAYwBoACAAYQBzACAAdwBhAGcAZQBzACAAYQBuAGQAIAByAGEAdwAgAG0AYQB0AGUAcgBpAGEAbABzACwAIABiAHUAdAAgAGIAZQBmAG8AcgBlACAAcABhAHkAaQBuAGcAIABpAG4AdABlAHIAZQBzAHQAIABvAHIAIAB0AGEAeAAgACgATwBwAGUAcgBhAHQAaQBuAGcAIABFAGEAcgBuAGkAbgBnAHMALwBSAGUAdgBlAG4AdQBlACkALgAqAC8AXABuAE8AcABlAHIAYQB0AGkAbgBnAE0AYQByAGcAaQBuALsDIAA9ACAATABBAE0AQgBEAEEAKABcAG4ALwAvACAAIABQAGEAcgBhAG0AZQB0AGUAcgAgAEQAZQBjAGwAYQByAGEAdABpAG8AbgBzAFwAbgAgACAAIAAgACAAIAAgACAAWwBPAHAAZQByAGEAdABpAG4AZw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TQBhAHIAZwBpAG4AuwMoACAATwBwAGUAcgBhAHQAaQBuAGcARQBhAHIAbgBpAG4AZwBzACwAIABSAGUAdgBlAG4AdQBlACkAtgBcACIAIAAmACAAXABuACAAIAAgACAAIAAgACAAIAAgACAAIAAgACAAIAAgACAAIAAgACAAIAAgACAAIAAgAFwAIgBEAEUAUwBDAFIASQBQAFQASQBPAE4AOgAgACAAIAAgACAAIAAgAJIhTQBlAGEAcwB1AHIAZQBzACAAaABvAHcAIABtAHUAYwBoACAAcAByAG8AZgBpAHQAIABhACAAYwBvAG0AcABhAG4AeQAgAG0AYQBrAGUAcwAgAG8AbgAgAGEAIABkAG8AbABsAGEAcgAgAG8AZgAgAHMAYQBsAGUAcwAgAGEAZgB0AGUAcgAgAHAAYQB5AGkAbgBnALYAXAAiACAAJgAgAFwAbgAgACAAIAAgACAAIAAgACAAIAAgACAAIAAgACAAIAAgACAAIAAgACAAIAAgACAAIAAgACAAIAAgACAAIAAgACAAIAAgACAAIAAgACAAIAAgACAAIAAgAFwAIgCSIWYAbwByACAAdgBhAHIAaQBhAGIAbABlACAAYwBvAHMAdABzACAAbwBmACAAcAByAG8AZAB1AGMAdABpAG8AbgAsACAAcwB1AGMAaAAgAGEAcwAgAHcAYQBnAGUAcwAgAGEAbgBkACAAcgBhAHcAIABtAGEAdABlAHIAaQBhAGwAcwAsACAAYgB1AHQAIAC2AFwAIgAgACYAIABcAG4AIAAgACAAIAAgACAAIAAgACAAIAAgACAAIAAgACAAIAAgACAAIAAgACAAIAAgACAAIAAgACAAIAAgACAAIAAgACAAIAAgACAAIAAgACAAIAAgACAAIABcACIAkiFiAGUAZgBvAHIAZQAgAHAAYQB5AGkAbgBnACAAaQBuAHQAZQByAGUAcwB0ACAAbwByACAAdABhAHgAIAAoAE8AcABlAHIAYQB0AGkAbgBnACAARQBhAHIAbgBpAG4AZwBzAC8AUgBlAHYAZQBuAHUAZQApAC4AtgBcACIAIAAmACAAXABuACAAIAAgACAAIAAgACAAIAAgACAAIAAgACAAIAAgACAAIAAgACAAIAAgACAAIAAgAFwAIgBXAEUAQgBQAEEARwBFADoAIAAgACAAIAAgACAAIAAgACAAIAAgAJIhaAB0AHQAcABzADoALwAvAHcAdwB3AC4AaQBuAHYAZQBzAHQAbwBwAGUAZABpAGEALgBjAG8AbQAvAHQAZQByAG0AcwAvAG8ALwBvAHAAZQByAGEAdABpAG4AZwBtAGEAcgBnAGkAbg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8AcABlAHIAYQB0AGkAbgBnAEUAYQByAG4AaQBuAGcAcwAgACAAkiEoAFIAZQBxAHUAaQByAGUAZAApACAARQBhAHIAbgBpAG4AZwBzACAAQgBlAGYAbwByAGUAIABJAG4AdABlAHIAZQBzAHQAIABhAG4AZAAgAHQAYQB4ACAAKABFAEIASQBUACkAIAB3AGgAaQBjAGgAIABpAHMAIAByAGUAdgBlAG4AdQBlACAALQAgAEMATwBHAFMAtgBcACIAIAAmACAAXABuACAAIAAgACAAIAAgACAAIAAgACAAIAAgACAAIAAgACAAIAAgACAAIAAgACAAIAAgAFwAIgBSAGUAdgBlAG4AdQBlACAAIAAgACAAIAAgACAAIAAgACAAIAAgAJIhKABSAGUAcQB1AGkAcgBlAGQAKQAgAFIAZQB2AGUAbgB1AGU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0ADAAJQAgACAAIAAgACAAIAAgACAAIAAgACAAIAAgACAAIAAgAJIhPQBuAGEAYgBsAGEALgBy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gAJQAgACAAIAAgACAAIAAgACAAIAAgACAAIAAgAJIhPQBuAGEAYgBsAGEALgBy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1ADYAJQAgACAAIAAgACAAIAAgACAAIAAgACAAIACSIT0AbgBhAGIAbABhAC4AcgAuAE4AZQB0AFAAcgBvAGYAaQB0AE0AYQByAGcAaQBuALsDKAAgADUANgAuADAALAAgADE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gBlAHQASQBuAGMAbwBtAGU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QwBhAHMAaABGAGwAbwB3AE0AYQByAGcAaQBuALsDXABuACAAIAAgACAARABFAFMAQwBSAEkAUABUAEkATwBOADoAKgAvAC8AKgAqAEMAYQBzAGgAIABGAGwAbwB3ACAATQBhAHIAZwBpAG4AIABpAHMAIABhACAAdAByAHUAcwB0AGUAZAAgAG0AZQB0AHIAaQBjACAAbwBmACAAYQAgAGMAbwBtAHAAYQBuAHkAGSBzACAAcAByAG8AZgBpAHQAYQBiAGkAbABpAHQAeQAgAGEAbgBkACAAZQBmAGYAaQBjAGkAZQBuAGMAeQAgAFwAbgBhAG4AZAAgAGkAdABzACAAZQBhAHIAbgBpAG4AZwBzACAAcQB1AGEAbABpAHQAeQAgACgAQwBhAHMAaAAgAEYAbABvAHcAIABGAHIAbwBtACAATwBwAGUAcgBhAHQAaQBuAGcAIABBAGMAdABpAHYAaQB0AGkAZQBzAC8AUgBlAHYAZQBuAHUAZQApAC4AKgAvAFwAbgBDAGEAcwBoAEYAbABvAHcATQBhAHIAZwBpAG4AuwMgAD0AIABMAEEATQBCAEQAQQAoAFwAbgAvAC8AIAAgAFAAYQByAGEAbQBlAHQAZQByACAARABlAGMAbABhAHIAYQB0AGkAbwBuAHMAXABuACAAIAAgACAAIAAgACAAIABbAEMAYQBzAGgARgBsAG8AdwBGAHIAbwBtAE8AcABlAHIAYQB0AGkAbgBnAEEAYwB0AGkAdgBpAHQAaQBl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MAYQBzAGgARgBsAG8AdwBNAGEAcgBnAGkAbgC7AygAIABOAGUAdABJAG4AYwBvAG0AZQ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QA4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NQAwAC4AOAAlACAAIAAgACAAIAAgACAAIAAgACAAkiE9AG4AYQBiAGwAYQAuAHIALgBDAGEAcwBoAEYAbABvAHcATQBhAHIAZwBpAG4AuwMoACAAMgAuADYAOQA1ACwAIAA1AC4AM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RgBsAG8AdwBGAHIAbwBtAE8AcABlAHIAYQB0AGkAbgBnAEEAYwB0AGkAdgBpAHQAaQBlAHM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DAGEAcwBoAEYAbABvAHcARgByAG8AbQBPAHAAZQByAGEAdABpAG4AZwBBAGMAdABpAHYAaQB0AGkAZQ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EAuwNcAG4AIAAgACAAIABEAEUAUwBDAFIASQBQAFQASQBPAE4AOgAqAC8ALwAqACoAUgBlAHQAdQByAG4AIABvAG4AIABhAHMAcwBlAHQAcwAgACgAUgBPAEEAKQAgAHIAYQB0AGkAbwAgAGkAbgBkAGkAYwBhAHQAZQBzACAAaABvAHcAIABwAHIAbwBmAGkAdABhAGIAbABlACAAYQAgAGMAbwBtAHAAYQBuAHkAIABpAHMAIABcAG4AaQBuACAAcgBlAGwAYQB0AGkAbwBuACAAdABvACAAaQB0AHMAIAB0AG8AdABhAGwAIABhAHMAcwBlAHQAcwAgACgAIABOAGUAdAAgAEkAbgBjAG8AbQBlACAALwAgAFQAbwB0AGEAbAAgAEEAcwBzAGUAdABzACkAIAAqAC8AXABuAFIATwBBALsDIAA9ACAATABBAE0AQgBEAEEAKABcAG4ALwAvACAAIABQAGEAcgBhAG0AZQB0AGUAcgAgAEQAZQBjAGwAYQByAGEAdABpAG8AbgBzAFwAbgAgACAAIAAgACAAIAAgACAAWwBOAGUAdABJAG4AYwBvAG0AZQ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SAE8AQQC7AygAIABOAGUAdABJAG4AYwBvAG0AZQAsACAAVABvAHQAYQBsAEEAcwBzAGUAdABzACkAtgBcACIAIAAmACAAXABuACAAIAAgACAAIAAgACAAIAAgACAAIAAgACAAIAAgACAAIAAgACAAIAAgACAAIAAgAFwAIgBEAEUAUwBDAFIASQBQAFQASQBPAE4AOgAgACAAIACSIVIAZQB0AHUAcgBuACAAbwBuACAAYQBzAHMAZQB0AHMAIAByAGEAdABpAG8AIABpAG4AZABpAGMAYQB0AGUAcwAgAGgAbwB3ACAAcAByAG8AZgBpAHQAYQBiAGwAZQAgAGEAIABjAG8AbQBwAGEAbgB5ACAAaQBzACAAtgBcACIAIAAmACAAXABuACAAIAAgACAAIAAgACAAIAAgACAAIAAgACAAIAAgACAAIAAgACAAIAAgACAAIAAgACAAIAAgACAAIAAgACAAIAAgACAAIAAgACAAIAAgAFwAIgCSIWkAbgAgAHIAZQBsAGEAdABpAG8AbgAgAHQAbwAgAGkAdABzACAAdABvAHQAYQBsACAAYQBzAHMAZQB0AHMAIAAoACAATgBlAHQAIABJAG4AYwBvAG0AZQAgAC8AIABUAG8AdABhAGwAIABBAHMAcwBlAHQAcwApALYAXAAiACAAJgAgAFwAbgAgACAAIAAgACAAIAAgACAAIAAgACAAIAAgACAAIAAgACAAIAAgACAAIAAgACAAIABcACIAVwBFAEIAUABBAEcARQA6ACAAIAAgACAAIAAgACAAkiFoAHQAdABwAHMAOgAvAC8AdwB3AHcALgBpAG4AdgBlAHMAdABvAHAAZQBkAGkAYQAuAGMAbwBtAC8AdABlAHIAbQBzAC8AcgAvAHIAZQB0AHUAcgBuAG8AbgBhAHMAcwBlAHQAc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LYAXAAiACAAJgAgAFwAbgAgACAAIAAgACAAIAAgACAAIAAgACAAIAAgACAAIAAgACAAIAAgACAAIAAgACAAIABcACIAVABvAHQAYQBsAEEAcwBzAGUAdABzACAAIAAgACAAkiEoAFIAZQBxAHUAaQByAGUAZAApACAAVABvAHQAYQBsACAAQQBzAHMAZQB0AHM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OAAlACAAIAAgACAAIAAgACAAIAAgACAAIAAgACAAkiE9AG4AYQBiAGwAYQAuAHI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yADMALgA2ADIAMQAzACUAIAAgACAAIAAgACAAIAAgACAAIAAgAJIhPQBuAGEAYgBsAGEALgByAC4AUgBPAEUAuwMoACAANQA5AC4AOQA3ADIALAAgAEEAVgBFAFIAQQBHAEUAKAAyADUAMQAuADYAMwA1ACwAIAAyADUANgAuADEANAA0AC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MAaABhAHIAZQBoAG8AbABkAGUAcgBzAEUAcQB1AGkAdAB5ACkAXABuACAAIAAgACAAIAAgACAAIAAgACAAIAAgACAAIAAgACAAIAAgACAAIAAgACAAIAAgACkALABcAG4AIAAgACAAIAAvAC8AIAAgAFAAcgBvAGMAZQBkAHUAcgBlAFwAbgAgACAAIAAgACAAIAAgACAAUgBlAHMAdQBsAHQALAAgACAAIAAgACAAIAAgACAAIABOAGUAdABJAG4AYwBvAG0AZQ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C7A1wAbgAgACAAIAAgAEQARQBTAEMAUgBJAFAAVABJAE8ATgA6ACoALwAvACoAKgBSAGUAdAB1AHIAbgAgAG8AbgAgAEkAbgB2AGUAcwB0AG0AZQBuAHQAIAAoAFIATwBJACkAIAByAGEAdABpAG8AIAAgAG0AZQBhAHMAdQByAGUAcwAgAHQAaABlACAAcAByAG8AZgBpAHQAYQBiAGkAbABpAHQAeQAgAG8AZgAgAGEAbgAgAGkAbgB2AGUAcwB0AG0AZQBuAHQAIABiAHkAIABjAG8AbQBwAGEAcgBpAG4AZwAgAFwAbgB0AGgAZQAgAGcAYQBpAG4AIABvAHIAIABsAG8AcwBzACAAdABvACAAaQB0AHMAIABjAG8AcwB0ACAAKABOAGUAdAAgAFIAZQB0AHUAcgBuACAAbwBuACAASQBuAHYAZQBzAHQAbQBlAG4AdAAvAEMAbwBzAHQAIABvAGYAIABJAG4AdgBlAHMAdABtAGUAbgB0ACkALgAqAC8AXABuAFIATwBJALsDIAA9ACAATABBAE0AQgBEAEEAKABcAG4ALwAvACAAIABQAGEAcgBhAG0AZQB0AGUAcgAgAEQAZQBjAGwAYQByAGEAdABpAG8AbgBzAFwAbgAgACAAIAAgACAAIAAgACAAWwBOAGUAdABSAGUAdAB1AHIAbgBvAG4ASQBuAHYAZQBzAHQAbQBlAG4AdABdACwAIAAgAFwAbgAgACAAIAAgACAAIAAgACAAWwBDAG8AcwB0AG8AZgBJAG4AdgBlAHMAdABtAGUAbgB0AF0ALAAgACAAIAAgAFwAbgAvAC8AIAAgAEgAZQBsAHAAXABuACAAIAAgACAATABFAFQAKABIAGUAbABwACwAIAAgACAAVABSAEkATQAoAFQARQBYAFQAUwBQAEwASQBUACgAIABcAG4AIAAgACAAIAAgACAAIAAgACAAIAAgACAAIAAgACAAIAAgACAAIAAgACAAIAAgACAAXAAiAEYAVQBOAEMAVABJAE8ATgA6ACAAIAAgACAAIAAgACAAIAAgACAAIAAgACAAIACSIVIATwBJALsDKAAgAE4AZQB0AFIAZQB0AHUAcgBuAG8AbgBJAG4AdgBlAHMAdABtAGUAbgB0ACwAIABDAG8AcwB0AG8AZgBJAG4AdgBlAHMAdABtAGUAbgB0ACkAtgBcACIAIAAmACAAXABuACAAIAAgACAAIAAgACAAIAAgACAAIAAgACAAIAAgACAAIAAgACAAIAAgACAAIAAgAFwAIgBEAEUAUwBDAFIASQBQAFQASQBPAE4AOgAgACAAIAAgACAAIAAgACAAIAAgACAAkiFSAGUAdAB1AHIAbgAgAG8AbgAgAEkAbgB2AGUAcwB0AG0AZQBuAHQAIAAoAFIATwBJACkAIAByAGEAdABpAG8AIAAgAG0AZQBhAHMAdQByAGUAcwAgAHQAaABlACAAcAByAG8AZgBpAHQAYQBiAGkAbABpAHQAeQAgAG8AZgC2AFwAIgAgACYAIABcAG4AIAAgACAAIAAgACAAIAAgACAAIAAgACAAIAAgACAAIAAgACAAIAAgACAAIAAgACAAIAAgACAAIAAgACAAIAAgACAAIAAgACAAIAAgACAAIAAgACAAIAAgACAAIAAgAFwAIgCSIWEAbgAgAGkAbgB2AGUAcwB0AG0AZQBuAHQAIABiAHkAIABjAG8AbQBwAGEAcgBpAG4AZwAgAHQAaABlACAAZwBhAGkAbgAgAG8AcgAgAGwAbwBzAHMAIAB0AG8AIABpAHQAcwAgAGMAbwBzAHQALgAgALYAXAAiACAAJgAgAFwAbgAgACAAIAAgACAAIAAgACAAIAAgACAAIAAgACAAIAAgACAAIAAgACAAIAAgACAAIAAgACAAIAAgACAAIAAgACAAIAAgACAAIAAgACAAIAAgACAAIAAgACAAIAAgACAAXAAiAJIhKABOAGUAdAAgAFIAZQB0AHUAcgBuACAAbwBuACAASQBuAHYAZQBzAHQAbQBlAG4AdAAvAEMAbwBzAHQAIABvAGYAIABJAG4AdgBlAHMAdABtAGUAbgB0ACkAtgBcACIAIAAmACAAXABuACAAIAAgACAAIAAgACAAIAAgACAAIAAgACAAIAAgACAAIAAgACAAIAAgACAAIAAgAFwAIgBXAEUAQgBQAEEARwBFADoAIAAgACAAIAAgACAAIAAgACAAIAAgACAAIAAgACAAkiFoAHQAdABwAHMAOgAvAC8AdwB3AHcALgBpAG4AdgBlAHMAdABvAHAAZQBkAGkAYQAuAGMAbwBtAC8AdABlAHIAbQBzAC8AcgAvAHIAZQB0AHUAcgBuAG8AbgBlAHEAdQBpAHQAeQAuAGEAcwBwACAAtgBcACIAIAAmAFwAbgAgACAAIAAgACAAIAAgACAAIAAgACAAIAAgACAAIAAgACAAIAAgACAAIAAgACAAIABcACIAVgBFAFIAUwBJAE8ATgA6ACAAIAAgACAAIAAgACAAIAAgACAAIAAgACAAIAAgAJIhMQA4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4AYQBiAGwAYQAuAHIAIABpAHMAIABhAHMAcwB1AG0AZQBkACAAdABvACAAYgBlACAAdABoAGUAIABtAG8AZAB1AGwAZQAnAHMAIABuAGEAbQBlACkAtgBcACIAIAAmAFwAbgAgACAAIAAgACAAIAAgACAAIAAgACAAIAAgACAAIAAgACAAIAAgACAAIAAgACAAIABcACIAMgA4AC4ANwA1ACUAIAAgACAAIAAgACAAIAAgACAAIAAgACAAIAAgACAAIAAgAJIhPQBuAGEAYgBsAGEALgByAC4AUgBPAEkAuwMoACAAMgA4ADcANQAsACAAMQAw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UgBlAHQAdQByAG4AbwBuAEkAbgB2AGUAcwB0AG0AZQBuAHQAKQAsAFwAbgAgACAAIAAgACAAIAAgACAAIAAgACAAIAAgACAAIAAgACAAIAAgACAAIAAgACAAIAAgACAAIAAgAEkAUwBPAE0ASQBUAFQARQBEACgAIABDAG8AcwB0AG8AZgBJAG4AdgBlAHMAdABtAGUAbgB0ACkAXABuACAAIAAgACAAIAAgACAAIAAgACAAIAAgACAAIAAgACAAIAAgACAAIAAgACAAIAAgACkALABcAG4AIAAgACAAIAAvAC8AIAAgAFAAcgBvAGMAZQBkAHUAcgBlAFwAbgAgACAAIAAgACAAIAAgACAAUgBlAHMAdQBsAHQALAAgACAAIAAgACAAIAAgACAAIABOAGUAdABSAGUAdAB1AHIAbgBvAG4ASQBuAHYAZQBzAHQAbQBlAG4AdAAvAEMAbwBzAHQAbwBmAEkAbgB2AGUAcwB0AG0AZQBuAHQ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JAEMAuwNcAG4AIAAgACAAIABEAEUAUwBDAFIASQBQAFQASQBPAE4AOgAqAC8ALwAqACoAUgBlAHQAdQByAG4AIABvAG4AIABJAG4AdgBlAHMAdABlAGQAIABjAGEAcABpAHQAYQBsACAAIABhAHMAcwBlAHMAcwBlAHMAIABhACAAYwBvAG0AcABhAG4AeQAZIHMAIABlAGYAZgBpAGMAaQBlAG4AYwB5ACAAaQBuACAAYQBsAGwAbwBjAGEAdABpAG4AZwAgAFwAbgBjAGEAcABpAHQAYQBsACAAdABvACAAcAByAG8AZgBpAHQAYQBiAGwAZQAgAGkAbgB2AGUAcwB0AG0AZQBuAHQAcwAgACgATgBlAHQAIABPAHAAZQByAGEAdABpAG4AZwAgAFAAcgBvAGYAaQB0ACAAQQBmAHQAZQByACAAVABhAHgALwBJAG4AdgBlAHMAdABlAGQAIABDAGEAcABpAHQAYQBsACkAIAAqAC8AXABuAFIATwBJAEMAuwMgAD0AIABMAEEATQBCAEQAQQAoAFwAbgAvAC8AIAAgAFAAYQByAGEAbQBlAHQAZQByACAARABlAGMAbABhAHIAYQB0AGkAbwBuAHMAXABuACAAIAAgACAAIAAgACAAIABbAE4AZQB0AE8AcABlAHIAYQB0AGkAbgBnAFAAcgBvAGYAaQB0AEEAZgB0AGUAcgBUAGEAeABdACwAIAAgAFwAbgAgACAAIAAgACAAIAAgACAAWwBJAG4AdgBlAHMAdABlAGQAQwBhAHAAaQB0AGEAbABdACwAIAAgACAAIABcAG4ALwAvACAAIABIAGUAbABwAFwAbgAgACAAIAAgAEwARQBUACgASABlAGwAcAAsACAAIAAgAFQAUgBJAE0AKABUAEUAWABUAFMAUABMAEkAVAAoACAAXABuACAAIAAgACAAIAAgACAAIAAgACAAIAAgACAAIAAgACAAIAAgACAAIAAgACAAIAAgAFwAIgBGAFUATgBDAFQASQBPAE4AOgAgACAAIAAgACAAIACSIVIATwBJAEMAuwMoACAATgBlAHQATwBwAGUAcgBhAHQAaQBuAGcAUAByAG8AZgBpAHQAQQBmAHQAZQByAFQAYQB4ACwAIABJAG4AdgBlAHMAdABlAGQAQwBhAHAAaQB0AGEAbAApALYAXAAiACAAJgAgAFwAbgAgACAAIAAgACAAIAAgACAAIAAgACAAIAAgACAAIAAgACAAIAAgACAAIAAgACAAIABcACIARABFAFMAQwBSAEkAUABUAEkATwBOADoAIAAgACAAkiFSAGUAdAB1AHIAbgAgAG8AbgAgAEkAbgB2AGUAcwB0AGUAZAAgAGMAYQBwAGkAdABhAGwAIAAgAGEAcwBzAGUAcwBzAGUAcwAgAGEAIABjAG8AbQBwAGEAbgB5ABkgcwAgAGUAZgBmAGkAYwBpAGUAbgBjAHkAIABpAG4AIABhAGwAbABvAGMAYQB0AGkAbgBnACAAtgBcACIAIAAmAFwAbgAgACAAIAAgACAAIAAgACAAIAAgACAAIAAgACAAIAAgACAAIAAgACAAIAAgACAAIAAgACAAIAAgACAAIAAgACAAIAAgACAAIAAgACAAIABcACIAkiFjAGEAcABpAHQAYQBsACAAdABvACAAcAByAG8AZgBpAHQAYQBiAGwAZQAgAGkAbgB2AGUAcwB0AG0AZQBuAHQAcwAgACgATgBlAHQAIABPAHAAZQByAGEAdABpAG4AZwAgAFAAcgBvAGYAaQB0ACAAQQBmAHQAZQByACAAVABhAHgALwBJAG4AdgBlAHMAdABlAGQAIABDAGEAcABpAHQAYQBsACkAtgBcACIAIAAmACAAXABuACAAIAAgACAAIAAgACAAIAAgACAAIAAgACAAIAAgACAAIAAgACAAIAAgACAAIAAgAFwAIgBXAEUAQgBQAEEARwBFADoAIAAgACAAIAAgACAAIACSIWgAdAB0AHAAcwA6AC8ALwB3AHcAdwAuAGkAbgB2AGUAcwB0AG8AcABlAGQAaQBhAC4AYwBvAG0ALwB0AGUAcgBtAHMALwByAC8AcgBlAHQAdQByAG4AbwBuAGkAbgB2AGUAcwB0AG0AZQBuAHQAYwBhAHAAaQB0AGEAbA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OAGUAdABPAHAAZQByAGEAdABpAG4AZwBQAHIAbwBmAGkAdABBAGYAdABlAHIAVABhAHgAkiEoAFIAZQBxAHUAaQByAGUAZAApACAATgBlAHQAIABPAHAAZQByAGEAdABpAG4AZwAgAHAAcgBvAGYAaQB0ACAAYQBmAHQAZQByACAAVABhAHgAIABbACAAbwBwAGUAcgBhAHQAaQBuAGcAIABwAHIAbwBmAGkAdAAgAHgAIAAoADEAIAAtACAAZQBmAGYAZQBjAHQAaQB2AGUAIAB0AGEAeAAgAHIAYQB0AGUAKQAgAF0ALgC2AFwAIgAgACYAIABcAG4AIAAgACAAIAAgACAAIAAgACAAIAAgACAAIAAgACAAIAAgACAAIAAgACAAIAAgACAAXAAiAEkAbgB2AGUAcwB0AGUAZABDAGEAcABpAHQAYQBsAJIhKABSAGUAcQB1AGkAcgBlAGQAKQAgAEkAbgB2AGUAcwB0AGUAZAAgAEMAYQBwAGkAdABhAGwAIAAoAEQAZQBiAHQAIAArACAARQBxAHUAaQB0AHkAKQAu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gAuADYAMQAyADIAJQAgACAAIAAgACAAIAAgAJIhPQBuAGEAYgBsAGEALgBy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NAAuADMAOQA4ADgAMQAgACAAIAAgACAAIAAgACAAIAAgACAAkiE9AG4AYQBiAGwAYQAuAHI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EIAdgBwAHMAKQC2AFwAIgAgACYAIABcAG4AIAAgACAAIAAgACAAIAAgACAAIAAgACAAIAAgACAAIAAgACAAIAAgACAAIAAgACAAXAAiAEQARQBTAEMAUgBJAFAAVABJAE8ATgA6ACAAIAAgACAAIAAgACAAkiFNAGEAbgB5ACAAaQBuAHYAZQBzAHQAbwByAHMAIAB1AHMAZQAgAHQAaABlACAAcAByAGkAYwBlAC0AdABvAC0AYgBvAG8AawAgAHIAYQB0AGkAbwAgACgAUAAvAEIAIAByAGEAdABpAG8AKQAgAHQAbwAgAGMAbwBtAHAAYQByAGUAIABhACAAtgBcACIAIAAmACAAXABuACAAIAAgACAAIAAgACAAIAAgACAAIAAgACAAIAAgACAAIAAgACAAIAAgACAAIAAgACAAIAAgACAAIAAgACAAIAAgACAAIAAgACAAIAAgACAAIAAgACAAXAAiAJIhZgBpAHIAbQAnAHMAIABtAGEAcgBrAGUAdAAgAGMAYQBwAGkAdABhAGwAaQBzAGEAdABpAG8AbgAgAHQAbwAgAGkAdABzACAAYgBvAG8AawAgAHYAYQBsAHUAZQAgAGEAbgBkACAAbABvAGMAYQB0AGUAIAB1AG4AZABlAHIAdgBhAGwAdQBlAGQAIABjAG8AbQBwAGEAbgBpAGUAcwAuALYAXAAiACAAJgAgAFwAbgAgACAAIAAgACAAIAAgACAAIAAgACAAIAAgACAAIAAgACAAIAAgACAAIAAgACAAIAAgACAAIAAgACAAIAAgACAAIAAgACAAIAAgACAAIAAgACAAIAAgAFwAIgCSISgATQBhAHIAawBlAHQAIABQAHIAaQBjAGUAIABQAGUAcgAgAFMAaABhAHIAZQAvAEIAbwBvAGsAIABWAGEAbAB1AGUAIABQAGUAcgAgAFMAaABhAHIAZQApALYAXAAiACAAJgAgAFwAbgAgACAAIAAgACAAIAAgACAAIAAgACAAIAAgACAAIAAgACAAIAAgACAAIAAgACAAIABcACIAVwBFAEIAUABBAEcARQA6ACAAIAAgACAAIAAgACAAIAAgACAAIACSIWgAdAB0AHAAcwA6AC8ALwB3AHcAdwAuAGkAbgB2AGUAcwB0AG8AcABlAGQAaQBhAC4AYwBvAG0ALwB0AGUAcgBtAHMALwBwAC8AcAByAGkAYwBlAC0AdABvAC0AYgBvAG8Aaw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NAGEAcgBrAGUAdABQAHIAaQBjAGUAUABlAHIAUwBoAGEAcgBlAJIhKABSAGUAcQB1AGkAcgBlAGQAKQAgAE0AYQByAGsAZQB0ACAAUAByAGkAYwBlACAAUABlAHIAIABTAGgAYQByAGUAIAAoAEMAdQByAHIAZQBuAHQAIABtAGEAcgBrAGUAdAAgAHAAcgBpAGMAZQAgAG8AZgAgAHQAaABlACAAcwBoAGEAcgBlACkAtgBcACIAIAAmACAAXABuACAAIAAgACAAIAAgACAAIAAgACAAIAAgACAAIAAgACAAIAAgACAAIAAgACAAIAAgAFwAIgBCAG8AbwBrAFYAYQBsAHUAZQBQAGUAcgBTAGgAYQByAGUAIAAgAJIhKABSAGUAcQB1AGkAcgBlAGQAKQAgAEIAbwBvAGsAIABWAGEAbAB1AGUAIABQAGUAcgAgAHMAaABhAHIAZQAgALYAXAAiACAAJgAgAFwAbgAgACAAIAAgACAAIAAgACAAIAAgACAAIAAgACAAIAAgACAAIAAgACAAIAAgACAAIAAgACAAIAAgACAAIAAgACAAIAAgACAAIAAgACAAIAAgACAAIAAgAFwAIgCSISgAVABvAHQAYQBsACAAYQBzAHMAZQB0AHMAIAAtACAAaQBuAHQAYQBuAGcAaQBiAGwAZQAgAGEAcwBzAGUAdABzACAALQAgAHQAbwB0AGEAbAAgAGwAaQBhAGIAaQBsAGkAdABpAGUAcwApACAA9wAgAG4AdQBtAGIAZQByACAAbwBmACAAbwB1AHQAcwB0AGEAbgBkAGkAbgBnACAAcwBoAGEAcgBlAHM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IALgAwACAAIAAgACAAIAAgACAAIAAgACAAIAAgACAAIAAgACAAkiE9AG4AYQBiAGwAYQAuAHI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QALgA1ADUAIAAgACAAIAAgACAAIAAgACAAIAAgACAAIAAgACAAkiE9AG4AYQBiAGwAYQAuAHIALgBQAHIAaQBjAGUAVABvAFMAYQBsAGUAcwBSAGEAdABpAG8AuwMoACAANAA1ADU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UwBhAGwAZQBzAFAAZQByAFMAaABhAHIAZQApAFwAbgAgACAAIAAgACAAIAAgACAAIAAgACAAIAAgACAAIAAgACAAIAAgACAAIAAgACAAIAApACwAXABuACAAIAAgACAALwAvACAAIABQAHIAbwBjAGUAZAB1AHIAZQBcAG4AIAAgACAAIAAgACAAIAAgAFIAZQBzAHUAbAB0ACwAIAAgACAAIAAgACAAIAAgACAATQBhAHIAawBlAHQAUAByAGkAYwBlAFAAZQByAFMAaABhAHIAZQAvAFMAYQBsAGUAc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QAHIAaQBjAGUAVABvAEMAYQBzAGgAcwBSAGEAdABpAG8AuwNcAG4AIAAgACAAIABEAEUAUwBDAFIASQBQAFQASQBPAE4AOgAqAC8ALwAqACoAUAByAGkAYwBlACAAdABvACAAQwBhAHMAaAAgACgAUAAvAEMARgApACAAUgBhAHQAaQBvACAAaQBzACAAYQAgAHMAdABvAGMAawAgAHYAYQBsAHUAYQB0AGkAbwBuACAAaQBuAGQAaQBjAGEAdABvAHIAIABvAHIAIABtAHUAbAB0AGkAcABsAGUAIAB0AGgAYQB0ACAAbQBlAGEAcwB1AHIAZQBzACAAXABuAHQAaABlACAAdgBhAGwAdQBlACAAbwBmACAAYQAgAHMAdABvAGMAawAZIHMAIABwAHIAaQBjAGUAIAByAGUAbABhAHQAaQB2AGUAIAB0AG8AIABpAHQAcwAgAG8AcABlAHIAYQB0AGkAbgBnACAAYwBhAHMAaAAgAGYAbABvAHcAIABwAGUAcgAgAHMAaABhAHIAZQAgAFwAbgAoAE0AYQByAGsAZQB0ACAAUAByAGkAYwBlACAAUABlAHIAIABTAGgAYQByAGUALwBPAHAAZQByAGEAdABpAG4AZwAgAEMAYQBzAGgAIABGAGwAbwB3ACAAUABlAHIAIABTAGgAYQByAGUAKQAuACAAKgAvAFwAbgBQAHIAaQBjAGUAVABvAEMAYQBzAGgAUgBhAHQAaQBvALsDIAA9ACAATABBAE0AQgBEAEEAKABcAG4ALwAvACAAIABQAGEAcgBhAG0AZQB0AGUAcgAgAEQAZQBjAGwAYQByAGEAdABpAG8AbgBzAFwAbgAgACAAIAAgACAAIAAgACAAWwBNAGEAcgBrAGUAdABQAHIAaQBjAGUAUABlAHIAUwBoAGEAcgBlAF0ALAAgACAAXABuACAAIAAgACAAIAAgACAAIABbAE8AcABlAHIAYQB0AGkAbgBnAEMAYQBzAGgARgBsAG8Ad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wBhAHMAaABSAGEAdABpAG8AuwMoACAATQBhAHIAawBlAHQAUAByAGkAYwBlAFAAZQByAFMAaABhAHIAZQAsACAAUwBhAGwAZQBzAFAAZQByAFMAaABhAHIAZQApALYAXAAiACAAJgAgAFwAbgAgACAAIAAgACAAIAAgACAAIAAgACAAIAAgACAAIAAgACAAIAAgACAAIAAgACAAIABcACIARABFAFMAQwBSAEkAUABUAEkATwBOADoAIAAgACAAIAAgACAAIACSIVAAcgBpAGMAZQAgAHQAbwAgAEMAYQBzAGgAIAAoAFAALwBDAEYAKQAgAFIAYQB0AGkAbwAgACAAaQBzACAAYQAgAHMAdABvAGMAawAgAHYAYQBsAHUAYQB0AGkAbwBuACAAaQBuAGQAaQBjAGEAdABvAHIAIABvAHIAIABtAHUAbAB0AGkAcABsAGUAIAB0AGgAYQB0ACAAtgBcACIAIAAmACAAXABuACAAIAAgACAAIAAgACAAIAAgACAAIAAgACAAIAAgACAAIAAgACAAIAAgACAAIAAgACAAIAAgACAAIAAgACAAIAAgACAAIAAgACAAIAAgACAAIAAgACAAXAAiAJIhbQBlAGEAcwB1AHIAZQBzACAAdABoAGUAIAB2AGEAbAB1AGUAIABvAGYAIABhACAAcwB0AG8AYwBrABkgcwAgAHAAcgBpAGMAZQAgAHIAZQBsAGEAdABpAHYAZQAgAHQAbwAgAGkAdABzACAAbwBwAGUAcgBhAHQAaQBuAGcAIABjAGEAcwBoACAAZgBsAG8AdwAgALYAXAAiACAAJgAgAFwAbgAgACAAIAAgACAAIAAgACAAIAAgACAAIAAgACAAIAAgACAAIAAgACAAIAAgACAAIAAgACAAIAAgACAAIAAgACAAIAAgACAAIAAgACAAIAAgACAAIAAgAFwAIgCSIXAAZQByACAAcwBoAGEAcgBlACAAKABNAGEAcgBrAGUAdAAgAFAAcgBpAGMAZQAgAFAAZQByACAAUwBoAGEAcgBlAC8ATwBwAGUAcgBhAHQAaQBuAGcAIABDAGEAcwBoACAARgBsAG8Ad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HQAbwAtAGMAYQBzAGgALQBmAGwAbwB3AHIAYQB0AGkAb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8AcABlAHIAYQB0AGkAbgBnAEMAYQBzAGgARgBsAG8AdwBQAGUAcgBTAGgAYQByAGUAkiEoAFIAZQBxAHUAaQByAGUAZAApACAATwBwAGUAcgBhAHQAaQBuAGcAIABDAGEAcwBoACAARgBsAG8AdwAgAGYAbwByACAAcAByAGkAbwByACAAMQAyACAAbQBvAG4AdABoAHMALwBTAGgAYQByAGUAcwAgAG8AdQB0AHMAdABhAG4AZABpAG4AZwAgALYAXAAiACAAJgAgAFwAbgAgACAAIAAgACAAIAAgACAAIAAgACAAIAAgACAAIAAgACAAIAAgACAAIAAgACAAIABcACIARQBYAEEATQBQAEwARQBTADoAIAAgACAAIAAgACAAIAAgACAAIACSIUYAbwByAG0AdQBsAGEAIAAoAG4AYQBiAGwAYQAuAHIAIABpAHMAIABhAHMAcwB1AG0AZQBkACAAdABvACAAYgBlACAAdABoAGUAIABtAG8AZAB1AGwAZQAnAHMAIABuAGEAbQBlACkAtgBcACIAIAAmAFwAbgAgACAAIAAgACAAIAAgACAAIAAgACAAIAAgACAAIAAgACAAIAAgACAAIAAgACAAIABcACIAMgAgACAAIAAgACAAIAAgACAAIAAgACAAIAAgACAAIAAgACAAIACSIT0AbgBhAGIAbABhAC4Ac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QA4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gBhAGIAbABhAC4AcgAgAGkAcwAgAGEAcwBzAHUAbQBlAGQAIAB0AG8AIABiAGUAIAB0AGgAZQAgAG0AbwBkAHUAbABlACcAcwAgAG4AYQBtAGUAKQC2AFwAIgAgACYAXABuACAAIAAgACAAIAAgACAAIAAgACAAIAAgACAAIAAgACAAIAAgACAAIAAgACAAIAAgAFwAIgA1ACAAIAAgACAAIAAgACAAIAAgACAAIAAgACAAIAAgACAAIAAgAJIhPQBuAGEAYgBsAGEALgByAC4AQgBWAFAAUwC7AygAMgAwAC4AMAAsACAANQAuADAALAAgAEEAVgBFAFIAQQBHAEUAKAAgADIALgA5ACwAIAAzAC4AMQ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BAHYAZQByAGEAZwBlAFMAaABhAHIAZQBzAE8AdQB0AHMAdABhAG4AZABpAG4AZwApAFwAbgAgACAAIAAgACAAIAAgACAAIAAgACAAIAAgACAAIAAgACAAIAAgACAAIAAgACAAIAApACwAXABuACAAIAAgACAALwAvACAAIABQAHIAbwBjAGUAZAB1AHIAZQBcAG4AIAAgACAAIAAgACAAIAAgAFIAZQBzAHUAbAB0ACwAIAAgACAAIAAgACAAIAAgACAAKABTAGgAYQByAGUAaABvAGwAZABlAHIAcwBFAHEAdQBpAHQAeQAgAC0AIABQAHIAZQBmAGUAcgByAGUAZABTAHQAbwBjAGsAKQAvAEEAdgBlAHIAYQBnAGUAUwBoAGEAcgBlAHMATwB1AHQAcwB0AGEAbgBkAGkAbgBn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DAEEAUABFAFIAYQB0AGkAbwC7A1wAbgAgACAAIAAgAEQARQBTAEMAUgBJAFAAVABJAE8ATgA6ACoALwAvACoAKgBDAEEAUABFACAAUgBhAHQAaQBvACAAaQBzACAAYQAgAHYAYQBsAHUAYQB0AGkAbwBuACAAbQBlAGEAcwB1AHIAZQAgAHQAaABhAHQAIAB1AHMAZQBzACAAcgBlAGEAbAAgAGUAYQByAG4AaQBuAGcAcwAgAHAAZQByACAAcwBoAGEAcgBlACAAKABFAFAAUwApACAAbwB2AGUAcgAgAGEAIAAxADAALQB5AGUAYQByACAAcABlAHIAaQBvAGQAXABuAHQAbwAgAHMAbQBvAG8AdABoACAAbwB1AHQAIABmAGwAdQBjAHQAdQBhAHQAaQBvAG4AcwAgAGkAbgAgAGMAbwByAHAAbwByAGEAdABlACAAcAByAG8AZgBpAHQAcwAgAHQAaABhAHQAIABvAGMAYwB1AHIAIABvAHYAZQByACAAZABpAGYAZgBlAHIAZQBuAHQAIABwAGUAcgBpAG8AZABzACAAbwBmACAAYQAgAGIAdQBzAGkAbgBlAHMAcwBcAG4AYwB5AGMAbABlACAAKABhAGsAYQAgAFMAaABpAGwAbABlAHIAIABQAEUAIABSAGEAdABpAG8AKQAgACgAUwBoAGEAcgBlACAAUAByAGkAYwBlAC8AVABlAG4AIABZAGUAYQByACAAQQB2AGUAcgBhAGcAZQAgAEUAYQByAG4AaQBuAGcAcwAgAEkAbgBmAGwAYQB0AGkAbwBuACAAQQBkAGoAdQBzAHQAZQBkACkAIAAqAC8AXABuAEMAQQBQAEUAUgBhAHQAaQBvALsDIAA9ACAATABBAE0AQgBEAEEAKABcAG4ALwAvACAAIABQAGEAcgBhAG0AZQB0AGUAcgAgAEQAZQBjAGwAYQByAGEAdABpAG8AbgBzAFwAbgAgACAAIAAgACAAIAAgACAAWwBTAGgAYQByAGUAUAByAGkAYwBlAF0ALAAgACAAXABuACAAIAAgACAAIAAgACAAIABbAFQAZQBuAFkAZQBhAHIAQQB2AGUAcgBhAGcAZQBFAGEAcgBuAGkAbgBnAHMASQBuAGYAbABhAHQAaQBvAG4AQQBkAGoAdQBzAHQAZQBkAF0ALAAgACAAIAAgAFwAbgAvAC8AIAAgAEgAZQBsAHAAXABuACAAIAAgACAATABFAFQAKABIAGUAbABwACwAIAAgACAAVABSAEkATQAoAFQARQBYAFQAUwBQAEwASQBUACgAIABcAG4AIAAgACAAIAAgACAAIAAgACAAIAAgACAAIAAgACAAIAAgACAAIAAgACAAIAAgACAAXAAiAEYAVQBOAEMAVABJAE8ATgA6ACAAIAAgACAAIAAgAJIhQwBBAFAARQBSAGEAdABpAG8AuwMoACAAUwBoAGEAcgBlAFAAcgBpAGMAZQAsACAAVABlAG4AWQBlAGEAcgBBAHYAZQByAGEAZwBlAEUAYQByAG4AaQBuAGcAcwBJAG4AZgBsAGEAdABpAG8AbgBBAGQAagB1AHMAdABlAGQAIAApALYAXAAiACAAJgAgAFwAbgAgACAAIAAgACAAIAAgACAAIAAgACAAIAAgACAAIAAgACAAIAAgACAAIAAgACAAIABcACIARABFAFMAQwBSAEkAUABUAEkATwBOADoAIAAgACAAkiFDAEEAUABFACAAUgBhAHQAaQBvACAAaQBzACAAYQAgAHYAYQBsAHUAYQB0AGkAbwBuACAAbQBlAGEAcwB1AHIAZQAgAHQAaABhAHQAIAB1AHMAZQBzACAAcgBlAGEAbAAgAGUAYQByAG4AaQBuAGcAcwAgAHAAZQByACAAcwBoAGEAcgBlACAAKABFAFAAUwApACAAbwB2AGUAcgAgAGEAIAAxADAALQB5AGUAYQByACAAcABlAHIAaQBvAGQAIAC2AFwAIgAgACYAIABcAG4AIAAgACAAIAAgACAAIAAgACAAIAAgACAAIAAgACAAIAAgACAAIAAgACAAIAAgACAAIAAgACAAIAAgACAAIAAgACAAIAAgACAAIAAgACAAIABcACIAkiF0AG8AIABzAG0AbwBvAHQAaAAgAG8AdQB0ACAAZgBsAHUAYwB0AHUAYQB0AGkAbwBuAHMAIABpAG4AIABjAG8AcgBwAG8AcgBhAHQAZQAgAHAAcgBvAGYAaQB0AHMAIAB0AGgAYQB0ACAAbwBjAGMAdQByACAAbwB2AGUAcgAgAGQAaQBmAGYAZQByAGUAbgB0ACAAcABlAHIAaQBvAGQAcwAgAG8AZgAgAGEAIABiAHUAcwBpAG4AZQBzAHMAIAC2AFwAIgAgACYAIABcAG4AIAAgACAAIAAgACAAIAAgACAAIAAgACAAIAAgACAAIAAgACAAIAAgACAAIAAgACAAIAAgACAAIAAgACAAIAAgACAAIAAgACAAIAAgACAAIABcACIAkiFjAHkAYwBsAGUAIAAoAGEAawBhACAAUwBoAGkAbABsAGUAcgAgAFAARQAgAFIAYQB0AGkAbwApACAAKABTAGgAYQByAGUAIABQAHIAaQBjAGUALwBUAGUAbgAgAFkAZQBhAHIAIABBAHYAZQByAGEAZwBlACAARQBhAHIAbgBpAG4AZwBzACAASQBuAGYAbABhAHQAaQBvAG4AIABBAGQAagB1AHMAdABlAGQAKQC2AFwAIgAgACYAIABcAG4AIAAgACAAIAAgACAAIAAgACAAIAAgACAAIAAgACAAIAAgACAAIAAgACAAIAAgACAAXAAiAFcARQBCAFAAQQBHAEUAOgAgACAAIAAgACAAIAAgAJIhaAB0AHQAcABzADoALwAvAHcAdwB3AC4AaQBuAHYAZQBzAHQAbwBwAGUAZABpAGEALgBjAG8AbQAvAHQAZQByAG0AcwAvAGMALwBjAGEAcABlAC0AcgBhAHQAaQBv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FMAaABhAHIAZQBQAHIAaQBjAGUAIAAgACAAIAAgAJIhKABSAGUAcQB1AGkAcgBlAGQAKQAgAEMAdQByAHIAZQBuAHQAIABzAHQAbwBjAGsAIABwAHIAaQBjAGUAIAC2AFwAIgAgACYAIABcAG4AIAAgACAAIAAgACAAIAAgACAAIAAgACAAIAAgACAAIAAgACAAIAAgACAAIAAgACAAXAAiAFQAZQBuAFkAZQBhAHIAQQB2AGUAcgBhAGcAZQBFAGEAcgBuAGkAbgBnAHMASQBuAGYAbABhAHQAaQBvAG4AQQBkAGoAdQBzAHQAZQBkAJIhKABSAGUAcQB1AGkAcgBlAGQAKQAgAEEAdgBlAHIAYQBnAGUAIABlAGEAcgBuAGkAbgBnAHMAIABwAGUAcgAgAHMAaABhAHIAZQAgAGYAbwByACAAMQAwACAAeQBlAGEAcgBzACAAYQBkAGoAdQBzAHQAZQBkACAAZgBvAHIAIABpAG4AZgBsAGEAdABpAG8AbgAgALYAXAAiACAAJgAgAFwAbgAgACAAIAAgACAAIAAgACAAIAAgACAAIAAgACAAIAAgACAAIAAgACAAIAAgACAAIABcACIARQBYAEEATQBQAEwARQBTADoAIAAgACAAIAAgACAAkiFGAG8AcgBtAHUAbABhACAAKABuAGEAYgBsAGEALgByACAAaQBzACAAYQBzAHMAdQBtAGUAZAAgAHQAbwAgAGIAZQAgAHQAaABlACAAbQBvAGQAdQBsAGUAJwBzACAAbgBhAG0AZQApALYAXAAiACAAJgBcAG4AIAAgACAAIAAgACAAIAAgACAAIAAgACAAIAAgACAAIAAgACAAIAAgACAAIAAgACAAXAAiADEAMAAgACAAIAAgACAAIAAgACAAIAAgACAAIAAgAJIhPQBuAGEAYgBsAGEALgByAC4AQwBBAFAARQBSAGEAdABpAG8AuwMoACAAMQAwADAALgAwACwAIAAxADAALgAwAC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VABlAG4AWQBlAGEAcgBBAHYAZQByAGEAZwBlAEUAYQByAG4AaQBuAGcAcwBJAG4AZgBsAGEAdABpAG8AbgBBAGQAagB1AHMAdABlAGQAKQBcAG4AIAAgACAAIAAgACAAIAAgACAAIAAgACAAIAAgACAAIAAgACAAIAAgACAAIAAgACAAKQAsAFwAbgAgACAAIAAgAC8ALwAgACAAUAByAG8AYwBlAGQAdQByAGUAXABuACAAIAAgACAAIAAgACAAIABSAGUAcwB1AGwAdAAsACAAIAAgACAAIAAgACAAIAAgAFMAaABhAHIAZQBQAHIAaQBjAGUALwBUAGUAbgBZAGUAYQByAEEAdgBlAHIAYQBnAGUARQBhAHIAbgBpAG4AZwBzAEkAbgBmAGwAYQB0AGkAbwBuAEEAZABqAHUAcwB0AGUAZ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QAFIAuwNcAG4AIAAgACAAIABEAEUAUwBDAFIASQBQAFQASQBPAE4AOgAqAC8ALwAqACoARABpAHYAaQBkAGUAbgBkACAAUABhAHkAbwB1AHQAIABSAGEAdABpAG8AIABpAHMAIAB0AGgAZQAgAHAAZQByAGMAZQBuAHQAYQBnAGUAIABvAGYAIABlAGEAcgBuAGkAbgBnAHMAIABwAGEAaQBkACAAdABvACAAcwBoAGEAcgBlAGgAbwBsAGQAZQByAHMAIAB2AGkAYQAgAGQAaQB2AGkAZABlAG4AZABzAFwAbgAgACAAIAAgACgARABpAHYAaQBkAGUAbgBkAHMAUABhAGkAZAAvAE4AZQB0AEkAbgBjAG8AbQBlACkAIAAqAC8AXABuAEQAUABSALsDIAA9ACAATABBAE0AQgBEAEEAKABcAG4ALwAvACAAIABQAGEAcgBhAG0AZQB0AGUAcgAgAEQAZQBjAGwAYQByAGEAdABpAG8AbgBzAFwAbgAgACAAIAAgACAAIAAgACAAWwBEAGkAdgBpAGQAZQBuAGQAcwBQAGEAaQBk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JIhRABQAFIAuwMoACAARABpAHYAaQBkAGUAbgBkAHMAUABhAGkAZAAsACAATgBlAHQASQBuAGMAbwBtAGUAIAApALYAXAAiACAAJgAgAFwAbgAgACAAIAAgACAAIAAgACAAIAAgACAAIAAgACAAIAAgACAAIAAgACAAIAAgACAAIABcACIARABFAFMAQwBSAEkAUABUAEkATwBOADoAIAAgACAAkiFEAGkAdgBpAGQAZQBuAGQAIABQAGEAeQBvAHUAdAAgAFIAYQB0AGkAbwAgAGkAcwAgAHQAaABlACAAcABlAHIAYwBlAG4AdABhAGcAZQAgAG8AZgAgAGUAYQByAG4AaQBuAGcAcwAgAHAAYQBpAGQAIAB0AG8AIABzAGgAYQByAGUAaABvAGwAZABlAHIAcwAgAHYAaQBhACAAZABpAHYAaQBkAGUAbgBkAHMAtgBcACIAIAAmACAAXABuACAAIAAgACAAIAAgACAAIAAgACAAIAAgACAAIAAgACAAIAAgACAAIAAgACAAIAAgACAAIAAgACAAIAAgACAAIAAgACAAIAAgACAAIAAgAFwAIgCSISgARABpAHYAaQBkAGUAbgBkAHMAUABhAGkAZAAvAE4AZQB0AEkAbgBjAG8AbQBlACkAtgBcACIAIAAmACAAXABuACAAIAAgACAAIAAgACAAIAAgACAAIAAgACAAIAAgACAAIAAgACAAIAAgACAAIAAgAFwAIgBXAEUAQgBQAEEARwBFADoAIAAgACAAIAAgACAAIACSIWgAdAB0AHAAcwA6AC8ALwB3AHcAdwAuAGkAbgB2AGUAcwB0AG8AcABlAGQAaQBhAC4AYwBvAG0ALwB0AGUAcgBtAHMALwBkAC8AZABpAHYAaQBkAGUAbgBkAHAAYQB5AG8AdQB0AHIAYQB0AGkAbwAuAGEAcwBwACAAtgBcACIAIAAmAFwAbgAgACAAIAAgACAAIAAgACAAIAAgACAAIAAgACAAIAAgACAAIAAgACAAIAAgACAAIABcACIAVgBFAFIAUwBJAE8ATgA6ACAAIAAgACAAIAAgACAAkiExADgAIABBAHUAZwAgADIAMAAyADYAtgBcACIAIAAmAFwAbgAgACAAIAAgACAAIAAgACAAIAAgACAAIAAgACAAIAAgACAAIAAgACAAIAAgACAAIABcACIAUABBAFIAQQBNAEUAVABFAFIAUwA6AJIhtgBcACIAIAAmACAAXABuACAAIAAgACAAIAAgACAAIAAgACAAIAAgACAAIAAgACAAIAAgACAAIAAgACAAIAAgAFwAIgBEAGkAdgBpAGQAZQBuAGQAcwBQAGEAaQBkACAAIACSISgAUgBlAHEAdQBpAHIAZQBkACkAIABEAGkAdgBpAGQAZQBuAGQAcwAgAHAAYQBpAGQAIAC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FAFgAQQBNAFAATABFAFMAOgAgACAAIAAgACAAIACSIUYAbwByAG0AdQBsAGEAIAAoAG4AYQBiAGwAYQAuAHIAIABpAHMAIABhAHMAcwB1AG0AZQBkACAAdABvACAAYgBlACAAdABoAGUAIABtAG8AZAB1AGwAZQAnAHMAIABuAGEAbQBlACkAtgBcACIAIAAmAFwAbgAgACAAIAAgACAAIAAgACAAIAAgACAAIAAgACAAIAAgACAAIAAgACAAIAAgACAAIABcACIAMgA1ACUAIAAgACAAIAAgACAAIAAgACAAIAAgACAAkiE9AG4AYQBiAGwAYQAuAHI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EAO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gBhAGIAbABhAC4AcgAgAGkAcwAgAGEAcwBzAHUAbQBlAGQAIAB0AG8AIABiAGUAIAB0AGgAZQAgAG0AbwBkAHUAbABlACcAcwAgAG4AYQBtAGUAKQC2AFwAIgAgACYAXABuACAAIAAgACAAIAAgACAAIAAgACAAIAAgACAAIAAgACAAIAAgACAAIAAgACAAIAAgAFwAIgAyAC4ANgA2ADYANwAlACAAIAAgACAAIAAgACAAIACSIT0AbgBhAGIAbABhAC4AcgAuAEQAaQB2AGkAZABlAG4AZABZAGkAZQBsAGQAUgBhAHQAaQBvALsDKAAgADEALgAyACwAIAA0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G4AbgB1AGEAbABEAGkAdgBpAGQAZQBuAGQAcwBQAGUAcgBTAGgAYQByAGUAKQAsAFwAbgAgACAAIAAgACAAIAAgACAAIAAgACAAIAAgACAAIAAgACAAIAAgACAAIAAgACAAIAAgACAAIAAgAEkAUwBPAE0ASQBUAFQARQBEACgAIABTAGgAYQByAGUAUAByAGkAYwBlACkAXABuACAAIAAgACAAIAAgACAAIAAgACAAIAAgACAAIAAgACAAIAAgACAAIAAgACAAIAAgACkALABcAG4AIAAgACAAIAAvAC8AIAAgAFAAcgBvAGMAZQBkAHUAcgBlAFwAbgAgACAAIAAgACAAIAAgACAAUgBlAHMAdQBsAHQALAAgACAAIAAgACAAIAAgACAAIABBAG4AbgB1AGEAbABEAGkAdgBpAGQAZQBuAGQAcwBQAGUAcgBTAGgAYQByAGUALwBTAGgAYQByAGUAUAByAGkAYw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RQBQAFMAuwNcAG4AIAAgACAAIABEAEUAUwBDAFIASQBQAFQASQBPAE4AOgAqAC8ALwAqACoARQBhAHIAbgBpAG4AZwBzACAAcABlAHIAIABzAGgAYQByAGUAIABtAGUAYQBzAHUAcgBlAHMAIABwAHIAbwBmAGkAdABhAGIAaQBsAGkAdAB5ACAAaQBuAGQAaQBjAGEAdABpAG4AZwAgAGgAbwB3ACAAbQB1AGMAaAAgAHAAcgBvAGYAaQB0ACAAZQBhAGMAaAAgAFwAbgBvAHUAdABzAHQAYQBuAGQAaQBuAGcAIABzAGgAYQByAGUAIABvAGYAIABjAG8AbQBtAG8AbgAgAHMAdABvAGMAawAgAGgAYQBzACAAZQBhAHIAbgBlAGQAIABcAG4AIAAgACAAIAAoAE4AZQB0ACAASQBuAGMAbwBtAGUAIAAtACAAUAByAGUAZgBlAHIAcgBlAGQAIABEAGkAdgBpAGQAZQBuAGQAcwApAC8ARQBuAGQAIABPAGYAIABQAGUAcgBpAG8AZAAgAEMAbwBtAG0AbwBuACAAUwBoAGEAcgBlAHMAIABPAHUAdABzAHQAYQBuAGQAaQBuAGcAKQAgACoALwBcAG4ARQBQAFMAuwMgAD0AIABMAEEATQBCAEQAQQAoAFwAbgAvAC8AIAAgAFAAYQByAGEAbQBlAHQAZQByACAARABlAGMAbABhAHIAYQB0AGkAbwBuAHMAXABuACAAIAAgACAAIAAgACAAIABbAE4AZQB0AEkAbgBjAG8AbQBlAF0ALAAgACAAXABuACAAIAAgACAAIAAgACAAIABbAFAAcgBlAGYAZQByAHIAZQBkAEQAaQB2AGkAZABlAG4AZABzAF0ALAAgACAAIAAgAFwAbgAgACAAIAAgACAAIAAgACAAWwBFAG4AZABPAGYAUABlAHIAaQBvAGQAQwBvAG0AbQBvAG4AUwBoAGEAcgBlAHMATwB1AHQAcwB0AGEAbgBkAGkAbgBnAF0ALAAgACAAIAAgAFwAbgAvAC8AIAAgAEgAZQBsAHAAXABuACAAIAAgACAATABFAFQAKABIAGUAbABwACwAIAAgACAAVABSAEkATQAoAFQARQBYAFQAUwBQAEwASQBUACgAIABcAG4AIAAgACAAIAAgACAAIAAgACAAIAAgACAAIAAgACAAIAAgACAAIAAgACAAIAAgACAAXAAiAEYAVQBOAEMAVABJAE8ATgA6ACAAIAAgACAAIAAgACAAIAAgACAAkiFFAFAAUwC7AygAIABOAGUAdABJAG4AYwBvAG0AZQAsACAAUAByAGUAZgBlAHIAcgBlAGQARABpAHYAaQBkAGUAbgBkAHMALAAgAEUAbgBkAE8AZgBQAGUAcgBpAG8AZABDAG8AbQBtAG8AbgBTAGgAYQByAGUAcwBPAHUAdABzAHQAYQBuAGQAaQBuAGcAKQC2AFwAIgAgACYAIABcAG4AIAAgACAAIAAgACAAIAAgACAAIAAgACAAIAAgACAAIAAgACAAIAAgACAAIAAgACAAXAAiAEQARQBTAEMAUgBJAFAAVABJAE8ATgA6ACAAIAAgACAAIAAgACAAkiFFAGEAcgBuAGkAbgBnAHMAIABwAGUAcgAgAHMAaABhAHIAZQAgAG0AZQBhAHMAdQByAGUAcwAgAHAAcgBvAGYAaQB0AGEAYgBpAGwAaQB0AHkAIABpAG4AZABpAGMAYQB0AGkAbgBnACAAaABvAHcAIABtAHUAYwBoACAAcAByAG8AZgBpAHQAIABlAGEAYwBoACAAtgBcACIAIAAmACAAXABuACAAIAAgACAAIAAgACAAIAAgACAAIAAgACAAIAAgACAAIAAgACAAIAAgACAAIAAgACAAIAAgACAAIAAgACAAIAAgACAAIAAgACAAIAAgACAAIAAgACAAXAAiAJIhbwB1AHQAcwB0AGEAbgBkAGkAbgBnACAAcwBoAGEAcgBlACAAbwBmACAAYwBvAG0AbQBvAG4AIABzAHQAbwBjAGsAIABoAGEAcwAgAGUAYQByAG4AZQBkACAAtgBcACIAIAAmACAAXABuACAAIAAgACAAIAAgACAAIAAgACAAIAAgACAAIAAgACAAIAAgACAAIAAgACAAIAAgACAAIAAgACAAIAAgACAAIAAgACAAIAAgACAAIAAgACAAIAAgACAAXAAiAJIhKABOAGUAdAAgAEkAbgBjAG8AbQBlACAALQAgAFAAcgBlAGYAZQByAHIAZQBkACAARABpAHYAaQBkAGUAbgBkAHMAKQAvAEUAbgBkACAATwBmACAAUABlAHIAaQBvAGQAIABDAG8AbQBtAG8AbgAgAFMAaABhAHIAZQBzACAATwB1AHQAcwB0AGEAbgBkAGkAbgBnACkAtgBcACIAIAAmACAAXABuACAAIAAgACAAIAAgACAAIAAgACAAIAAgACAAIAAgACAAIAAgACAAIAAgACAAIAAgAFwAIgBXAEUAQgBQAEEARwBFADoAIAAgACAAIAAgACAAIAAgACAAIAAgAJIhaAB0AHQAcABzADoALwAvAHcAdwB3AC4AaQBuAHYAZQBzAHQAbwBwAGUAZABpAGEALgBjAG8AbQAvAHQAZQByAG0AcwAvAGUALwBlAHAAcwAuAGEAcwBwACAAtgBcACIAIAAmAFwAbgAgACAAIAAgACAAIAAgACAAIAAgACAAIAAgACAAIAAgACAAIAAgACAAIAAgACAAIABcACIAVgBFAFIAUwBJAE8ATgA6ACAAIAAgACAAIAAgACAAIAAgACAAIACSITEAOAAgAEEAdQBnACAAMgAwADIANgC2AFwAIgAgACYAXABuACAAIAAgACAAIAAgACAAIAAgACAAIAAgACAAIAAgACAAIAAgACAAIAAgACAAIAAgAFwAIgBQAEEAUgBBAE0ARQBUAEUAUgBTADoAkiG2AFwAIgAgACYAIABcAG4AIAAgACAAIAAgACAAIAAgACAAIAAgACAAIAAgACAAIAAgACAAIAAgACAAIAAgACAAXAAiAE4AZQB0AEkAbgBjAG8AbQBlACAAIAAgACAAIAAgACAAIAAgACAAkiEoAFIAZQBxAHUAaQByAGUAZAApACAATgBlAHQAIABJAG4AYwBvAG0AZQAgALYAXAAiACAAJgAgAFwAbgAgACAAIAAgACAAIAAgACAAIAAgACAAIAAgACAAIAAgACAAIAAgACAAIAAgACAAIABcACIAUAByAGUAZgBlAHIAcgBlAGQARABpAHYAaQBkAGUAbgBkAHMAIACSISgAUgBlAHEAdQBpAHIAZQBkACkAIABEAGkAdgBpAGQAZQBuAGQAcwAgAHAAYQBpAGQAIABvAG4AIABwAHIAZQBmAGUAcgBlAGQAIABzAHQAbwBjAGsAtgBcACIAIAAmACAAXABuACAAIAAgACAAIAAgACAAIAAgACAAIAAgACAAIAAgACAAIAAgACAAIAAgACAAIAAgAFwAIgBFAG4AZABPAGYAUABlAHIAaQBvAGQAQwBvAG0AbQBvAG4AUwBoAGEAcgBlAHMATwB1AHQAcwB0AGEAbgBkAGkAbgBnAJIhKABSAGUAcQB1AGkAcgBlAGQAKQAgAEUAbgBkACAAbwBmACAAUABlAHIAaQBvAGQAcwAgAEMAbwBtAG0AbwBuACAAUwBoAGEAcgBlAHMAIABvAHUAdABzAHQAYQBuAGQAaQBuAGcAIABvAHIAIAC2AFwAIgAgACYAIABcAG4AIAAgACAAIAAgACAAIAAgACAAIAAgACAAIAAgACAAIAAgACAAIAAgACAAIAAgACAAIAAgACAAIAAgACAAIAAgACAAIAAgACAAIAAgACAAIAAgACAAIABcACIAkiFXAGUAaQBnAGgAdABlAGQAIABhAHYAZQByAGEAZwBlACAAbgB1AG0AYgBlAHIAIABvAGYAIABzAGgAYQByAGUAcwAgAG8AdQB0AHMAdABhAG4AZABpAG4AZw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LgA5ADAAOQA1ADQAOAAgACAAIAAgACAAIAAgACAAIAAgACAAkiE9AG4AYQBiAGwAYQAuAHIALgBFAFAAUwC7AygAIAA3AC4ANgAsACAAMAAsACAAMwAuADkAO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AByAGUAZgBlAHIAcgBlAGQARABpAHYAaQBkAGUAbgBkAHMAKQAsAFwAbgAgACAAIAAgACAAIAAgACAAIAAgACAAIAAgACAAIAAgACAAIAAgACAAIAAgACAAIAAgACAAIAAgAEkAUwBPAE0ASQBUAFQARQBEACgAIABFAG4AZABPAGYAUABlAHIAaQBvAGQAQwBvAG0AbQBvAG4AUwBoAGEAcgBlAHMATwB1AHQAcwB0AGEAbgBkAGkAbgBnACkAXABuACAAIAAgACAAIAAgACAAIAAgACAAIAAgACAAIAAgACAAIAAgACAAIAAgACAAIAAgACkALABcAG4AIAAgACAAIAAvAC8AIAAgAFAAcgBvAGMAZQBkAHUAcgBlAFwAbgAgACAAIAAgACAAIAAgACAAUgBlAHMAdQBsAHQALAAgACAAIAAgACAAIAAgACAAIAAoAE4AZQB0AEkAbgBjAG8AbQBlAC0AUAByAGUAZgBlAHIAcgBlAGQARABpAHYAaQBkAGUAbgBkAHMAKQAvAEUAbgBkAE8AZgBQAGUAcgBpAG8AZABDAG8AbQBtAG8AbgBTAGgAYQByAGUAcwBPAHUAdABzAHQAYQBuAGQAaQBuAGc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ZQB0AGUAbgB0AGkAbwBuAFIAYQB0AGkAbwC7A1wAbgAgACAAIAAgAEQARQBTAEMAUgBJAFAAVABJAE8ATgA6ACoALwAvACoAKgBSAGUAdABlAG4AdABpAG8AbgAgAFIAYQB0AGkAbwAgAGkAcwAgAHQAaABlACAAcAByAG8AcABvAHIAdABpAG8AbgAgAG8AZgAgAGUAYQByAG4AaQBuAGcAcwAgAGsAZQBwAHQAIABiAGEAYwBrACAAaQBuACAAdABoAGUAIABcAG4AYgB1AHMAaQBuAGUAcwBzACAAYQBzACAAcgBlAHQAYQBpAG4AZQBkACAAZQBhAHIAbgBpAG4AZwBzACAAKABSAGUAdABhAGkAbgBlAGQAIABFAGEAcgBuAGkAbgBnAHMALwBOAGUAdAAgAEkAbgBjAG8AbQBlACkALgAgACoALwBcAG4AUgBlAHQAZQBuAHQAaQBvAG4AUgBhAHQAaQBvALsDIAA9ACAATABBAE0AQgBEAEEAKABcAG4ALwAvACAAIABQAGEAcgBhAG0AZQB0AGUAcgAgAEQAZQBjAGwAYQByAGEAdABpAG8AbgBzAFwAbgAgACAAIAAgACAAIAAgACAAWwBSAGUAdABhAGkAbgBlAGQARQBhAHIAbgBpAG4AZwBzAF0ALAAgACAAXABuACAAIAAgACAAIAAgACAAIABbAE4AZQB0AEkAbgBjAG8AbQBlAF0ALAAgACAAIAAgAFwAbgAvAC8AIAAgAEgAZQBsAHAAXABuACAAIAAgACAATABFAFQAKABIAGUAbABwACwAIAAgACAAVABSAEkATQAoAFQARQBYAFQAUwBQAEwASQBUACgAIABcAG4AIAAgACAAIAAgACAAIAAgACAAIAAgACAAIAAgACAAIAAgACAAIAAgACAAIAAgACAAXAAiAEYAVQBOAEMAVABJAE8ATgA6ACAAIAAgACAAIAAgACAAIAAgACAAkiFSAGUAdABlAG4AdABpAG8AbgBSAGEAdABpAG8AuwMoACAAUgBlAHQAYQBpAG4AZQBkAEUAYQByAG4AaQBuAGcAcwAsACAATgBlAHQASQBuAGMAbwBtAGUAIAApALYAXAAiACAAJgAgAFwAbgAgACAAIAAgACAAIAAgACAAIAAgACAAIAAgACAAIAAgACAAIAAgACAAIAAgACAAIABcACIARABFAFMAQwBSAEkAUABUAEkATwBOADoAIAAgACAAIAAgACAAIACSIVIAZQB0AGUAbgB0AGkAbwBuACAAUgBhAHQAaQBvACAAaQBzACAAdABoAGUAIABwAHIAbwBwAG8AcgB0AGkAbwBuACAAbwBmACAAZQBhAHIAbgBpAG4AZwBzACAAawBlAHAAdAAgAGIAYQBjAGsAIABpAG4AIAB0AGgAZQAgALYAXAAiACAAJgAgAFwAbgAgACAAIAAgACAAIAAgACAAIAAgACAAIAAgACAAIAAgACAAIAAgACAAIAAgACAAIAAgACAAIAAgACAAIAAgACAAIAAgACAAIAAgACAAIAAgACAAIAAgAFwAIgCSIWIAdQBzAGkAbgBlAHMAcwAgAGEAcwAgAHIAZQB0AGEAaQBuAGUAZAAgAGUAYQByAG4AaQBuAGcAcwAgACgAUgBlAHQAYQBpAG4AZQBkACAARQBhAHIAbgBpAG4AZwBzAC8ATgBlAHQAIABJAG4AYwBvAG0AZQApAC4AtgBcACIAIAAmACAAXABuACAAIAAgACAAIAAgACAAIAAgACAAIAAgACAAIAAgACAAIAAgACAAIAAgACAAIAAgAFwAIgBXAEUAQgBQAEEARwBFADoAIAAgACAAIAAgACAAIAAgACAAIAAgAJIhaAB0AHQAcABzADoALwAvAHcAdwB3AC4AaQBuAHYAZQBzAHQAbwBwAGUAZABpAGEALgBjAG8AbQAvAHQAZQByAG0AcwAvAHIALwByAGUAdABlAG4AdABpAG8AbgByAGEAdABpAG8ALgBhAHMAcAAgALYAXAAiACAAJgBcAG4AIAAgACAAIAAgACAAIAAgACAAIAAgACAAIAAgACAAIAAgACAAIAAgACAAIAAgACAAXAAiAFYARQBSAFMASQBPAE4AOgAgACAAIAAgACAAIAAgACAAIAAgACAAkiExADgAIABBAHUAZwAgADIAMAAyADYAtgBcACIAIAAmAFwAbgAgACAAIAAgACAAIAAgACAAIAAgACAAIAAgACAAIAAgACAAIAAgACAAIAAgACAAIABcACIAUABBAFIAQQBNAEUAVABFAFIAUwA6AJIhtgBcACIAIAAmACAAXABuACAAIAAgACAAIAAgACAAIAAgACAAIAAgACAAIAAgACAAIAAgACAAIAAgACAAIAAgAFwAIgBSAGUAdABhAGkAbgBlAGQARQBhAHIAbgBpAG4AZwBzACAAIAAgAJIhKABSAGUAcQB1AGkAcgBlAGQAKQAgAFIAZQB0AGEAaQBuAGUAZAAgAEUAYQByAG4AaQBuAGcAcwAgACgATgBlAHQAIABJAG4AYwBvAG0AZQAgAC0AIABwAGEAaQBkACAAZABpAHYAaQBkAGUAbgBkAHMAKQC2AFwAIgAgACYAIABcAG4AIAAgACAAIAAgACAAIAAgACAAIAAgACAAIAAgACAAIAAgACAAIAAgACAAIAAgACAAXAAiAE4AZQB0AEkAbgBjAG8AbQBlACAAIAAgACAAIAAgACAAIAAgACAAkiEoAFIAZQBxAHUAaQByAGUAZAApACAATgBlAHQAIABJAG4AYwBvAG0AZQC2AFwAIgAgACYAIABcAG4AIAAgACAAIAAgACAAIAAgACAAIAAgACAAIAAgACAAIAAgACAAIAAgACAAIAAgACAAXAAiAEUAWABBAE0AUABMAEUAUwA6ACAAIAAgACAAIAAgACAAIAAgACAAkiFGAG8AcgBtAHUAbABhACAAKABuAGEAYgBsAGEALgByACAAaQBzACAAYQBzAHMAdQBtAGUAZAAgAHQAbwAgAGIAZQAgAHQAaABlACAAbQBvAGQAdQBsAGUAJwBzACAAbgBhAG0AZQApALYAXAAiACAAJgBcAG4AIAAgACAAIAAgACAAIAAgACAAIAAgACAAIAAgACAAIAAgACAAIAAgACAAIAAgACAAXAAiADEAOAA5AC4AOQAlACAAIAAgACAAIAAgACAAIAAgACAAIAAgACAAkiE9AG4AYQBiAGwAYQAuAHI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bgBhAGIAbABhAC4AdQAiACwAIgB0AGUAeAB0ACIAOgAiAC8AKgAgACAARgBVAE4AQwBUAEkATwBOACAATgBBAE0ARQA6ACAAIABBAGIAbwB1AHQAuwNcAG4AIAAgACAAIABEAEUAUwBDAFIASQBQAFQASQBPAE4AOgAqAC8ALwAqACoARABpAHMAcABsAGEAeQBzACAAdABoAGkAcwAgAG0AbwBkAHUAbABlACcAcwAgAHIAZQBwAG8AcwBpAHQAbwByAHkAIABVAFIATAAgAGEAbgBkACAAZgB1AG4AYwB0AGkAbwBuACAAbABpAHMAdAAqAC8AXABuAFwAbgBBAGIAbwB1AHQAuwMgAD0AIABUAFIASQBNACgAVABFAFgAVABTAFAATABJAFQAKABcAG4AIAAgACAAIABcACIAQQBiAG8AdQB0ADoAIAAgACAAIAAgACAAIAAgACAAIAAgACAAIAAgACAAIAAgACAAIAAgACAAkiFCAGEAcwBpAGMAIABmAHUAbgBjAHQAaQBvAG4AcwAgAGYAbwByACAAdwBvAHIAawBpAG4AZwAgAHcAaQB0AGgAIABkAHkAbgBhAG0AaQBjACAAYQByAHIAYQB5AHMALgAgAFMAdQBnAGcAZQBzAHQAZQBkACAAbQBvAGQAdQBsAGUAIABuAGEAbQBlADoAIABuAGEAYgBsAGEALgB1ALYAXAAiACAAJgBcAG4AIAAgACAAIABcACIAVgBlAHIAcwBpAG8AbgA6ACAAIAAgACAAIAAgACAAIAAgACAAIAAgACAAIAAgACAAIAAgACAAkiExADgAIABBAHUAZwAgADIAMAAyADYAtgBcACIAIAAmAFwAbgAgACAAIAAgAFwAIgBSAGUAcABvAHMAaQB0AG8AcgB5ADoAIAAgACAAIAAgACAAIAAgACAAIAAgACAAIAAgACAAIAAgACAAkiFoAHQAdABwAHMAOgAvAC8AZwBpAHQAaAB1AGIALgBjAG8AbQAvAHIAeQBhAG4AZAB1AGcAdQBpAGQALwBOAGEAYgBsAGEAIAC2AFwAIgAgACYAXABuACAAIAAgACAAXAAiAJIhtgBcACIAIAAmAFwAbgAgACAAIAAgAFwAIgBGAHUAbgBjAHQAaQBvAG4AIAAgACAAIAAgACAAIAAgACAAIAAgACAAIAAgACAAIAAgACAAIACSIUQAZQBzAGMAcgBpAHAAdABpAG8AbgC2AFwAIgAgACYAIABcAG4AIAAgACAAIABcACIAQQBiAG8AdQB0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uwMgACAAIAAgACAAIAAgACAAIAAgACAAIAAgACAAIAAgACAAkiFEAGUAdABlAHIAbQBpAG4AZQAgAGkAZgAgAGEAIAB2AGEAbAB1AGUAIABpAHMAIABiAGUAdAB3AGUAZQBuACAAYQAgAGwAbwB3AGUAcgAgAGEAbgBkACAAdQBwAHAAZQByACAAbABpAG0AaQB0AC4AtgBcACIAIAAmACAAXABuACAAIAAgACAAXAAiAEkAcwBJAG4ATABpAHMAdAC7AyAAIAAgACAAIAAgACAAIAAgACAAIAAgACAAIAAgACAAIAAgAJIhRABlAHQAZQByAG0AaQBuAGUAIABpAGYAIABhACAAdgBhAGwAdQBlACAAaQBzACAAbwBuAGUAIABvAGYAIABhACAAbABpAHMAdAAgAG8AZgAgAGkAdABlAG0AcwAuALYAXAAiACAAJgBcAG4AIAAgACAAIABcACIAUgBhAG4AZwBlAFQAbwBEAEE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LYAXAAiACAAJgAgAFwAbgAgACAAIAAgACAAIAAgACAAIAAgACAAIAAgACAAIAAgACAAIAAgACAAIAAgACAAIAAgACAAIAAgAFwAIgBDAGgAYQByAGEAYwB0AGUAcgBzACAAIAAgACAAIACSISgAUgBlAHEAdQBpAHIAZQBkACkAIABBACAAcwBpAG4AZwBsAGUAIABjAGgAYQByAGEAYwB0AGUAcgAsACAAbwByACAAQwBTAFYAIABvAGYAIABjAGgAYQByAGEAYwB0AGUAcgBzACAAdABvACAAZgBpAG4AZAAgAGkAbgAgAFQAZQB4AHQAtgBcACIAIAAmACAAXABuACAAIAAgACAAIAAgACAAIAAgACAAIAAgACAAIAAgACAAIAAgACAAIAAgACAAIAAgACAAIAAgACAAIAAgACAAIAAgACAAIAAgACAAIAAgACAAIAAgACAAXAAiAJIhTgBPAFQARQAhACAAQwBhAHMAZQAgAHMAZQBuAHMAaQB0AGkAdgBl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FwAbgAgACAAIAAgACAAIAAgACAAQwBoAGEAcgBhAGMAdABlAHIAcwAsACAAIAAgACAAIABUAEUAWABUAFMAUABMAEkAVAAoACAAQwBoAGEAcgBhAGMAdABlAHIAcwAsACAAXAAiACwAXAAiACAAKQAsAFwAbgAgACAAIAAgAC8ALwAgACAAUAByAG8AYwBlAGQAdQByAGUAXABuACAAIAAgACAAIAAgACAAIABSAGUAcwB1AGwAdAAsACAAIAAgACAAIAAgACAAIAAgAEwARQBOACgAVABlAHgAdAApACAALQAgAFMAVQBNACgATABFAE4AKABUAEUAWABUAFMAUABMAEkAVAAoACAAVABlAHgAdAAsACAAQwBoAGEAcgBhAGMAdABlAHIAcw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TAHUAbQ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TAFUAT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SAG8AdwBzALsDXABuACAAIAAgACAARABFAFMAQwBSAEkAUABUAEkATwBOADoAKgAvAC8AKgAqAEcAZQB0ACAAdABoAGUAIABhAHYAZQByAGEAZwBlACAAZgBvAHIAIABlAGEAYwBoACAAcgBvAHcAKgAvAFwAbgBBAHYAZw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LsDKAAgAEEAcgByAGEAeQApALYAXAAiACAAJgBcAG4AIAAgACAAIAAgACAAIAAgACAAIAAgACAAIAAgACAAIAAgACAAIAAgACAAIAAgACAAIAAgACAAIABcACIARABFAFMAQwBSAEkAUABUAEkATwBOADoAIAAgACAAkiFHAGUAdAAgAHQAaABlACAAYQB2AGUAcgBhAGcAZQAgAG8AZ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pAG4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JAE4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QwBvAGwAcwC7A1wAbgAgACAAIAAgAEQARQBTAEMAUgBJAFAAVABJAE8ATgA6ACoALwAvACoAKgBHAGUAdAAgAHQAaABlACAAbQBpAG4AaQBtAHUAbQAgAGYAbwByACAAZQBhAGMAaAAgAEMAbwBsAHUAbQBuACoALwBcAG4ATQBpAG4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HU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4AYQBiAGwAYQC2AFwAIgAgACYAXABuACAAIAAgACAAIAAgACAAIAAgACAAIAAgACAAIAAgACAAIAAgACAAIAAgACAAIAAgACAAIAAgACAAXAAiAFYARQBSAFMASQBPAE4AOgAgACAAIAAgACAAIAAgAJIhMQA4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aQBuAGkAbQB1AG0AIABmAG8AcgAgAGUAYQBjAGgAIABD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0AYQB4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QQBY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FIAbwB3AHMAuwNcAG4AIAAgACAAIABEAEUAUwBDAFIASQBQAFQASQBPAE4AOgAqAC8ALwAqACoAQwBvAHUAbgB0ACAAZQB2AGUAcgB5AHQAaABpAG4AZwAgAGkAbgAgAGUAYQBjAGgAIAByAG8AdwAqAC8AXABuAEMAbwB1AG4AdABB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uwMoACAAQQByAHIAYQB5ACkAtgBcACIAIAAmAFwAbgAgACAAIAAgACAAIAAgACAAIAAgACAAIAAgACAAIAAgACAAIAAgACAAIAAgACAAIAAgACAAIAAgAFwAIgBEAEUAUwBDAFIASQBQAFQASQBPAE4AOgAgACAAIACSIUMAbwB1AG4AdAAgAGUAdgBlAHIAeQB0AGgAaQBuAGcAIABpAG4AIABlAGEAYwBoACAAcgBvAHcAtgBcACIAIAAmACAAXABuACAAIAAgACAAIAAgACAAIAAgACAAIAAgACAAIAAgACAAIAAgACAAIAAgACAAIAAgACAAIAAgACAAXAAiAFcARQBCAFAAQQBHAEUAOgAgACAAIAAgACAAIAAgAJIhaAB0AHQAcABzADoALwAvAGcAaQB0AGgAdQBiAC4AYwBvAG0ALwByAHkAYQBuAGQAdQBnAHUAaQBkAC8ATgBhAGIAbABhALYAXAAiACAAJgBcAG4AIAAgACAAIAAgACAAIAAgACAAIAAgACAAIAAgACAAIAAgACAAIAAgACAAIAAgACAAIAAgACAAIABcACIAVgBFAFIAUwBJAE8ATgA6ACAAIAAgACAAIAAgACAAkiExADg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gBhAGIAbABhAC4AZQAgAGkAcwAgAGEAcwBzAHUAbQBlAGQAIAB0AG8AIABiAGUAIAB0AGgAZQAgAG0AbwBkAHUAbABlACcAcwAgAG4AYQBtAGUAKQC2AFwAIgAgACYAXABuACAAIAAgACAAIAAgACAAIAAgACAAIAAgACAAIAAgACAAIAAgACAAIAAgACAAIAAgACAAIAAgACAAIAAgACAAIAAgACAAIAAgACAAIAAgACAAIAAgACAAXAAiAJIhPQBuAGEAYgBsAGEALgBl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yAG8Adw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uAGEAYgBsAGEALgBlACAAaQBzACAAYQBzAHMAdQBtAGUAZAAgAHQAbwAgAGIAZQAgAHQAaABlACAAbQBvAGQAdQBsAGUAJwBzACAAbgBhAG0AZQApALYAXAAiACAAJgBcAG4AIAAgACAAIAAgACAAIAAgACAAIAAgACAAIAAgACAAIAAgACAAIAAgACAAIAAgACAAIAAgACAAIAAgACAAIAAgACAAIAAgACAAIAAgACAAIAAgACAAIABcACIAkiE9AG4AYQBiAGwAYQAuAGU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DAG8AbABzALsDXABuACAAIAAgACAARABFAFMAQwBSAEkAUABUAEkATwBOADoAKgAvAC8AKgAqAEMAbwB1AG4AdAAgAG4AdQBtAGIAZQByAHMAIABpAG4AIABlAGEAYwBoACAAcgBvAHcAKgAvAFwAbgBDAG8AdQBuAHQ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uwMoACAAQQByAHIAYQB5ACw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OAGEAYgBsAGEAtgBcACIAIAAmAFwAbgAgACAAIAAgACAAIAAgACAAIAAgACAAIAAgACAAIAAgACAAIAAgACAAIAAgACAAIAAgACAAIAAgAFwAIgBWAEUAUgBTAEkATwBOADoAIAAgACAAIAAgACAAIACSITEAO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4AYQBiAGwAYQAuAGUAIABpAHMAIABhAHMAcwB1AG0AZQBkACAAdABvACAAYgBlACAAdABoAGUAIABtAG8AZAB1AGwAZQAnAHMAIABuAGEAbQBlACkAtgBcACIAIAAmAFwAbgAgACAAIAAgACAAIAAgACAAIAAgACAAIAAgACAAIAAgACAAIAAgACAAIAAgACAAIAAgACAAIAAgACAAIAAgACAAIAAgACAAIAAgACAAIAAgACAAIAAgAFwAIgCSIT0AbgBhAGIAbABhAC4AZQ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uwNcAG4AIAAgACAAIABEAEUAUwBDAFIASQBQAFQASQBPAE4AOgAqAC8ALwAqACoARABlAHQAZQByAG0AaQBuAGUAIABpAGYAIABhACAAdgBhAGwAdQBlACAAaQBzACAAYgBlAHQAdwBlAGUAbgAgAGEAIABsAG8AdwBlAHIAIABhAG4AZAAgAHUAcABwAGUAcgAgAGwAaQBtAGkAdAAqAC8AXABuAEkAcwBCAGUAdAB3AGUAZQBu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CA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wAbwB3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AgAGEAbgBkAC8AbwByACAASABpALYAXAAiACAAJgBcAG4AIAAgACAAIAAgACAAIAAgACAAIAAgACAAIAAgACAAIAAgACAAIAAgACAAIAAgACAAIAAgACAAIABcACIAkiG2AFwAIgAgACYAXABuACAAIAAgACAAIAAgACAAIAAgACAAIAAgACAAIAAgACAAIAAgACAAIAAgACAAIAAgACAAIAAgACAAXAAiAEUAWABBAE0AUABMAEUAUwAgACAAIAAgACAAIAAgADo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LsDKAAxACwAIAAyACwAIAA0ACkAtgBcACIAIAAmACAAXABuACAAIAAgACAAIAAgACAAIAAgACAAIAAgACAAIAAgACAAIAAgACAAIAAgACAAIAAgACAAIAAgACAAXAAiAFQAUgBVAEUAIAAgACAAIAAgACAAIAAgACAAIAAgAJIhPQBJAHMAQgBlAHQAdwBlAGUAbgC7AygAMgAsACAAMgAsACAANAApALYAXAAiACAAJgAgAFwAbgAgACAAIAAgACAAIAAgACAAIAAgACAAIAAgACAAIAAgACAAIAAgACAAIAAgACAAIAAgACAAIAAgAFwAIgBGAEEATABTAEUAIAAgACAAIAAgACAAIAAgACAAIACSIT0ASQBzAEIAZQB0AHcAZQBlAG4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GkAZgAgAGEAIAB2AGEAbAB1AGUAIABpAHMAIABiAGUAdAB3AGUAZQBuACAAYQAgAGwAbwB3AGUAcgAgAGEAbgBkACAAdQBwAHAAZQByACAAbABpAG0AaQB0ACoALwBcAG4ASQBzAEkAbgBMAGkAcwB0ALsDIAA9ACAATABBAE0AQgBEAEEAKABcAG4ALwAvACAAIABQAGEAcgBhAG0AZQB0AGUAcgAgAEQAZQBjAGwAYQByAGEAdABpAG8AbgBzAFwAbgAgACAAIAAgAFsAVgBhAGwAdQBlAF0ALABcAG4AIAAgACAAIABbAEwASQBTAF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IAAgACAAIAAgACAAIAA6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uwMoADEALAAgAHsAMgAsADMALAA0AH0AKQC2AFwAIgAgACYAIABcAG4AIAAgACAAIAAgACAAIAAgACAAIAAgACAAIAAgACAAIAAgACAAIAAgACAAIAAgACAAIAAgACAAIABcACIAVABSAFUARQAgACAAIAAgACAAIAAgACAAIAAgACAAkiE9AEkAcwBJAG4ATABpAHMAdAC7AygAMQAsACAAewAxACwAMwAsADUAfQApALYAXAAiACAAJg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JAFMAV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C7A1wAbgAgACAAIAAgAEQARQBTAEMAUgBJAFAAVABJAE8ATgA6ACoALwAvACoAKgBDAG8AbgB2AGUAcgB0ACAAYQAgAHIAYQBuAGcAZQAgAHIAZQBmAGUAcgBlAG4AYwBlACAAdABvACAAYQAgAGQAeQBuAGEAbQBpAGMAIABhAHIAcgBhAHkAIAByAGUAZgBlAHIAZQBuAGMAZQAqAC8AXABuAFIAYQBuAGcAZQBUAG8ARABB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OAGEAYgBsAGE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gBhAGIAbABhAC4AZAAuAEEAYgBvAHUAdAC7AyIALAAiAG4AYQBiAGwAYQAuAGQALgBDAG8AdQBuAHQARABPAFcAuwMiACwAIgBuAGEAYgBsAGEALgBkAC4ASQBzAEIAZQB0AHcAZQBlAG4AuwMiACwAIgBuAGEAYgBsAGEALgBkAC4ASQBzAE8AYwBjAHUAcgByAGUAbgBjAGUARABhAHQAZQC7AyIALAAiAG4AYQBiAGwAYQAuAGQALgBPAHYAZQByAEwAYQBwAEQAYQB5AHMAuwMiACwAIgBuAGEAYgBsAGEALgBkAC4AUABlAHIAaQBvAGQATABhAGIAZQBsALsDIgAsACIAbgBhAGIAbABhAC4AZAAuAFAAZQByAGkAbwBkAHMAuwMiACwAIgBuAGEAYgBsAGEALgBkAC4AUwBjAGgAZQBkAHUAbABlAFIAYQB0AGUAcwC7AyIALAAiAG4AYQBiAGwAYQAuAGQALgBTAGMAaABlAGQAdQBsAGUAUgBhAHQAZQBzAEIAeQBJAHQAZQBtAHMAuwMiACwAIgBuAGEAYgBsAGEALgBkAC4AUwBjAGgAZQBkAHUAbABlAFYAYQBsAHUAZQBzALsDIgAsACIAbgBhAGIAbABhAC4AZAAuAFMAYwBoAGUAZAB1AGwAZQBWAGEAbAB1AGUAcwBCAHkASQB0AGUAbQBzALsDIgAsACIAbgBhAGIAbABhAC4AZAAuAFQAaQBtAGUAbABpAG4AZQC7AyIALAAiAG4AYQBiAGwAYQAuAGUALgBBAGIAbwB1AHQAuwMiACwAIgBuAGEAYgBsAGEALgBlAC4AQwBvAHUAbgB0AEMAuwMiACwAIgBuAGEAYgBsAGEALgBlAC4AUwB1AG0AUgBvAHcAcwC7AyIALAAiAG4AYQBiAGwAYQAuAGUALgBTAHUAbQBDAG8AbABzALsDIgAsACIAbgBhAGIAbABhAC4AZQAuAEEAdgBnAFIAbwB3AHMAuwMiACwAIgBuAGEAYgBsAGEALgBlAC4AQQB2AGcAQwBvAGwAcwC7AyIALAAiAG4AYQBiAGwAYQAuAGUALgBNAGkAbgBSAG8AdwBzALsDIgAsACIAbgBhAGIAbABhAC4AZQAuAE0AaQBuAEMAbwBsAHMAuwMiACwAIgBuAGEAYgBsAGEALgBlAC4ATQBhAHgAUgBvAHcAcwC7AyIALAAiAG4AYQBiAGwAYQAuAGUALgBNAGEAeABDAG8AbABzALsDIgAsACIAbgBhAGIAbABhAC4AZQAuAEMAbwB1AG4AdABBAFIAbwB3AHMAuwMiACwAIgBuAGEAYgBsAGEALgBlAC4AQwBvAHUAbgB0AEEAQwBvAGwAcwC7AyIALAAiAG4AYQBiAGwAYQAuAGUALgBDAG8AdQBuAHQAUgBvAHcAcwC7AyIALAAiAG4AYQBiAGwAYQAuAGUALgBDAG8AdQBuAHQAQwBvAGwAcwC7AyIALAAiAG4AYQBiAGwAYQAuAGUALgBJAHMAQgBlAHQAdwBlAGUAbgC7AyIALAAiAG4AYQBiAGwAYQAuAGUALgBJAHMASQBuAEwAaQBzAHQAuwMiACwAIgBuAGEAYgBsAGEALgBlAC4AUgBhAG4AZwBlAFQAbwBEAEEAuwMiACwAIgBuAGEAYgBsAGEALgBmAC4AQQBiAG8AdQB0ALsDIgAsACIAbgBhAGIAbABhAC4AZgAuAEMAbwByAGsAcwBjAHIAZQB3ALsDIgAsACIAbgBhAGIAbABhAC4AZgAuAEMAbwByAGsAUwBjAHIAZQB3AFIAZQB2AGUAcgBzAGEAbAC7AyIALAAiAG4AYQBiAGwAYQAuAGYALgBJAG4AdABPAG4ASQBuAHQAuwMiACwAIgBuAGEAYgBsAGEALgBmAC4ASQBSAFIAuwMiACwAIgBuAGEAYgBsAGEALgBmAC4ATQBvAHYAZQBtAGUAbgB0ALsDIgAsACIAbgBhAGIAbABhAC4AZgAuAFIAZQB2AGUAcgBzAGEAbAC7AyIALAAiAG4AYQBiAGwAYQAuAGYALgBDAHUAbQB1AGwAYQB0AGkAdgBlALsDIgAsACIAbgBhAGIAbABhAC4AZgAuAFIAbwBsAGwAaQBuAGcAQQB2AGcAuwMiACwAIgBuAGEAYgBsAGEALgBmAC4AUgBvAGwAbABpAG4AZwBNAGEAeAC7AyIALAAiAG4AYQBiAGwAYQAuAGYALgBSAG8AbABsAGkAbgBnAE0AaQBuALsDIgAsACIAbgBhAGIAbABhAC4AZgAuAFIAbwBsAGwAaQBuAGcAUwB1AG0AuwMiACwAIgBuAGEAYgBsAGEALgBmAC4AUwB1AG0AQwBvAG4AdABhAGkAbgBzALsDIgAsACIAbgBhAGIAbABhAC4AZgAuAFMAdQBtAFAAZQByAGkAbwBkAHMAuwMiACwAIgBuAGEAYgBsAGEALgBmAC4AQQBtAG8AcgB0AGkAcwBlALsDIgAsACIAbgBhAGIAbABhAC4AZgAuAEwAYQBiAGUAbABBAG0AbwByAHQAaQBzAGUAuwMiACwAIgBuAGEAYgBsAGEALgBmAC4AUwB1AG0AQQBtAG8AcgB0AGkAcwBlALsDIgAsACIAbgBhAGIAbABhAC4AZgAuAEQAZQBwAHIAZQBjAGkAYQB0AGUAuwMiACwAIgBuAGEAYgBsAGEALgBmAC4ATABhAGIAZQBsAEQAZQBwAHIAZQBjAGkAYQB0AGUAuwMiACwAIgBuAGEAYgBsAGEALgBmAC4AQQBsAGwAbwBjAGEAdABlALsDIgAsACIAbgBhAGIAbABhAC4AZgAuAFAAZQByAGkAbwBkAEQAaQBmAGYAuwMiACwAIgBuAGEAYgBsAGEALgBmAC4AUwBMAE4AuwMiACwAIgBuAGEAYgBsAGEALgBmAC4AUwBZAEQAuwMiACwAIgBuAGEAYgBsAGEALgBmAC4ARABCALsDIgAsACIAbgBhAGIAbABhAC4AZgAuAEQARABCALsDIgAsACIAbgBhAGIAbABhAC4AZgAuAFYARABCALsDIgAsACIAbgBhAGIAbABhAC4AZgAuAEEAbQBvAHIAdABpAHMAZQC7A0QAVgAiACwAIgBuAGEAYgBsAGEALgBmAC4AQwBvAHIAawBzAGMAcgBlAHcAuwNEAFYAIgAsACIAbgBhAGIAbABhAC4AZgAuAEQAZQBwAHIAZQBjAGkAYQB0AGUAuwNEAFYAIgAsACIAbgBhAGIAbABhAC4AZgAuAFQAaQBtAGUAbABpAG4AZQBPAGYAZgBzAGUAdAC7AyIALAAiAG4AYQBiAGwAYQAuAGYALgBUAGkAbQBlAGwAaQBuAGUAUABvAHMAaQB0AGkAbwBuALsDIgAsACIAbgBhAGIAbABhAC4AZgAuAEYAaQBsAHQAZQByAEMAbwBuAHQAYQBpAG4AcwC7AyIALAAiAG4AYQBiAGwAYQAuAGYALgBSAGEAbgBnAGUAVABvAEQAQQC7AyIALAAiAG4AYQBiAGwAYQAuAGYALgBQAGUAcgBpAG8AZABTAHQAYQByAHQAuwMiACwAIgBuAGEAYgBsAGEALgByAC4AQQBiAG8AdQB0ALsDIgAsACIAbgBhAGIAbABhAC4AcgAuAEMAdQByAHIAZQBuAHQAUgBhAHQAaQBvALsDIgAsACIAbgBhAGIAbABhAC4AcgAuAFEAdQBpAGMAawBSAGEAdABpAG8AuwMiACwAIgBuAGEAYgBsAGEALgByAC4AQwBhAHMAaABSAGEAdABpAG8AuwMiACwAIgBuAGEAYgBsAGEALgByAC4ATwBwAGUAcgBhAHQAaQBuAGcAQwBhAHMAaABGAGwAbwB3AFIAYQB0AGkAbwC7AyIALAAiAG4AYQBiAGwAYQAuAHIALgBSAGUAYwBlAGkAdgBhAGIAbABlAHMAVAB1AHIAbgBvAHYAZQByAFIAYQB0AGkAbwC7AyIALAAiAG4AYQBiAGwAYQAuAHIALgBJAG4AdgBlAG4AdABvAHIAeQBUAHUAcgBuAG8AdgBlAHIAUgBhAHQAaQBvALsDIgAsACIAbgBhAGIAbABhAC4AcgAuAFcAbwByAGsAaQBuAGcAQwBhAHAAaQB0AGEAbABUAHUAcgBuAG8AdgBlAHIAUgBhAHQAaQBvALsDIgAsACIAbgBhAGIAbABhAC4AcgAuAEQAZQBiAHQAUgBhAHQAaQBvALsDIgAsACIAbgBhAGIAbABhAC4AcgAuAEQAUwBDAFIAuwMiACwAIgBuAGEAYgBsAGEALgByAC4ARABlAGIAdABUAG8AQwBhAHAAaQB0AGEAbABSAGEAdABpAG8AuwMiACwAIgBuAGEAYgBsAGEALgByAC4ARQBxAHUAaQB0AHkATQB1AGwAdABpAHAAbABpAGUAcgC7AyIALAAiAG4AYQBiAGwAYQAuAHIALgBEAGUAYgB0AFQAbwBFAHEAdQBpAHQAeQBSAGEAdABpAG8AuwMiACwAIgBuAGEAYgBsAGEALgByAC4ARABlAGIAdABUAG8AQQBzAHMAZQB0AFIAYQB0AGkAbwC7AyIALAAiAG4AYQBiAGwAYQAuAHIALgBJAG4AdABlAHIAZQBzAHQAQwBvAHYAZQByAGEAZwBlAFIAYQB0AGkAbwC7AyIALAAiAG4AYQBiAGwAYQAuAHIALgBFAHEAdQBpAHQAeQBSAGEAdABpAG8AuwMiACwAIgBuAGEAYgBsAGEALgByAC4AQQBzAHMAZQB0AFQAdQByAG4AbwB2AGUAcgBSAGEAdABpAG8AuwMiACwAIgBuAGEAYgBsAGEALgByAC4ARABTAEkAuwMiACwAIgBuAGEAYgBsAGEALgByAC4ATwBwAGUAcgBhAHQAaQBuAGcAUgBhAHQAaQBvALsDIgAsACIAbgBhAGIAbABhAC4AcgAuAEcAcgBvAHMAcwBNAGEAcgBnAGkAbgC7AyIALAAiAG4AYQBiAGwAYQAuAHIALgBFAEIASQBUAEQAQQBNAGEAcgBnAGkAbgC7AyIALAAiAG4AYQBiAGwAYQAuAHIALgBPAHAAZQByAGEAdABpAG4AZwBNAGEAcgBnAGkAbgC7AyIALAAiAG4AYQBiAGwAYQAuAHIALgBQAHIAZQB0AGEAeABNAGEAcgBnAGkAbgC7AyIALAAiAG4AYQBiAGwAYQAuAHIALgBOAGUAdABQAHIAbwBmAGkAdABNAGEAcgBnAGkAbgC7AyIALAAiAG4AYQBiAGwAYQAuAHIALgBDAGEAcwBoAEYAbABvAHcATQBhAHIAZwBpAG4AuwMiACwAIgBuAGEAYgBsAGEALgByAC4AUgBPAEEAuwMiACwAIgBuAGEAYgBsAGEALgByAC4AUgBPAEUAuwMiACwAIgBuAGEAYgBsAGEALgByAC4AUgBPAEkAuwMiACwAIgBuAGEAYgBsAGEALgByAC4AUgBPAEkAQwC7AyIALAAiAG4AYQBiAGwAYQAuAHIALgBQAHIAaQBjAGUARQBhAHIAbgBpAG4AZwBzAFIAYQB0AGkAbwC7AyIALAAiAG4AYQBiAGwAYQAuAHIALgBQAHIAaQBjAGUAVABvAEIAbwBvAGsAUgBhAHQAaQBvALsDIgAsACIAbgBhAGIAbABhAC4AcgAuAFAAcgBpAGMAZQBUAG8AUwBhAGwAZQBzAFIAYQB0AGkAbwC7AyIALAAiAG4AYQBiAGwAYQAuAHIALgBQAHIAaQBjAGUAVABvAEMAYQBzAGgAUgBhAHQAaQBvALsDIgAsACIAbgBhAGIAbABhAC4AcgAuAEIAVgBQAFMAuwMiACwAIgBuAGEAYgBsAGEALgByAC4AQwBBAFAARQBSAGEAdABpAG8AuwMiACwAIgBuAGEAYgBsAGEALgByAC4ARABQAFIAuwMiACwAIgBuAGEAYgBsAGEALgByAC4ARABpAHYAaQBkAGUAbgBkAFkAaQBlAGwAZABSAGEAdABpAG8AuwMiACwAIgBuAGEAYgBsAGEALgByAC4ARQBQAFMAuwMiACwAIgBuAGEAYgBsAGEALgByAC4AUgBlAHQAZQBuAHQAaQBvAG4AUgBhAHQAaQBvALsDIgAsACIAbgBhAGIAbABhAC4AdQAuAEEAYgBvAHUAdAC7AyIALAAiAG4AYQBiAGwAYQAuAHUALgBDAG8AdQBuAHQAQwC7AyIALAAiAG4AYQBiAGwAYQAuAHUALgBTAHUAbQBSAG8AdwBzALsDIgAsACIAbgBhAGIAbABhAC4AdQAuAFMAdQBtAEMAbwBsAHMAuwMiACwAIgBuAGEAYgBsAGEALgB1AC4AQQB2AGcAUgBvAHcAcwC7AyIALAAiAG4AYQBiAGwAYQAuAHUALgBBAHYAZwBDAG8AbABzALsDIgAsACIAbgBhAGIAbABhAC4AdQAuAE0AaQBuAFIAbwB3AHMAuwMiACwAIgBuAGEAYgBsAGEALgB1AC4ATQBpAG4AQwBvAGwAcwC7AyIALAAiAG4AYQBiAGwAYQAuAHUALgBNAGEAeABSAG8AdwBzALsDIgAsACIAbgBhAGIAbABhAC4AdQAuAE0AYQB4AEMAbwBsAHMAuwMiACwAIgBuAGEAYgBsAGEALgB1AC4AQwBvAHUAbgB0AEEAUgBvAHcAcwC7AyIALAAiAG4AYQBiAGwAYQAuAHUALgBDAG8AdQBuAHQAQQBDAG8AbABzALsDIgAsACIAbgBhAGIAbABhAC4AdQAuAEMAbwB1AG4AdABSAG8AdwBzALsDIgAsACIAbgBhAGIAbABhAC4AdQAuAEMAbwB1AG4AdABDAG8AbABzALsDIgAsACIAbgBhAGIAbABhAC4AdQAuAEkAcwBCAGUAdAB3AGUAZQBuALsDIgAsACIAbgBhAGIAbABhAC4AdQAuAEkAcwBJAG4ATABpAHMAdAC7AyIALAAiAG4AYQBiAGwAYQAuAHUALgBSAGEAbgBnAGUAVABvAEQAQQC7AyIALAAiAG4AYQBiAGwAYQAuAGYALgBTAHUAbQBEAGUAcAByAGUAYwBpAGEAdABlALsDIgAsACIAbgBhAGIAbABhAC4AZgAuAEQAaQBtAGkAbgBpAHMAaABpAG4AZwBWAGEAbAB1AGUAuwMiACwAIgBuAGEAYgBsAGEALgBmAC4AUAByAGkAbQBlAEMAbwBzAHQAuwMiACwAIgBuAGEAYgBsAGEALgBmAC4ARwBTAFQAQQBkAGQAuwMiACwAIgBuAGEAYgBsAGEALgBmAC4ARwBTAFQARQB4AHQAcgBhAGMAdAC7AyIALAAiAG4AYQBiAGwAYQAuAGQALgBGAGkAbgBhAG4AYwBpAGEAbABZAGUAYQBy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49</vt:i4>
      </vt:variant>
    </vt:vector>
  </HeadingPairs>
  <TitlesOfParts>
    <vt:vector size="49" baseType="lpstr">
      <vt:lpstr>Cover</vt:lpstr>
      <vt:lpstr>TOC</vt:lpstr>
      <vt:lpstr>Data Validation</vt:lpstr>
      <vt:lpstr>FMTs</vt:lpstr>
      <vt:lpstr>nabla.d.CountDOWλ</vt:lpstr>
      <vt:lpstr>nabla.d.IsBetweenλ</vt:lpstr>
      <vt:lpstr>nabla.d.IsOccurrenceDateλ</vt:lpstr>
      <vt:lpstr>nabla.d.OverLapDaysλ</vt:lpstr>
      <vt:lpstr>nabla.d.Periodsλ</vt:lpstr>
      <vt:lpstr>nabla.d.PeriodLabelλ</vt:lpstr>
      <vt:lpstr>nabla.d.ScheduleRatesλ</vt:lpstr>
      <vt:lpstr>nabla.d.ScheduleRatesByItemsλ</vt:lpstr>
      <vt:lpstr>nabla.d.ScheduleValuesλ</vt:lpstr>
      <vt:lpstr>nabla.d.ScheduleValuesByItemsλ</vt:lpstr>
      <vt:lpstr>nabla.d.Timelineλ</vt:lpstr>
      <vt:lpstr>nabla.f.Amortiseλ</vt:lpstr>
      <vt:lpstr>nabla.f.LabelAmortiseλ</vt:lpstr>
      <vt:lpstr>nabla.f.SumAmortiseλ</vt:lpstr>
      <vt:lpstr>nabla.f.Corkscrewλ</vt:lpstr>
      <vt:lpstr>nabla.f.Cumulativeλ</vt:lpstr>
      <vt:lpstr>nabla.f.Depreciateλ</vt:lpstr>
      <vt:lpstr>nabla.f.LabelDepreciateλ</vt:lpstr>
      <vt:lpstr>nabla.f.SumDepreciateλ</vt:lpstr>
      <vt:lpstr>nabla.f.SumContains</vt:lpstr>
      <vt:lpstr>nabla.f.IntOnIntλ</vt:lpstr>
      <vt:lpstr>nabla.f.IRRλ</vt:lpstr>
      <vt:lpstr>nabla.f.Reversalλ</vt:lpstr>
      <vt:lpstr>nabla.f.Movementλ</vt:lpstr>
      <vt:lpstr>nabla.f.RollingSumλ</vt:lpstr>
      <vt:lpstr>nabla.f.SumPeriodsλ</vt:lpstr>
      <vt:lpstr>nabla.f.TimelineOffsetλ</vt:lpstr>
      <vt:lpstr>nabla.f.TimelinePositionλ</vt:lpstr>
      <vt:lpstr>nabla.e.Aboutλ</vt:lpstr>
      <vt:lpstr>nabla.e.CountCλ</vt:lpstr>
      <vt:lpstr>nabla.e.SumRowsλ</vt:lpstr>
      <vt:lpstr>nabla.e.SumColsλ</vt:lpstr>
      <vt:lpstr>nabla.e.AvgRowsλ</vt:lpstr>
      <vt:lpstr>nabla.e.AvgColsλ</vt:lpstr>
      <vt:lpstr>nabla.e.MinRowsλ</vt:lpstr>
      <vt:lpstr>nabla.e.MinColsλ</vt:lpstr>
      <vt:lpstr>nabla.e.MaxRowsλ</vt:lpstr>
      <vt:lpstr>nabla.e.MaxColsλ</vt:lpstr>
      <vt:lpstr>nabla.e.CountRowsλ</vt:lpstr>
      <vt:lpstr>nabla.e.CountColsλ</vt:lpstr>
      <vt:lpstr>nabla.e.CountARowsλ</vt:lpstr>
      <vt:lpstr>nabla.e.CountAColsλ</vt:lpstr>
      <vt:lpstr>nabla.e.IsBetweenλ</vt:lpstr>
      <vt:lpstr>nabla.e.RangeToDAλ</vt:lpstr>
      <vt:lpstr>nabla.r.FinancialRatios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nabla</dc:title>
  <dc:subject>LAMBDA function library for dynamic-array financial models</dc:subject>
  <dc:creator>the upstream author (original library); nabla project (derivative)</dc:creator>
  <cp:lastModifiedBy>Ryan Duguid</cp:lastModifiedBy>
  <dcterms:created xsi:type="dcterms:W3CDTF">2023-08-10T15:46:16Z</dcterms:created>
  <dcterms:modified xsi:type="dcterms:W3CDTF">2026-08-18T00:00:00Z</dcterms:modified>
</cp:coreProperties>
</file>